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cordia MBA\Program\BSTA 678\Assignment 1\"/>
    </mc:Choice>
  </mc:AlternateContent>
  <xr:revisionPtr revIDLastSave="0" documentId="13_ncr:1_{6D4CF5A2-2A83-42AE-9604-8BE3648F21F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val_data" sheetId="1" r:id="rId1"/>
    <sheet name="76" sheetId="3" r:id="rId2"/>
    <sheet name="metrics" sheetId="2" r:id="rId3"/>
    <sheet name="lift" sheetId="4" r:id="rId4"/>
    <sheet name="ROC" sheetId="6" r:id="rId5"/>
  </sheets>
  <definedNames>
    <definedName name="_xlnm._FilterDatabase" localSheetId="4" hidden="1">ROC!$X$1:$Z$1002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05" i="6" l="1"/>
  <c r="Y2004" i="6"/>
  <c r="Y2003" i="6"/>
  <c r="Y2002" i="6"/>
  <c r="Y2001" i="6"/>
  <c r="Y2000" i="6"/>
  <c r="Y1999" i="6"/>
  <c r="Y1998" i="6"/>
  <c r="Y1997" i="6"/>
  <c r="Y1996" i="6"/>
  <c r="Y1995" i="6"/>
  <c r="Y1994" i="6"/>
  <c r="Y1993" i="6"/>
  <c r="Y1992" i="6"/>
  <c r="Y1991" i="6"/>
  <c r="Y1990" i="6"/>
  <c r="Y1989" i="6"/>
  <c r="Y1988" i="6"/>
  <c r="Y1987" i="6"/>
  <c r="Y1986" i="6"/>
  <c r="Y1985" i="6"/>
  <c r="Y1984" i="6"/>
  <c r="Y1983" i="6"/>
  <c r="Y1982" i="6"/>
  <c r="Y1981" i="6"/>
  <c r="Y1980" i="6"/>
  <c r="Y1979" i="6"/>
  <c r="Y1978" i="6"/>
  <c r="Y1977" i="6"/>
  <c r="Y1976" i="6"/>
  <c r="Y1975" i="6"/>
  <c r="Y1974" i="6"/>
  <c r="Y1973" i="6"/>
  <c r="Y1972" i="6"/>
  <c r="Y1971" i="6"/>
  <c r="Y1970" i="6"/>
  <c r="Y1969" i="6"/>
  <c r="Y1968" i="6"/>
  <c r="Y1967" i="6"/>
  <c r="Y1966" i="6"/>
  <c r="Y1965" i="6"/>
  <c r="Y1964" i="6"/>
  <c r="Y1963" i="6"/>
  <c r="Y1962" i="6"/>
  <c r="Y1961" i="6"/>
  <c r="Y1960" i="6"/>
  <c r="Y1959" i="6"/>
  <c r="Y1958" i="6"/>
  <c r="Y1957" i="6"/>
  <c r="Y1956" i="6"/>
  <c r="Y1955" i="6"/>
  <c r="Y1954" i="6"/>
  <c r="Y1953" i="6"/>
  <c r="Y1952" i="6"/>
  <c r="Y1951" i="6"/>
  <c r="Y1950" i="6"/>
  <c r="Y1949" i="6"/>
  <c r="Y1948" i="6"/>
  <c r="Y1947" i="6"/>
  <c r="Y1946" i="6"/>
  <c r="Y1945" i="6"/>
  <c r="Y1944" i="6"/>
  <c r="Y1943" i="6"/>
  <c r="Y1942" i="6"/>
  <c r="Y1941" i="6"/>
  <c r="Y1940" i="6"/>
  <c r="Y1939" i="6"/>
  <c r="Y1938" i="6"/>
  <c r="Y1937" i="6"/>
  <c r="Y1936" i="6"/>
  <c r="Y1935" i="6"/>
  <c r="Y1934" i="6"/>
  <c r="Y1933" i="6"/>
  <c r="Y1932" i="6"/>
  <c r="Y1931" i="6"/>
  <c r="Y1930" i="6"/>
  <c r="Y1929" i="6"/>
  <c r="Y1928" i="6"/>
  <c r="Y1927" i="6"/>
  <c r="Y1926" i="6"/>
  <c r="Y1925" i="6"/>
  <c r="Y1924" i="6"/>
  <c r="Y1923" i="6"/>
  <c r="Y1922" i="6"/>
  <c r="Y1921" i="6"/>
  <c r="Y1920" i="6"/>
  <c r="Y1919" i="6"/>
  <c r="Y1918" i="6"/>
  <c r="Y1917" i="6"/>
  <c r="Y1916" i="6"/>
  <c r="Y1915" i="6"/>
  <c r="Y1914" i="6"/>
  <c r="Y1913" i="6"/>
  <c r="Y1912" i="6"/>
  <c r="Y1911" i="6"/>
  <c r="Y1910" i="6"/>
  <c r="Y1909" i="6"/>
  <c r="Y1908" i="6"/>
  <c r="Y1907" i="6"/>
  <c r="Y1906" i="6"/>
  <c r="Y1905" i="6"/>
  <c r="Y1904" i="6"/>
  <c r="Y1903" i="6"/>
  <c r="Y1902" i="6"/>
  <c r="Y1901" i="6"/>
  <c r="Y1900" i="6"/>
  <c r="Y1899" i="6"/>
  <c r="Y1898" i="6"/>
  <c r="Y1897" i="6"/>
  <c r="Y1896" i="6"/>
  <c r="Y1895" i="6"/>
  <c r="Y1894" i="6"/>
  <c r="Y1893" i="6"/>
  <c r="Y1892" i="6"/>
  <c r="Y1891" i="6"/>
  <c r="Y1890" i="6"/>
  <c r="Y1889" i="6"/>
  <c r="Y1888" i="6"/>
  <c r="Y1887" i="6"/>
  <c r="Y1886" i="6"/>
  <c r="Y1885" i="6"/>
  <c r="Y1884" i="6"/>
  <c r="Y1883" i="6"/>
  <c r="Y1882" i="6"/>
  <c r="Y1881" i="6"/>
  <c r="Y1880" i="6"/>
  <c r="Y1879" i="6"/>
  <c r="Y1878" i="6"/>
  <c r="Y1877" i="6"/>
  <c r="Y1876" i="6"/>
  <c r="Y1875" i="6"/>
  <c r="Y1874" i="6"/>
  <c r="Y1873" i="6"/>
  <c r="Y1872" i="6"/>
  <c r="Y1871" i="6"/>
  <c r="Y1870" i="6"/>
  <c r="Y1869" i="6"/>
  <c r="Y1868" i="6"/>
  <c r="Y1867" i="6"/>
  <c r="Y1866" i="6"/>
  <c r="Y1865" i="6"/>
  <c r="Y1864" i="6"/>
  <c r="Y1863" i="6"/>
  <c r="Y1862" i="6"/>
  <c r="Y1861" i="6"/>
  <c r="Y1860" i="6"/>
  <c r="Y1859" i="6"/>
  <c r="Y1858" i="6"/>
  <c r="Y1857" i="6"/>
  <c r="Y1856" i="6"/>
  <c r="Y1855" i="6"/>
  <c r="Y1854" i="6"/>
  <c r="Y1853" i="6"/>
  <c r="Y1852" i="6"/>
  <c r="Y1851" i="6"/>
  <c r="Y1850" i="6"/>
  <c r="Y1849" i="6"/>
  <c r="Y1848" i="6"/>
  <c r="Y1847" i="6"/>
  <c r="Y1846" i="6"/>
  <c r="Y1845" i="6"/>
  <c r="Y1844" i="6"/>
  <c r="Y1843" i="6"/>
  <c r="Y1842" i="6"/>
  <c r="Y1841" i="6"/>
  <c r="Y1840" i="6"/>
  <c r="Y1839" i="6"/>
  <c r="Y1838" i="6"/>
  <c r="Y1837" i="6"/>
  <c r="Y1836" i="6"/>
  <c r="Y1835" i="6"/>
  <c r="Y1834" i="6"/>
  <c r="Y1833" i="6"/>
  <c r="Y1832" i="6"/>
  <c r="Y1831" i="6"/>
  <c r="Y1830" i="6"/>
  <c r="Y1829" i="6"/>
  <c r="Y1828" i="6"/>
  <c r="Y1827" i="6"/>
  <c r="Y1826" i="6"/>
  <c r="Y1825" i="6"/>
  <c r="Y1824" i="6"/>
  <c r="Y1823" i="6"/>
  <c r="Y1822" i="6"/>
  <c r="Y1821" i="6"/>
  <c r="Y1820" i="6"/>
  <c r="Y1819" i="6"/>
  <c r="Y1818" i="6"/>
  <c r="Y1817" i="6"/>
  <c r="Y1816" i="6"/>
  <c r="Y1815" i="6"/>
  <c r="Y1814" i="6"/>
  <c r="Y1813" i="6"/>
  <c r="Y1812" i="6"/>
  <c r="Y1811" i="6"/>
  <c r="Y1810" i="6"/>
  <c r="Y1809" i="6"/>
  <c r="Y1808" i="6"/>
  <c r="Y1807" i="6"/>
  <c r="Y1806" i="6"/>
  <c r="Y1805" i="6"/>
  <c r="Y1804" i="6"/>
  <c r="Y1803" i="6"/>
  <c r="Y1802" i="6"/>
  <c r="Y1801" i="6"/>
  <c r="Y1800" i="6"/>
  <c r="Y1799" i="6"/>
  <c r="Y1798" i="6"/>
  <c r="Y1797" i="6"/>
  <c r="Y1796" i="6"/>
  <c r="Y1795" i="6"/>
  <c r="Y1794" i="6"/>
  <c r="Y1793" i="6"/>
  <c r="Y1792" i="6"/>
  <c r="Y1791" i="6"/>
  <c r="Y1790" i="6"/>
  <c r="Y1789" i="6"/>
  <c r="Y1788" i="6"/>
  <c r="Y1787" i="6"/>
  <c r="Y1786" i="6"/>
  <c r="Y1785" i="6"/>
  <c r="Y1784" i="6"/>
  <c r="Y1783" i="6"/>
  <c r="Y1782" i="6"/>
  <c r="Y1781" i="6"/>
  <c r="Y1780" i="6"/>
  <c r="Y1779" i="6"/>
  <c r="Y1778" i="6"/>
  <c r="Y1777" i="6"/>
  <c r="Y1776" i="6"/>
  <c r="Y1775" i="6"/>
  <c r="Y1774" i="6"/>
  <c r="Y1773" i="6"/>
  <c r="Y1772" i="6"/>
  <c r="Y1771" i="6"/>
  <c r="Y1770" i="6"/>
  <c r="Y1769" i="6"/>
  <c r="Y1768" i="6"/>
  <c r="Y1767" i="6"/>
  <c r="Y1766" i="6"/>
  <c r="Y1765" i="6"/>
  <c r="Y1764" i="6"/>
  <c r="Y1763" i="6"/>
  <c r="Y1762" i="6"/>
  <c r="Y1761" i="6"/>
  <c r="Y1760" i="6"/>
  <c r="Y1759" i="6"/>
  <c r="Y1758" i="6"/>
  <c r="Y1757" i="6"/>
  <c r="Y1756" i="6"/>
  <c r="Y1755" i="6"/>
  <c r="Y1754" i="6"/>
  <c r="Y1753" i="6"/>
  <c r="Y1752" i="6"/>
  <c r="Y1751" i="6"/>
  <c r="Y1750" i="6"/>
  <c r="Y1749" i="6"/>
  <c r="Y1748" i="6"/>
  <c r="Y1747" i="6"/>
  <c r="Y1746" i="6"/>
  <c r="Y1745" i="6"/>
  <c r="Y1744" i="6"/>
  <c r="Y1743" i="6"/>
  <c r="Y1742" i="6"/>
  <c r="Y1741" i="6"/>
  <c r="Y1740" i="6"/>
  <c r="Y1739" i="6"/>
  <c r="Y1738" i="6"/>
  <c r="Y1737" i="6"/>
  <c r="Y1736" i="6"/>
  <c r="Y1735" i="6"/>
  <c r="Y1734" i="6"/>
  <c r="Y1733" i="6"/>
  <c r="Y1732" i="6"/>
  <c r="Y1731" i="6"/>
  <c r="Y1730" i="6"/>
  <c r="Y1729" i="6"/>
  <c r="Y1728" i="6"/>
  <c r="Y1727" i="6"/>
  <c r="Y1726" i="6"/>
  <c r="Y1725" i="6"/>
  <c r="Y1724" i="6"/>
  <c r="Y1723" i="6"/>
  <c r="Y1722" i="6"/>
  <c r="Y1721" i="6"/>
  <c r="Y1720" i="6"/>
  <c r="Y1719" i="6"/>
  <c r="Y1718" i="6"/>
  <c r="Y1717" i="6"/>
  <c r="Y1716" i="6"/>
  <c r="Y1715" i="6"/>
  <c r="Y1714" i="6"/>
  <c r="Y1713" i="6"/>
  <c r="Y1712" i="6"/>
  <c r="Y1711" i="6"/>
  <c r="Y1710" i="6"/>
  <c r="Y1709" i="6"/>
  <c r="Y1708" i="6"/>
  <c r="Y1707" i="6"/>
  <c r="Y1706" i="6"/>
  <c r="Y1705" i="6"/>
  <c r="Y1704" i="6"/>
  <c r="Y1703" i="6"/>
  <c r="Y1702" i="6"/>
  <c r="Y1701" i="6"/>
  <c r="Y1700" i="6"/>
  <c r="Y1699" i="6"/>
  <c r="Y1698" i="6"/>
  <c r="Y1697" i="6"/>
  <c r="Y1696" i="6"/>
  <c r="Y1695" i="6"/>
  <c r="Y1694" i="6"/>
  <c r="Y1693" i="6"/>
  <c r="Y1692" i="6"/>
  <c r="Y1691" i="6"/>
  <c r="Y1690" i="6"/>
  <c r="Y1689" i="6"/>
  <c r="Y1688" i="6"/>
  <c r="Y1687" i="6"/>
  <c r="Y1686" i="6"/>
  <c r="Y1685" i="6"/>
  <c r="Y1684" i="6"/>
  <c r="Y1683" i="6"/>
  <c r="Y1682" i="6"/>
  <c r="Y1681" i="6"/>
  <c r="Y1680" i="6"/>
  <c r="Y1679" i="6"/>
  <c r="Y1678" i="6"/>
  <c r="Y1677" i="6"/>
  <c r="Y1676" i="6"/>
  <c r="Y1675" i="6"/>
  <c r="Y1674" i="6"/>
  <c r="Y1673" i="6"/>
  <c r="Y1672" i="6"/>
  <c r="Y1671" i="6"/>
  <c r="Y1670" i="6"/>
  <c r="Y1669" i="6"/>
  <c r="Y1668" i="6"/>
  <c r="Y1667" i="6"/>
  <c r="Y1666" i="6"/>
  <c r="Y1665" i="6"/>
  <c r="Y1664" i="6"/>
  <c r="Y1663" i="6"/>
  <c r="Y1662" i="6"/>
  <c r="Y1661" i="6"/>
  <c r="Y1660" i="6"/>
  <c r="Y1659" i="6"/>
  <c r="Y1658" i="6"/>
  <c r="Y1657" i="6"/>
  <c r="Y1656" i="6"/>
  <c r="Y1655" i="6"/>
  <c r="Y1654" i="6"/>
  <c r="Y1653" i="6"/>
  <c r="Y1652" i="6"/>
  <c r="Y1651" i="6"/>
  <c r="Y1650" i="6"/>
  <c r="Y1649" i="6"/>
  <c r="Y1648" i="6"/>
  <c r="Y1647" i="6"/>
  <c r="Y1646" i="6"/>
  <c r="Y1645" i="6"/>
  <c r="Y1644" i="6"/>
  <c r="Y1643" i="6"/>
  <c r="Y1642" i="6"/>
  <c r="Y1641" i="6"/>
  <c r="Y1640" i="6"/>
  <c r="Y1639" i="6"/>
  <c r="Y1638" i="6"/>
  <c r="Y1637" i="6"/>
  <c r="Y1636" i="6"/>
  <c r="Y1635" i="6"/>
  <c r="Y1634" i="6"/>
  <c r="Y1633" i="6"/>
  <c r="Y1632" i="6"/>
  <c r="Y1631" i="6"/>
  <c r="Y1630" i="6"/>
  <c r="Y1629" i="6"/>
  <c r="Y1628" i="6"/>
  <c r="Y1627" i="6"/>
  <c r="Y1626" i="6"/>
  <c r="Y1625" i="6"/>
  <c r="Y1624" i="6"/>
  <c r="Y1623" i="6"/>
  <c r="Y1622" i="6"/>
  <c r="Y1621" i="6"/>
  <c r="Y1620" i="6"/>
  <c r="Y1619" i="6"/>
  <c r="Y1618" i="6"/>
  <c r="Y1617" i="6"/>
  <c r="Y1616" i="6"/>
  <c r="Y1615" i="6"/>
  <c r="Y1614" i="6"/>
  <c r="Y1613" i="6"/>
  <c r="Y1612" i="6"/>
  <c r="Y1611" i="6"/>
  <c r="Y1610" i="6"/>
  <c r="Y1609" i="6"/>
  <c r="Y1608" i="6"/>
  <c r="Y1607" i="6"/>
  <c r="Y1606" i="6"/>
  <c r="Y1605" i="6"/>
  <c r="Y1604" i="6"/>
  <c r="Y1603" i="6"/>
  <c r="Y1602" i="6"/>
  <c r="Y1601" i="6"/>
  <c r="Y1600" i="6"/>
  <c r="Y1599" i="6"/>
  <c r="Y1598" i="6"/>
  <c r="Y1597" i="6"/>
  <c r="Y1596" i="6"/>
  <c r="Y1595" i="6"/>
  <c r="Y1594" i="6"/>
  <c r="Y1593" i="6"/>
  <c r="Y1592" i="6"/>
  <c r="Y1591" i="6"/>
  <c r="Y1590" i="6"/>
  <c r="Y1589" i="6"/>
  <c r="Y1588" i="6"/>
  <c r="Y1587" i="6"/>
  <c r="Y1586" i="6"/>
  <c r="Y1585" i="6"/>
  <c r="Y1584" i="6"/>
  <c r="Y1583" i="6"/>
  <c r="Y1582" i="6"/>
  <c r="Y1581" i="6"/>
  <c r="Y1580" i="6"/>
  <c r="Y1579" i="6"/>
  <c r="Y1578" i="6"/>
  <c r="Y1577" i="6"/>
  <c r="Y1576" i="6"/>
  <c r="Y1575" i="6"/>
  <c r="Y1574" i="6"/>
  <c r="Y1573" i="6"/>
  <c r="Y1572" i="6"/>
  <c r="Y1571" i="6"/>
  <c r="Y1570" i="6"/>
  <c r="Y1569" i="6"/>
  <c r="Y1568" i="6"/>
  <c r="Y1567" i="6"/>
  <c r="Y1566" i="6"/>
  <c r="Y1565" i="6"/>
  <c r="Y1564" i="6"/>
  <c r="Y1563" i="6"/>
  <c r="Y1562" i="6"/>
  <c r="Y1561" i="6"/>
  <c r="Y1560" i="6"/>
  <c r="Y1559" i="6"/>
  <c r="Y1558" i="6"/>
  <c r="Y1557" i="6"/>
  <c r="Y1556" i="6"/>
  <c r="Y1555" i="6"/>
  <c r="Y1554" i="6"/>
  <c r="Y1553" i="6"/>
  <c r="Y1552" i="6"/>
  <c r="Y1551" i="6"/>
  <c r="Y1550" i="6"/>
  <c r="Y1549" i="6"/>
  <c r="Y1548" i="6"/>
  <c r="Y1547" i="6"/>
  <c r="Y1546" i="6"/>
  <c r="Y1545" i="6"/>
  <c r="Y1544" i="6"/>
  <c r="Y1543" i="6"/>
  <c r="Y1542" i="6"/>
  <c r="Y1541" i="6"/>
  <c r="Y1540" i="6"/>
  <c r="Y1539" i="6"/>
  <c r="Y1538" i="6"/>
  <c r="Y1537" i="6"/>
  <c r="Y1536" i="6"/>
  <c r="Y1535" i="6"/>
  <c r="Y1534" i="6"/>
  <c r="Y1533" i="6"/>
  <c r="Y1532" i="6"/>
  <c r="Y1531" i="6"/>
  <c r="Y1530" i="6"/>
  <c r="Y1529" i="6"/>
  <c r="Y1528" i="6"/>
  <c r="Y1527" i="6"/>
  <c r="Y1526" i="6"/>
  <c r="Y1525" i="6"/>
  <c r="Y1524" i="6"/>
  <c r="Y1523" i="6"/>
  <c r="Y1522" i="6"/>
  <c r="Y1521" i="6"/>
  <c r="Y1520" i="6"/>
  <c r="Y1519" i="6"/>
  <c r="Y1518" i="6"/>
  <c r="Y1517" i="6"/>
  <c r="Y1516" i="6"/>
  <c r="Y1515" i="6"/>
  <c r="Y1514" i="6"/>
  <c r="Y1513" i="6"/>
  <c r="Y1512" i="6"/>
  <c r="Y1511" i="6"/>
  <c r="Y1510" i="6"/>
  <c r="Y1509" i="6"/>
  <c r="Y1508" i="6"/>
  <c r="Y1507" i="6"/>
  <c r="Y1506" i="6"/>
  <c r="Y1505" i="6"/>
  <c r="Y1504" i="6"/>
  <c r="Y1503" i="6"/>
  <c r="Y1502" i="6"/>
  <c r="Y1501" i="6"/>
  <c r="Y1500" i="6"/>
  <c r="Y1499" i="6"/>
  <c r="Y1498" i="6"/>
  <c r="Y1497" i="6"/>
  <c r="Y1496" i="6"/>
  <c r="Y1495" i="6"/>
  <c r="Y1494" i="6"/>
  <c r="Y1493" i="6"/>
  <c r="Y1492" i="6"/>
  <c r="Y1491" i="6"/>
  <c r="Y1490" i="6"/>
  <c r="Y1489" i="6"/>
  <c r="Y1488" i="6"/>
  <c r="Y1487" i="6"/>
  <c r="Y1486" i="6"/>
  <c r="Y1485" i="6"/>
  <c r="Y1484" i="6"/>
  <c r="Y1483" i="6"/>
  <c r="Y1482" i="6"/>
  <c r="Y1481" i="6"/>
  <c r="Y1480" i="6"/>
  <c r="Y1479" i="6"/>
  <c r="Y1478" i="6"/>
  <c r="Y1477" i="6"/>
  <c r="Y1476" i="6"/>
  <c r="Y1475" i="6"/>
  <c r="Y1474" i="6"/>
  <c r="Y1473" i="6"/>
  <c r="Y1472" i="6"/>
  <c r="Y1471" i="6"/>
  <c r="Y1470" i="6"/>
  <c r="Y1469" i="6"/>
  <c r="Y1468" i="6"/>
  <c r="Y1467" i="6"/>
  <c r="Y1466" i="6"/>
  <c r="Y1465" i="6"/>
  <c r="Y1464" i="6"/>
  <c r="Y1463" i="6"/>
  <c r="Y1462" i="6"/>
  <c r="Y1461" i="6"/>
  <c r="Y1460" i="6"/>
  <c r="Y1459" i="6"/>
  <c r="Y1458" i="6"/>
  <c r="Y1457" i="6"/>
  <c r="Y1456" i="6"/>
  <c r="Y1455" i="6"/>
  <c r="Y1454" i="6"/>
  <c r="Y1453" i="6"/>
  <c r="Y1452" i="6"/>
  <c r="Y1451" i="6"/>
  <c r="Y1450" i="6"/>
  <c r="Y1449" i="6"/>
  <c r="Y1448" i="6"/>
  <c r="Y1447" i="6"/>
  <c r="Y1446" i="6"/>
  <c r="Y1445" i="6"/>
  <c r="Y1444" i="6"/>
  <c r="Y1443" i="6"/>
  <c r="Y1442" i="6"/>
  <c r="Y1441" i="6"/>
  <c r="Y1440" i="6"/>
  <c r="Y1439" i="6"/>
  <c r="Y1438" i="6"/>
  <c r="Y1437" i="6"/>
  <c r="Y1436" i="6"/>
  <c r="Y1435" i="6"/>
  <c r="Y1434" i="6"/>
  <c r="Y1433" i="6"/>
  <c r="Y1432" i="6"/>
  <c r="Y1431" i="6"/>
  <c r="Y1430" i="6"/>
  <c r="Y1429" i="6"/>
  <c r="Y1428" i="6"/>
  <c r="Y1427" i="6"/>
  <c r="Y1426" i="6"/>
  <c r="Y1425" i="6"/>
  <c r="Y1424" i="6"/>
  <c r="Y1423" i="6"/>
  <c r="Y1422" i="6"/>
  <c r="Y1421" i="6"/>
  <c r="Y1420" i="6"/>
  <c r="Y1419" i="6"/>
  <c r="Y1418" i="6"/>
  <c r="Y1417" i="6"/>
  <c r="Y1416" i="6"/>
  <c r="Y1415" i="6"/>
  <c r="Y1414" i="6"/>
  <c r="Y1413" i="6"/>
  <c r="Y1412" i="6"/>
  <c r="Y1411" i="6"/>
  <c r="Y1410" i="6"/>
  <c r="Y1409" i="6"/>
  <c r="Y1408" i="6"/>
  <c r="Y1407" i="6"/>
  <c r="Y1406" i="6"/>
  <c r="Y1405" i="6"/>
  <c r="Y1404" i="6"/>
  <c r="Y1403" i="6"/>
  <c r="Y1402" i="6"/>
  <c r="Y1401" i="6"/>
  <c r="Y1400" i="6"/>
  <c r="Y1399" i="6"/>
  <c r="Y1398" i="6"/>
  <c r="Y1397" i="6"/>
  <c r="Y1396" i="6"/>
  <c r="Y1395" i="6"/>
  <c r="Y1394" i="6"/>
  <c r="Y1393" i="6"/>
  <c r="Y1392" i="6"/>
  <c r="Y1391" i="6"/>
  <c r="Y1390" i="6"/>
  <c r="Y1389" i="6"/>
  <c r="Y1388" i="6"/>
  <c r="Y1387" i="6"/>
  <c r="Y1386" i="6"/>
  <c r="Y1385" i="6"/>
  <c r="Y1384" i="6"/>
  <c r="Y1383" i="6"/>
  <c r="Y1382" i="6"/>
  <c r="Y1381" i="6"/>
  <c r="Y1380" i="6"/>
  <c r="Y1379" i="6"/>
  <c r="Y1378" i="6"/>
  <c r="Y1377" i="6"/>
  <c r="Y1376" i="6"/>
  <c r="Y1375" i="6"/>
  <c r="Y1374" i="6"/>
  <c r="Y1373" i="6"/>
  <c r="Y1372" i="6"/>
  <c r="Y1371" i="6"/>
  <c r="Y1370" i="6"/>
  <c r="Y1369" i="6"/>
  <c r="Y1368" i="6"/>
  <c r="Y1367" i="6"/>
  <c r="Y1366" i="6"/>
  <c r="Y1365" i="6"/>
  <c r="Y1364" i="6"/>
  <c r="Y1363" i="6"/>
  <c r="Y1362" i="6"/>
  <c r="Y1361" i="6"/>
  <c r="Y1360" i="6"/>
  <c r="Y1359" i="6"/>
  <c r="Y1358" i="6"/>
  <c r="Y1357" i="6"/>
  <c r="Y1356" i="6"/>
  <c r="Y1355" i="6"/>
  <c r="Y1354" i="6"/>
  <c r="Y1353" i="6"/>
  <c r="Y1352" i="6"/>
  <c r="Y1351" i="6"/>
  <c r="Y1350" i="6"/>
  <c r="Y1349" i="6"/>
  <c r="Y1348" i="6"/>
  <c r="Y1347" i="6"/>
  <c r="Y1346" i="6"/>
  <c r="Y1345" i="6"/>
  <c r="Y1344" i="6"/>
  <c r="Y1343" i="6"/>
  <c r="Y1342" i="6"/>
  <c r="Y1341" i="6"/>
  <c r="Y1340" i="6"/>
  <c r="Y1339" i="6"/>
  <c r="Y1338" i="6"/>
  <c r="Y1337" i="6"/>
  <c r="Y1336" i="6"/>
  <c r="Y1335" i="6"/>
  <c r="Y1334" i="6"/>
  <c r="Y1333" i="6"/>
  <c r="Y1332" i="6"/>
  <c r="Y1331" i="6"/>
  <c r="Y1330" i="6"/>
  <c r="Y1329" i="6"/>
  <c r="Y1328" i="6"/>
  <c r="Y1327" i="6"/>
  <c r="Y1326" i="6"/>
  <c r="Y1325" i="6"/>
  <c r="Y1324" i="6"/>
  <c r="Y1323" i="6"/>
  <c r="Y1322" i="6"/>
  <c r="Y1321" i="6"/>
  <c r="Y1320" i="6"/>
  <c r="Y1319" i="6"/>
  <c r="Y1318" i="6"/>
  <c r="Y1317" i="6"/>
  <c r="Y1316" i="6"/>
  <c r="Y1315" i="6"/>
  <c r="Y1314" i="6"/>
  <c r="Y1313" i="6"/>
  <c r="Y1312" i="6"/>
  <c r="Y1311" i="6"/>
  <c r="Y1310" i="6"/>
  <c r="Y1309" i="6"/>
  <c r="Y1308" i="6"/>
  <c r="Y1307" i="6"/>
  <c r="Y1306" i="6"/>
  <c r="Y1305" i="6"/>
  <c r="Y1304" i="6"/>
  <c r="Y1303" i="6"/>
  <c r="Y1302" i="6"/>
  <c r="Y1301" i="6"/>
  <c r="Y1300" i="6"/>
  <c r="Y1299" i="6"/>
  <c r="Y1298" i="6"/>
  <c r="Y1297" i="6"/>
  <c r="Y1296" i="6"/>
  <c r="Y1295" i="6"/>
  <c r="Y1294" i="6"/>
  <c r="Y1293" i="6"/>
  <c r="Y1292" i="6"/>
  <c r="Y1291" i="6"/>
  <c r="Y1290" i="6"/>
  <c r="Y1289" i="6"/>
  <c r="Y1288" i="6"/>
  <c r="Y1287" i="6"/>
  <c r="Y1286" i="6"/>
  <c r="Y1285" i="6"/>
  <c r="Y1284" i="6"/>
  <c r="Y1283" i="6"/>
  <c r="Y1282" i="6"/>
  <c r="Y1281" i="6"/>
  <c r="Y1280" i="6"/>
  <c r="Y1279" i="6"/>
  <c r="Y1278" i="6"/>
  <c r="Y1277" i="6"/>
  <c r="Y1276" i="6"/>
  <c r="Y1275" i="6"/>
  <c r="Y1274" i="6"/>
  <c r="Y1273" i="6"/>
  <c r="Y1272" i="6"/>
  <c r="Y1271" i="6"/>
  <c r="Y1270" i="6"/>
  <c r="Y1269" i="6"/>
  <c r="Y1268" i="6"/>
  <c r="Y1267" i="6"/>
  <c r="Y1266" i="6"/>
  <c r="Y1265" i="6"/>
  <c r="Y1264" i="6"/>
  <c r="Y1263" i="6"/>
  <c r="Y1262" i="6"/>
  <c r="Y1261" i="6"/>
  <c r="Y1260" i="6"/>
  <c r="Y1259" i="6"/>
  <c r="Y1258" i="6"/>
  <c r="Y1257" i="6"/>
  <c r="Y1256" i="6"/>
  <c r="Y1255" i="6"/>
  <c r="Y1254" i="6"/>
  <c r="Y1253" i="6"/>
  <c r="Y1252" i="6"/>
  <c r="Y1251" i="6"/>
  <c r="Y1250" i="6"/>
  <c r="Y1249" i="6"/>
  <c r="Y1248" i="6"/>
  <c r="Y1247" i="6"/>
  <c r="Y1246" i="6"/>
  <c r="Y1245" i="6"/>
  <c r="Y1244" i="6"/>
  <c r="Y1243" i="6"/>
  <c r="Y1242" i="6"/>
  <c r="Y1241" i="6"/>
  <c r="Y1240" i="6"/>
  <c r="Y1239" i="6"/>
  <c r="Y1238" i="6"/>
  <c r="Y1237" i="6"/>
  <c r="Y1236" i="6"/>
  <c r="Y1235" i="6"/>
  <c r="Y1234" i="6"/>
  <c r="Y1233" i="6"/>
  <c r="Y1232" i="6"/>
  <c r="Y1231" i="6"/>
  <c r="Y1230" i="6"/>
  <c r="Y1229" i="6"/>
  <c r="Y1228" i="6"/>
  <c r="Y1227" i="6"/>
  <c r="Y1226" i="6"/>
  <c r="Y1225" i="6"/>
  <c r="Y1224" i="6"/>
  <c r="Y1223" i="6"/>
  <c r="Y1222" i="6"/>
  <c r="Y1221" i="6"/>
  <c r="Y1220" i="6"/>
  <c r="Y1219" i="6"/>
  <c r="Y1218" i="6"/>
  <c r="Y1217" i="6"/>
  <c r="Y1216" i="6"/>
  <c r="Y1215" i="6"/>
  <c r="Y1214" i="6"/>
  <c r="Y1213" i="6"/>
  <c r="Y1212" i="6"/>
  <c r="Y1211" i="6"/>
  <c r="Y1210" i="6"/>
  <c r="Y1209" i="6"/>
  <c r="Y1208" i="6"/>
  <c r="Y1207" i="6"/>
  <c r="Y1206" i="6"/>
  <c r="Y1205" i="6"/>
  <c r="Y1204" i="6"/>
  <c r="Y1203" i="6"/>
  <c r="Y1202" i="6"/>
  <c r="Y1201" i="6"/>
  <c r="Y1200" i="6"/>
  <c r="Y1199" i="6"/>
  <c r="Y1198" i="6"/>
  <c r="Y1197" i="6"/>
  <c r="Y1196" i="6"/>
  <c r="Y1195" i="6"/>
  <c r="Y1194" i="6"/>
  <c r="Y1193" i="6"/>
  <c r="Y1192" i="6"/>
  <c r="Y1191" i="6"/>
  <c r="Y1190" i="6"/>
  <c r="Y1189" i="6"/>
  <c r="Y1188" i="6"/>
  <c r="Y1187" i="6"/>
  <c r="Y1186" i="6"/>
  <c r="Y1185" i="6"/>
  <c r="Y1184" i="6"/>
  <c r="Y1183" i="6"/>
  <c r="Y1182" i="6"/>
  <c r="Y1181" i="6"/>
  <c r="Y1180" i="6"/>
  <c r="Y1179" i="6"/>
  <c r="Y1178" i="6"/>
  <c r="Y1177" i="6"/>
  <c r="Y1176" i="6"/>
  <c r="Y1175" i="6"/>
  <c r="Y1174" i="6"/>
  <c r="Y1173" i="6"/>
  <c r="Y1172" i="6"/>
  <c r="Y1171" i="6"/>
  <c r="Y1170" i="6"/>
  <c r="Y1169" i="6"/>
  <c r="Y1168" i="6"/>
  <c r="Y1167" i="6"/>
  <c r="Y1166" i="6"/>
  <c r="Y1165" i="6"/>
  <c r="Y1164" i="6"/>
  <c r="Y1163" i="6"/>
  <c r="Y1162" i="6"/>
  <c r="Y1161" i="6"/>
  <c r="Y1160" i="6"/>
  <c r="Y1159" i="6"/>
  <c r="Y1158" i="6"/>
  <c r="Y1157" i="6"/>
  <c r="Y1156" i="6"/>
  <c r="Y1155" i="6"/>
  <c r="Y1154" i="6"/>
  <c r="Y1153" i="6"/>
  <c r="Y1152" i="6"/>
  <c r="Y1151" i="6"/>
  <c r="Y1150" i="6"/>
  <c r="Y1149" i="6"/>
  <c r="Y1148" i="6"/>
  <c r="Y1147" i="6"/>
  <c r="Y1146" i="6"/>
  <c r="Y1145" i="6"/>
  <c r="Y1144" i="6"/>
  <c r="Y1143" i="6"/>
  <c r="Y1142" i="6"/>
  <c r="Y1141" i="6"/>
  <c r="Y1140" i="6"/>
  <c r="Y1139" i="6"/>
  <c r="Y1138" i="6"/>
  <c r="Y1137" i="6"/>
  <c r="Y1136" i="6"/>
  <c r="Y1135" i="6"/>
  <c r="Y1134" i="6"/>
  <c r="Y1133" i="6"/>
  <c r="Y1132" i="6"/>
  <c r="Y1131" i="6"/>
  <c r="Y1130" i="6"/>
  <c r="Y1129" i="6"/>
  <c r="Y1128" i="6"/>
  <c r="Y1127" i="6"/>
  <c r="Y1126" i="6"/>
  <c r="Y1125" i="6"/>
  <c r="Y1124" i="6"/>
  <c r="Y1123" i="6"/>
  <c r="Y1122" i="6"/>
  <c r="Y1121" i="6"/>
  <c r="Y1120" i="6"/>
  <c r="Y1119" i="6"/>
  <c r="Y1118" i="6"/>
  <c r="Y1117" i="6"/>
  <c r="Y1116" i="6"/>
  <c r="Y1115" i="6"/>
  <c r="Y1114" i="6"/>
  <c r="Y1113" i="6"/>
  <c r="Y1112" i="6"/>
  <c r="Y1111" i="6"/>
  <c r="Y1110" i="6"/>
  <c r="Y1109" i="6"/>
  <c r="Y1108" i="6"/>
  <c r="Y1107" i="6"/>
  <c r="Y1106" i="6"/>
  <c r="Y1105" i="6"/>
  <c r="Y1104" i="6"/>
  <c r="Y1103" i="6"/>
  <c r="Y1102" i="6"/>
  <c r="Y1101" i="6"/>
  <c r="Y1100" i="6"/>
  <c r="Y1099" i="6"/>
  <c r="Y1098" i="6"/>
  <c r="Y1097" i="6"/>
  <c r="Y1096" i="6"/>
  <c r="Y1095" i="6"/>
  <c r="Y1094" i="6"/>
  <c r="Y1093" i="6"/>
  <c r="Y1092" i="6"/>
  <c r="Y1091" i="6"/>
  <c r="Y1090" i="6"/>
  <c r="Y1089" i="6"/>
  <c r="Y1088" i="6"/>
  <c r="Y1087" i="6"/>
  <c r="Y1086" i="6"/>
  <c r="Y1085" i="6"/>
  <c r="Y1084" i="6"/>
  <c r="Y1083" i="6"/>
  <c r="Y1082" i="6"/>
  <c r="Y1081" i="6"/>
  <c r="Y1080" i="6"/>
  <c r="Y1079" i="6"/>
  <c r="Y1078" i="6"/>
  <c r="Y1077" i="6"/>
  <c r="Y1076" i="6"/>
  <c r="Y1075" i="6"/>
  <c r="Y1074" i="6"/>
  <c r="Y1073" i="6"/>
  <c r="Y1072" i="6"/>
  <c r="Y1071" i="6"/>
  <c r="Y1070" i="6"/>
  <c r="Y1069" i="6"/>
  <c r="Y1068" i="6"/>
  <c r="Y1067" i="6"/>
  <c r="Y1066" i="6"/>
  <c r="Y1065" i="6"/>
  <c r="Y1064" i="6"/>
  <c r="Y1063" i="6"/>
  <c r="Y1062" i="6"/>
  <c r="Y1061" i="6"/>
  <c r="Y1060" i="6"/>
  <c r="Y1059" i="6"/>
  <c r="Y1058" i="6"/>
  <c r="Y1057" i="6"/>
  <c r="Y1056" i="6"/>
  <c r="Y1055" i="6"/>
  <c r="Y1054" i="6"/>
  <c r="Y1053" i="6"/>
  <c r="Y1052" i="6"/>
  <c r="Y1051" i="6"/>
  <c r="Y1050" i="6"/>
  <c r="Y1049" i="6"/>
  <c r="Y1048" i="6"/>
  <c r="Y1047" i="6"/>
  <c r="Y1046" i="6"/>
  <c r="Y1045" i="6"/>
  <c r="Y1044" i="6"/>
  <c r="Y1043" i="6"/>
  <c r="Y1042" i="6"/>
  <c r="Y1041" i="6"/>
  <c r="Y1040" i="6"/>
  <c r="Y1039" i="6"/>
  <c r="Y1038" i="6"/>
  <c r="Y1037" i="6"/>
  <c r="Y1036" i="6"/>
  <c r="Y1035" i="6"/>
  <c r="Y1034" i="6"/>
  <c r="Y1033" i="6"/>
  <c r="Y1032" i="6"/>
  <c r="Y1031" i="6"/>
  <c r="Y1030" i="6"/>
  <c r="Y1029" i="6"/>
  <c r="Y1028" i="6"/>
  <c r="Y1027" i="6"/>
  <c r="Y1026" i="6"/>
  <c r="Y1025" i="6"/>
  <c r="Y1024" i="6"/>
  <c r="Y1023" i="6"/>
  <c r="Y1022" i="6"/>
  <c r="Y1021" i="6"/>
  <c r="Y1020" i="6"/>
  <c r="Y1019" i="6"/>
  <c r="Y1018" i="6"/>
  <c r="Y1017" i="6"/>
  <c r="Y1016" i="6"/>
  <c r="Y1015" i="6"/>
  <c r="Y1014" i="6"/>
  <c r="Y1013" i="6"/>
  <c r="Y1012" i="6"/>
  <c r="Y1011" i="6"/>
  <c r="Y1010" i="6"/>
  <c r="Y1009" i="6"/>
  <c r="Y1008" i="6"/>
  <c r="Y1007" i="6"/>
  <c r="Y1006" i="6"/>
  <c r="X2005" i="6"/>
  <c r="X2004" i="6"/>
  <c r="X2003" i="6"/>
  <c r="X2002" i="6"/>
  <c r="X2001" i="6"/>
  <c r="X2000" i="6"/>
  <c r="X1999" i="6"/>
  <c r="X1998" i="6"/>
  <c r="X1997" i="6"/>
  <c r="X1996" i="6"/>
  <c r="X1995" i="6"/>
  <c r="X1994" i="6"/>
  <c r="X1993" i="6"/>
  <c r="X1992" i="6"/>
  <c r="X1991" i="6"/>
  <c r="X1990" i="6"/>
  <c r="X1989" i="6"/>
  <c r="X1988" i="6"/>
  <c r="X1987" i="6"/>
  <c r="X1986" i="6"/>
  <c r="X1985" i="6"/>
  <c r="X1984" i="6"/>
  <c r="X1983" i="6"/>
  <c r="X1982" i="6"/>
  <c r="X1981" i="6"/>
  <c r="X1980" i="6"/>
  <c r="X1979" i="6"/>
  <c r="X1978" i="6"/>
  <c r="X1977" i="6"/>
  <c r="X1976" i="6"/>
  <c r="X1975" i="6"/>
  <c r="X1974" i="6"/>
  <c r="X1973" i="6"/>
  <c r="X1972" i="6"/>
  <c r="X1971" i="6"/>
  <c r="X1970" i="6"/>
  <c r="X1969" i="6"/>
  <c r="X1968" i="6"/>
  <c r="X1967" i="6"/>
  <c r="X1966" i="6"/>
  <c r="X1965" i="6"/>
  <c r="X1964" i="6"/>
  <c r="X1963" i="6"/>
  <c r="X1962" i="6"/>
  <c r="X1961" i="6"/>
  <c r="X1960" i="6"/>
  <c r="X1959" i="6"/>
  <c r="X1958" i="6"/>
  <c r="X1957" i="6"/>
  <c r="X1956" i="6"/>
  <c r="X1955" i="6"/>
  <c r="X1954" i="6"/>
  <c r="X1953" i="6"/>
  <c r="X1952" i="6"/>
  <c r="X1951" i="6"/>
  <c r="X1950" i="6"/>
  <c r="X1949" i="6"/>
  <c r="X1948" i="6"/>
  <c r="X1947" i="6"/>
  <c r="X1946" i="6"/>
  <c r="X1945" i="6"/>
  <c r="X1944" i="6"/>
  <c r="X1943" i="6"/>
  <c r="X1942" i="6"/>
  <c r="X1941" i="6"/>
  <c r="X1940" i="6"/>
  <c r="X1939" i="6"/>
  <c r="X1938" i="6"/>
  <c r="X1937" i="6"/>
  <c r="X1936" i="6"/>
  <c r="X1935" i="6"/>
  <c r="X1934" i="6"/>
  <c r="X1933" i="6"/>
  <c r="X1932" i="6"/>
  <c r="X1931" i="6"/>
  <c r="X1930" i="6"/>
  <c r="X1929" i="6"/>
  <c r="X1928" i="6"/>
  <c r="X1927" i="6"/>
  <c r="X1926" i="6"/>
  <c r="X1925" i="6"/>
  <c r="X1924" i="6"/>
  <c r="X1923" i="6"/>
  <c r="X1922" i="6"/>
  <c r="X1921" i="6"/>
  <c r="X1920" i="6"/>
  <c r="X1919" i="6"/>
  <c r="X1918" i="6"/>
  <c r="X1917" i="6"/>
  <c r="X1916" i="6"/>
  <c r="X1915" i="6"/>
  <c r="X1914" i="6"/>
  <c r="X1913" i="6"/>
  <c r="X1912" i="6"/>
  <c r="X1911" i="6"/>
  <c r="X1910" i="6"/>
  <c r="X1909" i="6"/>
  <c r="X1908" i="6"/>
  <c r="X1907" i="6"/>
  <c r="X1906" i="6"/>
  <c r="X1905" i="6"/>
  <c r="X1904" i="6"/>
  <c r="X1903" i="6"/>
  <c r="X1902" i="6"/>
  <c r="X1901" i="6"/>
  <c r="X1900" i="6"/>
  <c r="X1899" i="6"/>
  <c r="X1898" i="6"/>
  <c r="X1897" i="6"/>
  <c r="X1896" i="6"/>
  <c r="X1895" i="6"/>
  <c r="X1894" i="6"/>
  <c r="X1893" i="6"/>
  <c r="X1892" i="6"/>
  <c r="X1891" i="6"/>
  <c r="X1890" i="6"/>
  <c r="X1889" i="6"/>
  <c r="X1888" i="6"/>
  <c r="X1887" i="6"/>
  <c r="X1886" i="6"/>
  <c r="X1885" i="6"/>
  <c r="X1884" i="6"/>
  <c r="X1883" i="6"/>
  <c r="X1882" i="6"/>
  <c r="X1881" i="6"/>
  <c r="X1880" i="6"/>
  <c r="X1879" i="6"/>
  <c r="X1878" i="6"/>
  <c r="X1877" i="6"/>
  <c r="X1876" i="6"/>
  <c r="X1875" i="6"/>
  <c r="X1874" i="6"/>
  <c r="X1873" i="6"/>
  <c r="X1872" i="6"/>
  <c r="X1871" i="6"/>
  <c r="X1870" i="6"/>
  <c r="X1869" i="6"/>
  <c r="X1868" i="6"/>
  <c r="X1867" i="6"/>
  <c r="X1866" i="6"/>
  <c r="X1865" i="6"/>
  <c r="X1864" i="6"/>
  <c r="X1863" i="6"/>
  <c r="X1862" i="6"/>
  <c r="X1861" i="6"/>
  <c r="X1860" i="6"/>
  <c r="X1859" i="6"/>
  <c r="X1858" i="6"/>
  <c r="X1857" i="6"/>
  <c r="X1856" i="6"/>
  <c r="X1855" i="6"/>
  <c r="X1854" i="6"/>
  <c r="X1853" i="6"/>
  <c r="X1852" i="6"/>
  <c r="X1851" i="6"/>
  <c r="X1850" i="6"/>
  <c r="X1849" i="6"/>
  <c r="X1848" i="6"/>
  <c r="X1847" i="6"/>
  <c r="X1846" i="6"/>
  <c r="X1845" i="6"/>
  <c r="X1844" i="6"/>
  <c r="X1843" i="6"/>
  <c r="X1842" i="6"/>
  <c r="X1841" i="6"/>
  <c r="X1840" i="6"/>
  <c r="X1839" i="6"/>
  <c r="X1838" i="6"/>
  <c r="X1837" i="6"/>
  <c r="X1836" i="6"/>
  <c r="X1835" i="6"/>
  <c r="X1834" i="6"/>
  <c r="X1833" i="6"/>
  <c r="X1832" i="6"/>
  <c r="X1831" i="6"/>
  <c r="X1830" i="6"/>
  <c r="X1829" i="6"/>
  <c r="X1828" i="6"/>
  <c r="X1827" i="6"/>
  <c r="X1826" i="6"/>
  <c r="X1825" i="6"/>
  <c r="X1824" i="6"/>
  <c r="X1823" i="6"/>
  <c r="X1822" i="6"/>
  <c r="X1821" i="6"/>
  <c r="X1820" i="6"/>
  <c r="X1819" i="6"/>
  <c r="X1818" i="6"/>
  <c r="X1817" i="6"/>
  <c r="X1816" i="6"/>
  <c r="X1815" i="6"/>
  <c r="X1814" i="6"/>
  <c r="X1813" i="6"/>
  <c r="X1812" i="6"/>
  <c r="X1811" i="6"/>
  <c r="X1810" i="6"/>
  <c r="X1809" i="6"/>
  <c r="X1808" i="6"/>
  <c r="X1807" i="6"/>
  <c r="X1806" i="6"/>
  <c r="X1805" i="6"/>
  <c r="X1804" i="6"/>
  <c r="X1803" i="6"/>
  <c r="X1802" i="6"/>
  <c r="X1801" i="6"/>
  <c r="X1800" i="6"/>
  <c r="X1799" i="6"/>
  <c r="X1798" i="6"/>
  <c r="X1797" i="6"/>
  <c r="X1796" i="6"/>
  <c r="X1795" i="6"/>
  <c r="X1794" i="6"/>
  <c r="X1793" i="6"/>
  <c r="X1792" i="6"/>
  <c r="X1791" i="6"/>
  <c r="X1790" i="6"/>
  <c r="X1789" i="6"/>
  <c r="X1788" i="6"/>
  <c r="X1787" i="6"/>
  <c r="X1786" i="6"/>
  <c r="X1785" i="6"/>
  <c r="X1784" i="6"/>
  <c r="X1783" i="6"/>
  <c r="X1782" i="6"/>
  <c r="X1781" i="6"/>
  <c r="X1780" i="6"/>
  <c r="X1779" i="6"/>
  <c r="X1778" i="6"/>
  <c r="X1777" i="6"/>
  <c r="X1776" i="6"/>
  <c r="X1775" i="6"/>
  <c r="X1774" i="6"/>
  <c r="X1773" i="6"/>
  <c r="X1772" i="6"/>
  <c r="X1771" i="6"/>
  <c r="X1770" i="6"/>
  <c r="X1769" i="6"/>
  <c r="X1768" i="6"/>
  <c r="X1767" i="6"/>
  <c r="X1766" i="6"/>
  <c r="X1765" i="6"/>
  <c r="X1764" i="6"/>
  <c r="X1763" i="6"/>
  <c r="X1762" i="6"/>
  <c r="X1761" i="6"/>
  <c r="X1760" i="6"/>
  <c r="X1759" i="6"/>
  <c r="X1758" i="6"/>
  <c r="X1757" i="6"/>
  <c r="X1756" i="6"/>
  <c r="X1755" i="6"/>
  <c r="X1754" i="6"/>
  <c r="X1753" i="6"/>
  <c r="X1752" i="6"/>
  <c r="X1751" i="6"/>
  <c r="X1750" i="6"/>
  <c r="X1749" i="6"/>
  <c r="X1748" i="6"/>
  <c r="X1747" i="6"/>
  <c r="X1746" i="6"/>
  <c r="X1745" i="6"/>
  <c r="X1744" i="6"/>
  <c r="X1743" i="6"/>
  <c r="X1742" i="6"/>
  <c r="X1741" i="6"/>
  <c r="X1740" i="6"/>
  <c r="X1739" i="6"/>
  <c r="X1738" i="6"/>
  <c r="X1737" i="6"/>
  <c r="X1736" i="6"/>
  <c r="X1735" i="6"/>
  <c r="X1734" i="6"/>
  <c r="X1733" i="6"/>
  <c r="X1732" i="6"/>
  <c r="X1731" i="6"/>
  <c r="X1730" i="6"/>
  <c r="X1729" i="6"/>
  <c r="X1728" i="6"/>
  <c r="X1727" i="6"/>
  <c r="X1726" i="6"/>
  <c r="X1725" i="6"/>
  <c r="X1724" i="6"/>
  <c r="X1723" i="6"/>
  <c r="X1722" i="6"/>
  <c r="X1721" i="6"/>
  <c r="X1720" i="6"/>
  <c r="X1719" i="6"/>
  <c r="X1718" i="6"/>
  <c r="X1717" i="6"/>
  <c r="X1716" i="6"/>
  <c r="X1715" i="6"/>
  <c r="X1714" i="6"/>
  <c r="X1713" i="6"/>
  <c r="X1712" i="6"/>
  <c r="X1711" i="6"/>
  <c r="X1710" i="6"/>
  <c r="X1709" i="6"/>
  <c r="X1708" i="6"/>
  <c r="X1707" i="6"/>
  <c r="X1706" i="6"/>
  <c r="X1705" i="6"/>
  <c r="X1704" i="6"/>
  <c r="X1703" i="6"/>
  <c r="X1702" i="6"/>
  <c r="X1701" i="6"/>
  <c r="X1700" i="6"/>
  <c r="X1699" i="6"/>
  <c r="X1698" i="6"/>
  <c r="X1697" i="6"/>
  <c r="X1696" i="6"/>
  <c r="X1695" i="6"/>
  <c r="X1694" i="6"/>
  <c r="X1693" i="6"/>
  <c r="X1692" i="6"/>
  <c r="X1691" i="6"/>
  <c r="X1690" i="6"/>
  <c r="X1689" i="6"/>
  <c r="X1688" i="6"/>
  <c r="X1687" i="6"/>
  <c r="X1686" i="6"/>
  <c r="X1685" i="6"/>
  <c r="X1684" i="6"/>
  <c r="X1683" i="6"/>
  <c r="X1682" i="6"/>
  <c r="X1681" i="6"/>
  <c r="X1680" i="6"/>
  <c r="X1679" i="6"/>
  <c r="X1678" i="6"/>
  <c r="X1677" i="6"/>
  <c r="X1676" i="6"/>
  <c r="X1675" i="6"/>
  <c r="X1674" i="6"/>
  <c r="X1673" i="6"/>
  <c r="X1672" i="6"/>
  <c r="X1671" i="6"/>
  <c r="X1670" i="6"/>
  <c r="X1669" i="6"/>
  <c r="X1668" i="6"/>
  <c r="X1667" i="6"/>
  <c r="X1666" i="6"/>
  <c r="X1665" i="6"/>
  <c r="X1664" i="6"/>
  <c r="X1663" i="6"/>
  <c r="X1662" i="6"/>
  <c r="X1661" i="6"/>
  <c r="X1660" i="6"/>
  <c r="X1659" i="6"/>
  <c r="X1658" i="6"/>
  <c r="X1657" i="6"/>
  <c r="X1656" i="6"/>
  <c r="X1655" i="6"/>
  <c r="X1654" i="6"/>
  <c r="X1653" i="6"/>
  <c r="X1652" i="6"/>
  <c r="X1651" i="6"/>
  <c r="X1650" i="6"/>
  <c r="X1649" i="6"/>
  <c r="X1648" i="6"/>
  <c r="X1647" i="6"/>
  <c r="X1646" i="6"/>
  <c r="X1645" i="6"/>
  <c r="X1644" i="6"/>
  <c r="X1643" i="6"/>
  <c r="X1642" i="6"/>
  <c r="X1641" i="6"/>
  <c r="X1640" i="6"/>
  <c r="X1639" i="6"/>
  <c r="X1638" i="6"/>
  <c r="X1637" i="6"/>
  <c r="X1636" i="6"/>
  <c r="X1635" i="6"/>
  <c r="X1634" i="6"/>
  <c r="X1633" i="6"/>
  <c r="X1632" i="6"/>
  <c r="X1631" i="6"/>
  <c r="X1630" i="6"/>
  <c r="X1629" i="6"/>
  <c r="X1628" i="6"/>
  <c r="X1627" i="6"/>
  <c r="X1626" i="6"/>
  <c r="X1625" i="6"/>
  <c r="X1624" i="6"/>
  <c r="X1623" i="6"/>
  <c r="X1622" i="6"/>
  <c r="X1621" i="6"/>
  <c r="X1620" i="6"/>
  <c r="X1619" i="6"/>
  <c r="X1618" i="6"/>
  <c r="X1617" i="6"/>
  <c r="X1616" i="6"/>
  <c r="X1615" i="6"/>
  <c r="X1614" i="6"/>
  <c r="X1613" i="6"/>
  <c r="X1612" i="6"/>
  <c r="X1611" i="6"/>
  <c r="X1610" i="6"/>
  <c r="X1609" i="6"/>
  <c r="X1608" i="6"/>
  <c r="X1607" i="6"/>
  <c r="X1606" i="6"/>
  <c r="X1605" i="6"/>
  <c r="X1604" i="6"/>
  <c r="X1603" i="6"/>
  <c r="X1602" i="6"/>
  <c r="X1601" i="6"/>
  <c r="X1600" i="6"/>
  <c r="X1599" i="6"/>
  <c r="X1598" i="6"/>
  <c r="X1597" i="6"/>
  <c r="X1596" i="6"/>
  <c r="X1595" i="6"/>
  <c r="X1594" i="6"/>
  <c r="X1593" i="6"/>
  <c r="X1592" i="6"/>
  <c r="X1591" i="6"/>
  <c r="X1590" i="6"/>
  <c r="X1589" i="6"/>
  <c r="X1588" i="6"/>
  <c r="X1587" i="6"/>
  <c r="X1586" i="6"/>
  <c r="X1585" i="6"/>
  <c r="X1584" i="6"/>
  <c r="X1583" i="6"/>
  <c r="X1582" i="6"/>
  <c r="X1581" i="6"/>
  <c r="X1580" i="6"/>
  <c r="X1579" i="6"/>
  <c r="X1578" i="6"/>
  <c r="X1577" i="6"/>
  <c r="X1576" i="6"/>
  <c r="X1575" i="6"/>
  <c r="X1574" i="6"/>
  <c r="X1573" i="6"/>
  <c r="X1572" i="6"/>
  <c r="X1571" i="6"/>
  <c r="X1570" i="6"/>
  <c r="X1569" i="6"/>
  <c r="X1568" i="6"/>
  <c r="X1567" i="6"/>
  <c r="X1566" i="6"/>
  <c r="X1565" i="6"/>
  <c r="X1564" i="6"/>
  <c r="X1563" i="6"/>
  <c r="X1562" i="6"/>
  <c r="X1561" i="6"/>
  <c r="X1560" i="6"/>
  <c r="X1559" i="6"/>
  <c r="X1558" i="6"/>
  <c r="X1557" i="6"/>
  <c r="X1556" i="6"/>
  <c r="X1555" i="6"/>
  <c r="X1554" i="6"/>
  <c r="X1553" i="6"/>
  <c r="X1552" i="6"/>
  <c r="X1551" i="6"/>
  <c r="X1550" i="6"/>
  <c r="X1549" i="6"/>
  <c r="X1548" i="6"/>
  <c r="X1547" i="6"/>
  <c r="X1546" i="6"/>
  <c r="X1545" i="6"/>
  <c r="X1544" i="6"/>
  <c r="X1543" i="6"/>
  <c r="X1542" i="6"/>
  <c r="X1541" i="6"/>
  <c r="X1540" i="6"/>
  <c r="X1539" i="6"/>
  <c r="X1538" i="6"/>
  <c r="X1537" i="6"/>
  <c r="X1536" i="6"/>
  <c r="X1535" i="6"/>
  <c r="X1534" i="6"/>
  <c r="X1533" i="6"/>
  <c r="X1532" i="6"/>
  <c r="X1531" i="6"/>
  <c r="X1530" i="6"/>
  <c r="X1529" i="6"/>
  <c r="X1528" i="6"/>
  <c r="X1527" i="6"/>
  <c r="X1526" i="6"/>
  <c r="X1525" i="6"/>
  <c r="X1524" i="6"/>
  <c r="X1523" i="6"/>
  <c r="X1522" i="6"/>
  <c r="X1521" i="6"/>
  <c r="X1520" i="6"/>
  <c r="X1519" i="6"/>
  <c r="X1518" i="6"/>
  <c r="X1517" i="6"/>
  <c r="X1516" i="6"/>
  <c r="X1515" i="6"/>
  <c r="X1514" i="6"/>
  <c r="X1513" i="6"/>
  <c r="X1512" i="6"/>
  <c r="X1511" i="6"/>
  <c r="X1510" i="6"/>
  <c r="X1509" i="6"/>
  <c r="X1508" i="6"/>
  <c r="X1507" i="6"/>
  <c r="X1506" i="6"/>
  <c r="X1505" i="6"/>
  <c r="X1504" i="6"/>
  <c r="X1503" i="6"/>
  <c r="X1502" i="6"/>
  <c r="X1501" i="6"/>
  <c r="X1500" i="6"/>
  <c r="X1499" i="6"/>
  <c r="X1498" i="6"/>
  <c r="X1497" i="6"/>
  <c r="X1496" i="6"/>
  <c r="X1495" i="6"/>
  <c r="X1494" i="6"/>
  <c r="X1493" i="6"/>
  <c r="X1492" i="6"/>
  <c r="X1491" i="6"/>
  <c r="X1490" i="6"/>
  <c r="X1489" i="6"/>
  <c r="X1488" i="6"/>
  <c r="X1487" i="6"/>
  <c r="X1486" i="6"/>
  <c r="X1485" i="6"/>
  <c r="X1484" i="6"/>
  <c r="X1483" i="6"/>
  <c r="X1482" i="6"/>
  <c r="X1481" i="6"/>
  <c r="X1480" i="6"/>
  <c r="X1479" i="6"/>
  <c r="X1478" i="6"/>
  <c r="X1477" i="6"/>
  <c r="X1476" i="6"/>
  <c r="X1475" i="6"/>
  <c r="X1474" i="6"/>
  <c r="X1473" i="6"/>
  <c r="X1472" i="6"/>
  <c r="X1471" i="6"/>
  <c r="X1470" i="6"/>
  <c r="X1469" i="6"/>
  <c r="X1468" i="6"/>
  <c r="X1467" i="6"/>
  <c r="X1466" i="6"/>
  <c r="X1465" i="6"/>
  <c r="X1464" i="6"/>
  <c r="X1463" i="6"/>
  <c r="X1462" i="6"/>
  <c r="X1461" i="6"/>
  <c r="X1460" i="6"/>
  <c r="X1459" i="6"/>
  <c r="X1458" i="6"/>
  <c r="X1457" i="6"/>
  <c r="X1456" i="6"/>
  <c r="X1455" i="6"/>
  <c r="X1454" i="6"/>
  <c r="X1453" i="6"/>
  <c r="X1452" i="6"/>
  <c r="X1451" i="6"/>
  <c r="X1450" i="6"/>
  <c r="X1449" i="6"/>
  <c r="X1448" i="6"/>
  <c r="X1447" i="6"/>
  <c r="X1446" i="6"/>
  <c r="X1445" i="6"/>
  <c r="X1444" i="6"/>
  <c r="X1443" i="6"/>
  <c r="X1442" i="6"/>
  <c r="X1441" i="6"/>
  <c r="X1440" i="6"/>
  <c r="X1439" i="6"/>
  <c r="X1438" i="6"/>
  <c r="X1437" i="6"/>
  <c r="X1436" i="6"/>
  <c r="X1435" i="6"/>
  <c r="X1434" i="6"/>
  <c r="X1433" i="6"/>
  <c r="X1432" i="6"/>
  <c r="X1431" i="6"/>
  <c r="X1430" i="6"/>
  <c r="X1429" i="6"/>
  <c r="X1428" i="6"/>
  <c r="X1427" i="6"/>
  <c r="X1426" i="6"/>
  <c r="X1425" i="6"/>
  <c r="X1424" i="6"/>
  <c r="X1423" i="6"/>
  <c r="X1422" i="6"/>
  <c r="X1421" i="6"/>
  <c r="X1420" i="6"/>
  <c r="X1419" i="6"/>
  <c r="X1418" i="6"/>
  <c r="X1417" i="6"/>
  <c r="X1416" i="6"/>
  <c r="X1415" i="6"/>
  <c r="X1414" i="6"/>
  <c r="X1413" i="6"/>
  <c r="X1412" i="6"/>
  <c r="X1411" i="6"/>
  <c r="X1410" i="6"/>
  <c r="X1409" i="6"/>
  <c r="X1408" i="6"/>
  <c r="X1407" i="6"/>
  <c r="X1406" i="6"/>
  <c r="X1405" i="6"/>
  <c r="X1404" i="6"/>
  <c r="X1403" i="6"/>
  <c r="X1402" i="6"/>
  <c r="X1401" i="6"/>
  <c r="X1400" i="6"/>
  <c r="X1399" i="6"/>
  <c r="X1398" i="6"/>
  <c r="X1397" i="6"/>
  <c r="X1396" i="6"/>
  <c r="X1395" i="6"/>
  <c r="X1394" i="6"/>
  <c r="X1393" i="6"/>
  <c r="X1392" i="6"/>
  <c r="X1391" i="6"/>
  <c r="X1390" i="6"/>
  <c r="X1389" i="6"/>
  <c r="X1388" i="6"/>
  <c r="X1387" i="6"/>
  <c r="X1386" i="6"/>
  <c r="X1385" i="6"/>
  <c r="X1384" i="6"/>
  <c r="X1383" i="6"/>
  <c r="X1382" i="6"/>
  <c r="X1381" i="6"/>
  <c r="X1380" i="6"/>
  <c r="X1379" i="6"/>
  <c r="X1378" i="6"/>
  <c r="X1377" i="6"/>
  <c r="X1376" i="6"/>
  <c r="X1375" i="6"/>
  <c r="X1374" i="6"/>
  <c r="X1373" i="6"/>
  <c r="X1372" i="6"/>
  <c r="X1371" i="6"/>
  <c r="X1370" i="6"/>
  <c r="X1369" i="6"/>
  <c r="X1368" i="6"/>
  <c r="X1367" i="6"/>
  <c r="X1366" i="6"/>
  <c r="X1365" i="6"/>
  <c r="X1364" i="6"/>
  <c r="X1363" i="6"/>
  <c r="X1362" i="6"/>
  <c r="X1361" i="6"/>
  <c r="X1360" i="6"/>
  <c r="X1359" i="6"/>
  <c r="X1358" i="6"/>
  <c r="X1357" i="6"/>
  <c r="X1356" i="6"/>
  <c r="X1355" i="6"/>
  <c r="X1354" i="6"/>
  <c r="X1353" i="6"/>
  <c r="X1352" i="6"/>
  <c r="X1351" i="6"/>
  <c r="X1350" i="6"/>
  <c r="X1349" i="6"/>
  <c r="X1348" i="6"/>
  <c r="X1347" i="6"/>
  <c r="X1346" i="6"/>
  <c r="X1345" i="6"/>
  <c r="X1344" i="6"/>
  <c r="X1343" i="6"/>
  <c r="X1342" i="6"/>
  <c r="X1341" i="6"/>
  <c r="X1340" i="6"/>
  <c r="X1339" i="6"/>
  <c r="X1338" i="6"/>
  <c r="X1337" i="6"/>
  <c r="X1336" i="6"/>
  <c r="X1335" i="6"/>
  <c r="X1334" i="6"/>
  <c r="X1333" i="6"/>
  <c r="X1332" i="6"/>
  <c r="X1331" i="6"/>
  <c r="X1330" i="6"/>
  <c r="X1329" i="6"/>
  <c r="X1328" i="6"/>
  <c r="X1327" i="6"/>
  <c r="X1326" i="6"/>
  <c r="X1325" i="6"/>
  <c r="X1324" i="6"/>
  <c r="X1323" i="6"/>
  <c r="X1322" i="6"/>
  <c r="X1321" i="6"/>
  <c r="X1320" i="6"/>
  <c r="X1319" i="6"/>
  <c r="X1318" i="6"/>
  <c r="X1317" i="6"/>
  <c r="X1316" i="6"/>
  <c r="X1315" i="6"/>
  <c r="X1314" i="6"/>
  <c r="X1313" i="6"/>
  <c r="X1312" i="6"/>
  <c r="X1311" i="6"/>
  <c r="X1310" i="6"/>
  <c r="X1309" i="6"/>
  <c r="X1308" i="6"/>
  <c r="X1307" i="6"/>
  <c r="X1306" i="6"/>
  <c r="X1305" i="6"/>
  <c r="X1304" i="6"/>
  <c r="X1303" i="6"/>
  <c r="X1302" i="6"/>
  <c r="X1301" i="6"/>
  <c r="X1300" i="6"/>
  <c r="X1299" i="6"/>
  <c r="X1298" i="6"/>
  <c r="X1297" i="6"/>
  <c r="X1296" i="6"/>
  <c r="X1295" i="6"/>
  <c r="X1294" i="6"/>
  <c r="X1293" i="6"/>
  <c r="X1292" i="6"/>
  <c r="X1291" i="6"/>
  <c r="X1290" i="6"/>
  <c r="X1289" i="6"/>
  <c r="X1288" i="6"/>
  <c r="X1287" i="6"/>
  <c r="X1286" i="6"/>
  <c r="X1285" i="6"/>
  <c r="X1284" i="6"/>
  <c r="X1283" i="6"/>
  <c r="X1282" i="6"/>
  <c r="X1281" i="6"/>
  <c r="X1280" i="6"/>
  <c r="X1279" i="6"/>
  <c r="X1278" i="6"/>
  <c r="X1277" i="6"/>
  <c r="X1276" i="6"/>
  <c r="X1275" i="6"/>
  <c r="X1274" i="6"/>
  <c r="X1273" i="6"/>
  <c r="X1272" i="6"/>
  <c r="X1271" i="6"/>
  <c r="X1270" i="6"/>
  <c r="X1269" i="6"/>
  <c r="X1268" i="6"/>
  <c r="X1267" i="6"/>
  <c r="X1266" i="6"/>
  <c r="X1265" i="6"/>
  <c r="X1264" i="6"/>
  <c r="X1263" i="6"/>
  <c r="X1262" i="6"/>
  <c r="X1261" i="6"/>
  <c r="X1260" i="6"/>
  <c r="X1259" i="6"/>
  <c r="X1258" i="6"/>
  <c r="X1257" i="6"/>
  <c r="X1256" i="6"/>
  <c r="X1255" i="6"/>
  <c r="X1254" i="6"/>
  <c r="X1253" i="6"/>
  <c r="X1252" i="6"/>
  <c r="X1251" i="6"/>
  <c r="X1250" i="6"/>
  <c r="X1249" i="6"/>
  <c r="X1248" i="6"/>
  <c r="X1247" i="6"/>
  <c r="X1246" i="6"/>
  <c r="X1245" i="6"/>
  <c r="X1244" i="6"/>
  <c r="X1243" i="6"/>
  <c r="X1242" i="6"/>
  <c r="X1241" i="6"/>
  <c r="X1240" i="6"/>
  <c r="X1239" i="6"/>
  <c r="X1238" i="6"/>
  <c r="X1237" i="6"/>
  <c r="X1236" i="6"/>
  <c r="X1235" i="6"/>
  <c r="X1234" i="6"/>
  <c r="X1233" i="6"/>
  <c r="X1232" i="6"/>
  <c r="X1231" i="6"/>
  <c r="X1230" i="6"/>
  <c r="X1229" i="6"/>
  <c r="X1228" i="6"/>
  <c r="X1227" i="6"/>
  <c r="X1226" i="6"/>
  <c r="X1225" i="6"/>
  <c r="X1224" i="6"/>
  <c r="X1223" i="6"/>
  <c r="X1222" i="6"/>
  <c r="X1221" i="6"/>
  <c r="X1220" i="6"/>
  <c r="X1219" i="6"/>
  <c r="X1218" i="6"/>
  <c r="X1217" i="6"/>
  <c r="X1216" i="6"/>
  <c r="X1215" i="6"/>
  <c r="X1214" i="6"/>
  <c r="X1213" i="6"/>
  <c r="X1212" i="6"/>
  <c r="X1211" i="6"/>
  <c r="X1210" i="6"/>
  <c r="X1209" i="6"/>
  <c r="X1208" i="6"/>
  <c r="X1207" i="6"/>
  <c r="X1206" i="6"/>
  <c r="X1205" i="6"/>
  <c r="X1204" i="6"/>
  <c r="X1203" i="6"/>
  <c r="X1202" i="6"/>
  <c r="X1201" i="6"/>
  <c r="X1200" i="6"/>
  <c r="X1199" i="6"/>
  <c r="X1198" i="6"/>
  <c r="X1197" i="6"/>
  <c r="X1196" i="6"/>
  <c r="X1195" i="6"/>
  <c r="X1194" i="6"/>
  <c r="X1193" i="6"/>
  <c r="X1192" i="6"/>
  <c r="X1191" i="6"/>
  <c r="X1190" i="6"/>
  <c r="X1189" i="6"/>
  <c r="X1188" i="6"/>
  <c r="X1187" i="6"/>
  <c r="X1186" i="6"/>
  <c r="X1185" i="6"/>
  <c r="X1184" i="6"/>
  <c r="X1183" i="6"/>
  <c r="X1182" i="6"/>
  <c r="X1181" i="6"/>
  <c r="X1180" i="6"/>
  <c r="X1179" i="6"/>
  <c r="X1178" i="6"/>
  <c r="X1177" i="6"/>
  <c r="X1176" i="6"/>
  <c r="X1175" i="6"/>
  <c r="X1174" i="6"/>
  <c r="X1173" i="6"/>
  <c r="X1172" i="6"/>
  <c r="X1171" i="6"/>
  <c r="X1170" i="6"/>
  <c r="X1169" i="6"/>
  <c r="X1168" i="6"/>
  <c r="X1167" i="6"/>
  <c r="X1166" i="6"/>
  <c r="X1165" i="6"/>
  <c r="X1164" i="6"/>
  <c r="X1163" i="6"/>
  <c r="X1162" i="6"/>
  <c r="X1161" i="6"/>
  <c r="X1160" i="6"/>
  <c r="X1159" i="6"/>
  <c r="X1158" i="6"/>
  <c r="X1157" i="6"/>
  <c r="X1156" i="6"/>
  <c r="X1155" i="6"/>
  <c r="X1154" i="6"/>
  <c r="X1153" i="6"/>
  <c r="X1152" i="6"/>
  <c r="X1151" i="6"/>
  <c r="X1150" i="6"/>
  <c r="X1149" i="6"/>
  <c r="X1148" i="6"/>
  <c r="X1147" i="6"/>
  <c r="X1146" i="6"/>
  <c r="X1145" i="6"/>
  <c r="X1144" i="6"/>
  <c r="X1143" i="6"/>
  <c r="X1142" i="6"/>
  <c r="X1141" i="6"/>
  <c r="X1140" i="6"/>
  <c r="X1139" i="6"/>
  <c r="X1138" i="6"/>
  <c r="X1137" i="6"/>
  <c r="X1136" i="6"/>
  <c r="X1135" i="6"/>
  <c r="X1134" i="6"/>
  <c r="X1133" i="6"/>
  <c r="X1132" i="6"/>
  <c r="X1131" i="6"/>
  <c r="X1130" i="6"/>
  <c r="X1129" i="6"/>
  <c r="X1128" i="6"/>
  <c r="X1127" i="6"/>
  <c r="X1126" i="6"/>
  <c r="X1125" i="6"/>
  <c r="X1124" i="6"/>
  <c r="X1123" i="6"/>
  <c r="X1122" i="6"/>
  <c r="X1121" i="6"/>
  <c r="X1120" i="6"/>
  <c r="X1119" i="6"/>
  <c r="X1118" i="6"/>
  <c r="X1117" i="6"/>
  <c r="X1116" i="6"/>
  <c r="X1115" i="6"/>
  <c r="X1114" i="6"/>
  <c r="X1113" i="6"/>
  <c r="X1112" i="6"/>
  <c r="X1111" i="6"/>
  <c r="X1110" i="6"/>
  <c r="X1109" i="6"/>
  <c r="X1108" i="6"/>
  <c r="X1107" i="6"/>
  <c r="X1106" i="6"/>
  <c r="X1105" i="6"/>
  <c r="X1104" i="6"/>
  <c r="X1103" i="6"/>
  <c r="X1102" i="6"/>
  <c r="X1101" i="6"/>
  <c r="X1100" i="6"/>
  <c r="X1099" i="6"/>
  <c r="X1098" i="6"/>
  <c r="X1097" i="6"/>
  <c r="X1096" i="6"/>
  <c r="X1095" i="6"/>
  <c r="X1094" i="6"/>
  <c r="X1093" i="6"/>
  <c r="X1092" i="6"/>
  <c r="X1091" i="6"/>
  <c r="X1090" i="6"/>
  <c r="X1089" i="6"/>
  <c r="X1088" i="6"/>
  <c r="X1087" i="6"/>
  <c r="X1086" i="6"/>
  <c r="X1085" i="6"/>
  <c r="X1084" i="6"/>
  <c r="X1083" i="6"/>
  <c r="X1082" i="6"/>
  <c r="X1081" i="6"/>
  <c r="X1080" i="6"/>
  <c r="X1079" i="6"/>
  <c r="X1078" i="6"/>
  <c r="X1077" i="6"/>
  <c r="X1076" i="6"/>
  <c r="X1075" i="6"/>
  <c r="X1074" i="6"/>
  <c r="X1073" i="6"/>
  <c r="X1072" i="6"/>
  <c r="X1071" i="6"/>
  <c r="X1070" i="6"/>
  <c r="X1069" i="6"/>
  <c r="X1068" i="6"/>
  <c r="X1067" i="6"/>
  <c r="X1066" i="6"/>
  <c r="X1065" i="6"/>
  <c r="X1064" i="6"/>
  <c r="X1063" i="6"/>
  <c r="X1062" i="6"/>
  <c r="X1061" i="6"/>
  <c r="X1060" i="6"/>
  <c r="X1059" i="6"/>
  <c r="X1058" i="6"/>
  <c r="X1057" i="6"/>
  <c r="X1056" i="6"/>
  <c r="X1055" i="6"/>
  <c r="X1054" i="6"/>
  <c r="X1053" i="6"/>
  <c r="X1052" i="6"/>
  <c r="X1051" i="6"/>
  <c r="X1050" i="6"/>
  <c r="X1049" i="6"/>
  <c r="X1048" i="6"/>
  <c r="X1047" i="6"/>
  <c r="X1046" i="6"/>
  <c r="X1045" i="6"/>
  <c r="X1044" i="6"/>
  <c r="X1043" i="6"/>
  <c r="X1042" i="6"/>
  <c r="X1041" i="6"/>
  <c r="X1040" i="6"/>
  <c r="X1039" i="6"/>
  <c r="X1038" i="6"/>
  <c r="X1037" i="6"/>
  <c r="X1036" i="6"/>
  <c r="X1035" i="6"/>
  <c r="X1034" i="6"/>
  <c r="X1033" i="6"/>
  <c r="X1032" i="6"/>
  <c r="X1031" i="6"/>
  <c r="X1030" i="6"/>
  <c r="X1029" i="6"/>
  <c r="X1028" i="6"/>
  <c r="X1027" i="6"/>
  <c r="X1026" i="6"/>
  <c r="X1025" i="6"/>
  <c r="X1024" i="6"/>
  <c r="X1023" i="6"/>
  <c r="X1022" i="6"/>
  <c r="X1021" i="6"/>
  <c r="X1020" i="6"/>
  <c r="X1019" i="6"/>
  <c r="X1018" i="6"/>
  <c r="X1017" i="6"/>
  <c r="X1016" i="6"/>
  <c r="X1015" i="6"/>
  <c r="X1014" i="6"/>
  <c r="X1013" i="6"/>
  <c r="X1012" i="6"/>
  <c r="X1011" i="6"/>
  <c r="X1010" i="6"/>
  <c r="X1009" i="6"/>
  <c r="X1008" i="6"/>
  <c r="X1007" i="6"/>
  <c r="X1006" i="6"/>
  <c r="Y1005" i="6"/>
  <c r="X1005" i="6"/>
  <c r="Z1002" i="6"/>
  <c r="Y1002" i="6"/>
  <c r="X1002" i="6"/>
  <c r="Z1001" i="6"/>
  <c r="Y1001" i="6"/>
  <c r="X1001" i="6"/>
  <c r="Z1000" i="6"/>
  <c r="Y1000" i="6"/>
  <c r="X1000" i="6"/>
  <c r="Z999" i="6"/>
  <c r="Y999" i="6"/>
  <c r="X999" i="6"/>
  <c r="Z998" i="6"/>
  <c r="Y998" i="6"/>
  <c r="X998" i="6"/>
  <c r="Z997" i="6"/>
  <c r="Y997" i="6"/>
  <c r="X997" i="6"/>
  <c r="Z996" i="6"/>
  <c r="Y996" i="6"/>
  <c r="X996" i="6"/>
  <c r="Z995" i="6"/>
  <c r="Y995" i="6"/>
  <c r="X995" i="6"/>
  <c r="Z994" i="6"/>
  <c r="Y994" i="6"/>
  <c r="X994" i="6"/>
  <c r="Z993" i="6"/>
  <c r="Y993" i="6"/>
  <c r="X993" i="6"/>
  <c r="Z992" i="6"/>
  <c r="Y992" i="6"/>
  <c r="X992" i="6"/>
  <c r="Z991" i="6"/>
  <c r="Y991" i="6"/>
  <c r="X991" i="6"/>
  <c r="Z990" i="6"/>
  <c r="Y990" i="6"/>
  <c r="X990" i="6"/>
  <c r="Z989" i="6"/>
  <c r="Y989" i="6"/>
  <c r="X989" i="6"/>
  <c r="Z988" i="6"/>
  <c r="Y988" i="6"/>
  <c r="X988" i="6"/>
  <c r="Z987" i="6"/>
  <c r="Y987" i="6"/>
  <c r="X987" i="6"/>
  <c r="Z986" i="6"/>
  <c r="Y986" i="6"/>
  <c r="X986" i="6"/>
  <c r="Z985" i="6"/>
  <c r="Y985" i="6"/>
  <c r="X985" i="6"/>
  <c r="Z984" i="6"/>
  <c r="Y984" i="6"/>
  <c r="X984" i="6"/>
  <c r="Z983" i="6"/>
  <c r="Y983" i="6"/>
  <c r="X983" i="6"/>
  <c r="Z982" i="6"/>
  <c r="Y982" i="6"/>
  <c r="X982" i="6"/>
  <c r="Z981" i="6"/>
  <c r="Y981" i="6"/>
  <c r="X981" i="6"/>
  <c r="Z980" i="6"/>
  <c r="Y980" i="6"/>
  <c r="X980" i="6"/>
  <c r="Z979" i="6"/>
  <c r="Y979" i="6"/>
  <c r="X979" i="6"/>
  <c r="Z978" i="6"/>
  <c r="Y978" i="6"/>
  <c r="X978" i="6"/>
  <c r="Z977" i="6"/>
  <c r="Y977" i="6"/>
  <c r="X977" i="6"/>
  <c r="Z976" i="6"/>
  <c r="Y976" i="6"/>
  <c r="X976" i="6"/>
  <c r="Z975" i="6"/>
  <c r="Y975" i="6"/>
  <c r="X975" i="6"/>
  <c r="Z974" i="6"/>
  <c r="Y974" i="6"/>
  <c r="X974" i="6"/>
  <c r="Z973" i="6"/>
  <c r="Y973" i="6"/>
  <c r="X973" i="6"/>
  <c r="Z972" i="6"/>
  <c r="Y972" i="6"/>
  <c r="X972" i="6"/>
  <c r="Z971" i="6"/>
  <c r="Y971" i="6"/>
  <c r="X971" i="6"/>
  <c r="Z970" i="6"/>
  <c r="Y970" i="6"/>
  <c r="X970" i="6"/>
  <c r="Z969" i="6"/>
  <c r="Y969" i="6"/>
  <c r="X969" i="6"/>
  <c r="Z968" i="6"/>
  <c r="Y968" i="6"/>
  <c r="X968" i="6"/>
  <c r="Z967" i="6"/>
  <c r="Y967" i="6"/>
  <c r="X967" i="6"/>
  <c r="Z966" i="6"/>
  <c r="Y966" i="6"/>
  <c r="X966" i="6"/>
  <c r="Z965" i="6"/>
  <c r="Y965" i="6"/>
  <c r="X965" i="6"/>
  <c r="Z964" i="6"/>
  <c r="Y964" i="6"/>
  <c r="X964" i="6"/>
  <c r="Z963" i="6"/>
  <c r="Y963" i="6"/>
  <c r="X963" i="6"/>
  <c r="Z962" i="6"/>
  <c r="Y962" i="6"/>
  <c r="X962" i="6"/>
  <c r="Z961" i="6"/>
  <c r="Y961" i="6"/>
  <c r="X961" i="6"/>
  <c r="Z960" i="6"/>
  <c r="Y960" i="6"/>
  <c r="X960" i="6"/>
  <c r="Z959" i="6"/>
  <c r="Y959" i="6"/>
  <c r="X959" i="6"/>
  <c r="Z958" i="6"/>
  <c r="Y958" i="6"/>
  <c r="X958" i="6"/>
  <c r="Z957" i="6"/>
  <c r="Y957" i="6"/>
  <c r="X957" i="6"/>
  <c r="Z956" i="6"/>
  <c r="Y956" i="6"/>
  <c r="X956" i="6"/>
  <c r="Z955" i="6"/>
  <c r="Y955" i="6"/>
  <c r="X955" i="6"/>
  <c r="Z954" i="6"/>
  <c r="Y954" i="6"/>
  <c r="X954" i="6"/>
  <c r="Z953" i="6"/>
  <c r="Y953" i="6"/>
  <c r="X953" i="6"/>
  <c r="Z952" i="6"/>
  <c r="Y952" i="6"/>
  <c r="X952" i="6"/>
  <c r="Z951" i="6"/>
  <c r="Y951" i="6"/>
  <c r="X951" i="6"/>
  <c r="Z950" i="6"/>
  <c r="Y950" i="6"/>
  <c r="X950" i="6"/>
  <c r="Z949" i="6"/>
  <c r="Y949" i="6"/>
  <c r="X949" i="6"/>
  <c r="Z948" i="6"/>
  <c r="Y948" i="6"/>
  <c r="X948" i="6"/>
  <c r="Z947" i="6"/>
  <c r="Y947" i="6"/>
  <c r="X947" i="6"/>
  <c r="Z946" i="6"/>
  <c r="Y946" i="6"/>
  <c r="X946" i="6"/>
  <c r="Z945" i="6"/>
  <c r="Y945" i="6"/>
  <c r="X945" i="6"/>
  <c r="Z944" i="6"/>
  <c r="Y944" i="6"/>
  <c r="X944" i="6"/>
  <c r="Z943" i="6"/>
  <c r="Y943" i="6"/>
  <c r="X943" i="6"/>
  <c r="Z942" i="6"/>
  <c r="Y942" i="6"/>
  <c r="X942" i="6"/>
  <c r="Z941" i="6"/>
  <c r="Y941" i="6"/>
  <c r="X941" i="6"/>
  <c r="Z940" i="6"/>
  <c r="Y940" i="6"/>
  <c r="X940" i="6"/>
  <c r="Z939" i="6"/>
  <c r="Y939" i="6"/>
  <c r="X939" i="6"/>
  <c r="Z938" i="6"/>
  <c r="Y938" i="6"/>
  <c r="X938" i="6"/>
  <c r="Z937" i="6"/>
  <c r="Y937" i="6"/>
  <c r="X937" i="6"/>
  <c r="Z936" i="6"/>
  <c r="Y936" i="6"/>
  <c r="X936" i="6"/>
  <c r="Z935" i="6"/>
  <c r="Y935" i="6"/>
  <c r="X935" i="6"/>
  <c r="Z934" i="6"/>
  <c r="Y934" i="6"/>
  <c r="X934" i="6"/>
  <c r="Z933" i="6"/>
  <c r="Y933" i="6"/>
  <c r="X933" i="6"/>
  <c r="Z932" i="6"/>
  <c r="Y932" i="6"/>
  <c r="X932" i="6"/>
  <c r="Z931" i="6"/>
  <c r="Y931" i="6"/>
  <c r="X931" i="6"/>
  <c r="Z930" i="6"/>
  <c r="Y930" i="6"/>
  <c r="X930" i="6"/>
  <c r="Z929" i="6"/>
  <c r="Y929" i="6"/>
  <c r="X929" i="6"/>
  <c r="Z928" i="6"/>
  <c r="Y928" i="6"/>
  <c r="X928" i="6"/>
  <c r="Z927" i="6"/>
  <c r="Y927" i="6"/>
  <c r="X927" i="6"/>
  <c r="Z926" i="6"/>
  <c r="Y926" i="6"/>
  <c r="X926" i="6"/>
  <c r="Z925" i="6"/>
  <c r="Y925" i="6"/>
  <c r="X925" i="6"/>
  <c r="Z924" i="6"/>
  <c r="Y924" i="6"/>
  <c r="X924" i="6"/>
  <c r="Z923" i="6"/>
  <c r="Y923" i="6"/>
  <c r="X923" i="6"/>
  <c r="Z922" i="6"/>
  <c r="Y922" i="6"/>
  <c r="X922" i="6"/>
  <c r="Z921" i="6"/>
  <c r="Y921" i="6"/>
  <c r="X921" i="6"/>
  <c r="Z920" i="6"/>
  <c r="Y920" i="6"/>
  <c r="X920" i="6"/>
  <c r="Z919" i="6"/>
  <c r="Y919" i="6"/>
  <c r="X919" i="6"/>
  <c r="Z918" i="6"/>
  <c r="Y918" i="6"/>
  <c r="X918" i="6"/>
  <c r="Z917" i="6"/>
  <c r="Y917" i="6"/>
  <c r="X917" i="6"/>
  <c r="Z916" i="6"/>
  <c r="Y916" i="6"/>
  <c r="X916" i="6"/>
  <c r="Z915" i="6"/>
  <c r="Y915" i="6"/>
  <c r="X915" i="6"/>
  <c r="Z914" i="6"/>
  <c r="Y914" i="6"/>
  <c r="X914" i="6"/>
  <c r="Z913" i="6"/>
  <c r="Y913" i="6"/>
  <c r="X913" i="6"/>
  <c r="Z912" i="6"/>
  <c r="Y912" i="6"/>
  <c r="X912" i="6"/>
  <c r="Z911" i="6"/>
  <c r="Y911" i="6"/>
  <c r="X911" i="6"/>
  <c r="Z910" i="6"/>
  <c r="Y910" i="6"/>
  <c r="X910" i="6"/>
  <c r="Z909" i="6"/>
  <c r="Y909" i="6"/>
  <c r="X909" i="6"/>
  <c r="Z908" i="6"/>
  <c r="Y908" i="6"/>
  <c r="X908" i="6"/>
  <c r="Z907" i="6"/>
  <c r="Y907" i="6"/>
  <c r="X907" i="6"/>
  <c r="Z906" i="6"/>
  <c r="Y906" i="6"/>
  <c r="X906" i="6"/>
  <c r="Z905" i="6"/>
  <c r="Y905" i="6"/>
  <c r="X905" i="6"/>
  <c r="Z904" i="6"/>
  <c r="Y904" i="6"/>
  <c r="X904" i="6"/>
  <c r="Z903" i="6"/>
  <c r="Y903" i="6"/>
  <c r="X903" i="6"/>
  <c r="Z902" i="6"/>
  <c r="Y902" i="6"/>
  <c r="X902" i="6"/>
  <c r="Z901" i="6"/>
  <c r="Y901" i="6"/>
  <c r="X901" i="6"/>
  <c r="Z900" i="6"/>
  <c r="Y900" i="6"/>
  <c r="X900" i="6"/>
  <c r="Z899" i="6"/>
  <c r="Y899" i="6"/>
  <c r="X899" i="6"/>
  <c r="Z898" i="6"/>
  <c r="Y898" i="6"/>
  <c r="X898" i="6"/>
  <c r="Z897" i="6"/>
  <c r="Y897" i="6"/>
  <c r="X897" i="6"/>
  <c r="Z896" i="6"/>
  <c r="Y896" i="6"/>
  <c r="X896" i="6"/>
  <c r="Z895" i="6"/>
  <c r="Y895" i="6"/>
  <c r="X895" i="6"/>
  <c r="Z894" i="6"/>
  <c r="Y894" i="6"/>
  <c r="X894" i="6"/>
  <c r="Z893" i="6"/>
  <c r="Y893" i="6"/>
  <c r="X893" i="6"/>
  <c r="Z892" i="6"/>
  <c r="Y892" i="6"/>
  <c r="X892" i="6"/>
  <c r="Z891" i="6"/>
  <c r="Y891" i="6"/>
  <c r="X891" i="6"/>
  <c r="Z890" i="6"/>
  <c r="Y890" i="6"/>
  <c r="X890" i="6"/>
  <c r="Z889" i="6"/>
  <c r="Y889" i="6"/>
  <c r="X889" i="6"/>
  <c r="Z888" i="6"/>
  <c r="Y888" i="6"/>
  <c r="X888" i="6"/>
  <c r="Z887" i="6"/>
  <c r="Y887" i="6"/>
  <c r="X887" i="6"/>
  <c r="Z886" i="6"/>
  <c r="Y886" i="6"/>
  <c r="X886" i="6"/>
  <c r="Z885" i="6"/>
  <c r="Y885" i="6"/>
  <c r="X885" i="6"/>
  <c r="Z884" i="6"/>
  <c r="Y884" i="6"/>
  <c r="X884" i="6"/>
  <c r="Z883" i="6"/>
  <c r="Y883" i="6"/>
  <c r="X883" i="6"/>
  <c r="Z882" i="6"/>
  <c r="Y882" i="6"/>
  <c r="X882" i="6"/>
  <c r="Z881" i="6"/>
  <c r="Y881" i="6"/>
  <c r="X881" i="6"/>
  <c r="Z880" i="6"/>
  <c r="Y880" i="6"/>
  <c r="X880" i="6"/>
  <c r="Z879" i="6"/>
  <c r="Y879" i="6"/>
  <c r="X879" i="6"/>
  <c r="Z878" i="6"/>
  <c r="Y878" i="6"/>
  <c r="X878" i="6"/>
  <c r="Z877" i="6"/>
  <c r="Y877" i="6"/>
  <c r="X877" i="6"/>
  <c r="Z876" i="6"/>
  <c r="Y876" i="6"/>
  <c r="X876" i="6"/>
  <c r="Z875" i="6"/>
  <c r="Y875" i="6"/>
  <c r="X875" i="6"/>
  <c r="Z874" i="6"/>
  <c r="Y874" i="6"/>
  <c r="X874" i="6"/>
  <c r="Z873" i="6"/>
  <c r="Y873" i="6"/>
  <c r="X873" i="6"/>
  <c r="Z872" i="6"/>
  <c r="Y872" i="6"/>
  <c r="X872" i="6"/>
  <c r="Z871" i="6"/>
  <c r="Y871" i="6"/>
  <c r="X871" i="6"/>
  <c r="Z870" i="6"/>
  <c r="Y870" i="6"/>
  <c r="X870" i="6"/>
  <c r="Z869" i="6"/>
  <c r="Y869" i="6"/>
  <c r="X869" i="6"/>
  <c r="Z868" i="6"/>
  <c r="Y868" i="6"/>
  <c r="X868" i="6"/>
  <c r="Z867" i="6"/>
  <c r="Y867" i="6"/>
  <c r="X867" i="6"/>
  <c r="Z866" i="6"/>
  <c r="Y866" i="6"/>
  <c r="X866" i="6"/>
  <c r="Z865" i="6"/>
  <c r="Y865" i="6"/>
  <c r="X865" i="6"/>
  <c r="Z864" i="6"/>
  <c r="Y864" i="6"/>
  <c r="X864" i="6"/>
  <c r="Z863" i="6"/>
  <c r="Y863" i="6"/>
  <c r="X863" i="6"/>
  <c r="Z862" i="6"/>
  <c r="Y862" i="6"/>
  <c r="X862" i="6"/>
  <c r="Z861" i="6"/>
  <c r="Y861" i="6"/>
  <c r="X861" i="6"/>
  <c r="Z860" i="6"/>
  <c r="Y860" i="6"/>
  <c r="X860" i="6"/>
  <c r="Z859" i="6"/>
  <c r="Y859" i="6"/>
  <c r="X859" i="6"/>
  <c r="Z858" i="6"/>
  <c r="Y858" i="6"/>
  <c r="X858" i="6"/>
  <c r="Z857" i="6"/>
  <c r="Y857" i="6"/>
  <c r="X857" i="6"/>
  <c r="Z856" i="6"/>
  <c r="Y856" i="6"/>
  <c r="X856" i="6"/>
  <c r="Z855" i="6"/>
  <c r="Y855" i="6"/>
  <c r="X855" i="6"/>
  <c r="Z854" i="6"/>
  <c r="Y854" i="6"/>
  <c r="X854" i="6"/>
  <c r="Z853" i="6"/>
  <c r="Y853" i="6"/>
  <c r="X853" i="6"/>
  <c r="Z852" i="6"/>
  <c r="Y852" i="6"/>
  <c r="X852" i="6"/>
  <c r="Z851" i="6"/>
  <c r="Y851" i="6"/>
  <c r="X851" i="6"/>
  <c r="Z850" i="6"/>
  <c r="Y850" i="6"/>
  <c r="X850" i="6"/>
  <c r="Z849" i="6"/>
  <c r="Y849" i="6"/>
  <c r="X849" i="6"/>
  <c r="Z848" i="6"/>
  <c r="Y848" i="6"/>
  <c r="X848" i="6"/>
  <c r="Z847" i="6"/>
  <c r="Y847" i="6"/>
  <c r="X847" i="6"/>
  <c r="Z846" i="6"/>
  <c r="Y846" i="6"/>
  <c r="X846" i="6"/>
  <c r="Z845" i="6"/>
  <c r="Y845" i="6"/>
  <c r="X845" i="6"/>
  <c r="Z844" i="6"/>
  <c r="Y844" i="6"/>
  <c r="X844" i="6"/>
  <c r="Z843" i="6"/>
  <c r="Y843" i="6"/>
  <c r="X843" i="6"/>
  <c r="Z842" i="6"/>
  <c r="Y842" i="6"/>
  <c r="X842" i="6"/>
  <c r="Z841" i="6"/>
  <c r="Y841" i="6"/>
  <c r="X841" i="6"/>
  <c r="Z840" i="6"/>
  <c r="Y840" i="6"/>
  <c r="X840" i="6"/>
  <c r="Z839" i="6"/>
  <c r="Y839" i="6"/>
  <c r="X839" i="6"/>
  <c r="Z838" i="6"/>
  <c r="Y838" i="6"/>
  <c r="X838" i="6"/>
  <c r="Z837" i="6"/>
  <c r="Y837" i="6"/>
  <c r="X837" i="6"/>
  <c r="Z836" i="6"/>
  <c r="Y836" i="6"/>
  <c r="X836" i="6"/>
  <c r="Z835" i="6"/>
  <c r="Y835" i="6"/>
  <c r="X835" i="6"/>
  <c r="Z834" i="6"/>
  <c r="Y834" i="6"/>
  <c r="X834" i="6"/>
  <c r="Z833" i="6"/>
  <c r="Y833" i="6"/>
  <c r="X833" i="6"/>
  <c r="Z832" i="6"/>
  <c r="Y832" i="6"/>
  <c r="X832" i="6"/>
  <c r="Z831" i="6"/>
  <c r="Y831" i="6"/>
  <c r="X831" i="6"/>
  <c r="Z830" i="6"/>
  <c r="Y830" i="6"/>
  <c r="X830" i="6"/>
  <c r="Z829" i="6"/>
  <c r="Y829" i="6"/>
  <c r="X829" i="6"/>
  <c r="Z828" i="6"/>
  <c r="Y828" i="6"/>
  <c r="X828" i="6"/>
  <c r="Z827" i="6"/>
  <c r="Y827" i="6"/>
  <c r="X827" i="6"/>
  <c r="Z826" i="6"/>
  <c r="Y826" i="6"/>
  <c r="X826" i="6"/>
  <c r="Z825" i="6"/>
  <c r="Y825" i="6"/>
  <c r="X825" i="6"/>
  <c r="Z824" i="6"/>
  <c r="Y824" i="6"/>
  <c r="X824" i="6"/>
  <c r="Z823" i="6"/>
  <c r="Y823" i="6"/>
  <c r="X823" i="6"/>
  <c r="Z822" i="6"/>
  <c r="Y822" i="6"/>
  <c r="X822" i="6"/>
  <c r="Z821" i="6"/>
  <c r="Y821" i="6"/>
  <c r="X821" i="6"/>
  <c r="Z820" i="6"/>
  <c r="Y820" i="6"/>
  <c r="X820" i="6"/>
  <c r="Z819" i="6"/>
  <c r="Y819" i="6"/>
  <c r="X819" i="6"/>
  <c r="Z818" i="6"/>
  <c r="Y818" i="6"/>
  <c r="X818" i="6"/>
  <c r="Z817" i="6"/>
  <c r="Y817" i="6"/>
  <c r="X817" i="6"/>
  <c r="Z816" i="6"/>
  <c r="Y816" i="6"/>
  <c r="X816" i="6"/>
  <c r="Z815" i="6"/>
  <c r="Y815" i="6"/>
  <c r="X815" i="6"/>
  <c r="Z814" i="6"/>
  <c r="Y814" i="6"/>
  <c r="X814" i="6"/>
  <c r="Z813" i="6"/>
  <c r="Y813" i="6"/>
  <c r="X813" i="6"/>
  <c r="Z812" i="6"/>
  <c r="Y812" i="6"/>
  <c r="X812" i="6"/>
  <c r="Z811" i="6"/>
  <c r="Y811" i="6"/>
  <c r="X811" i="6"/>
  <c r="Z810" i="6"/>
  <c r="Y810" i="6"/>
  <c r="X810" i="6"/>
  <c r="Z809" i="6"/>
  <c r="Y809" i="6"/>
  <c r="X809" i="6"/>
  <c r="Z808" i="6"/>
  <c r="Y808" i="6"/>
  <c r="X808" i="6"/>
  <c r="Z807" i="6"/>
  <c r="Y807" i="6"/>
  <c r="X807" i="6"/>
  <c r="Z806" i="6"/>
  <c r="Y806" i="6"/>
  <c r="X806" i="6"/>
  <c r="Z805" i="6"/>
  <c r="Y805" i="6"/>
  <c r="X805" i="6"/>
  <c r="Z804" i="6"/>
  <c r="Y804" i="6"/>
  <c r="X804" i="6"/>
  <c r="Z803" i="6"/>
  <c r="Y803" i="6"/>
  <c r="X803" i="6"/>
  <c r="Z802" i="6"/>
  <c r="Y802" i="6"/>
  <c r="X802" i="6"/>
  <c r="Z801" i="6"/>
  <c r="Y801" i="6"/>
  <c r="X801" i="6"/>
  <c r="Z800" i="6"/>
  <c r="Y800" i="6"/>
  <c r="X800" i="6"/>
  <c r="Z799" i="6"/>
  <c r="Y799" i="6"/>
  <c r="X799" i="6"/>
  <c r="Z798" i="6"/>
  <c r="Y798" i="6"/>
  <c r="X798" i="6"/>
  <c r="Z797" i="6"/>
  <c r="Y797" i="6"/>
  <c r="X797" i="6"/>
  <c r="Z796" i="6"/>
  <c r="Y796" i="6"/>
  <c r="X796" i="6"/>
  <c r="Z795" i="6"/>
  <c r="Y795" i="6"/>
  <c r="X795" i="6"/>
  <c r="Z794" i="6"/>
  <c r="Y794" i="6"/>
  <c r="X794" i="6"/>
  <c r="Z793" i="6"/>
  <c r="Y793" i="6"/>
  <c r="X793" i="6"/>
  <c r="Z792" i="6"/>
  <c r="Y792" i="6"/>
  <c r="X792" i="6"/>
  <c r="Z791" i="6"/>
  <c r="Y791" i="6"/>
  <c r="X791" i="6"/>
  <c r="Z790" i="6"/>
  <c r="Y790" i="6"/>
  <c r="X790" i="6"/>
  <c r="Z789" i="6"/>
  <c r="Y789" i="6"/>
  <c r="X789" i="6"/>
  <c r="Z788" i="6"/>
  <c r="Y788" i="6"/>
  <c r="X788" i="6"/>
  <c r="Z787" i="6"/>
  <c r="Y787" i="6"/>
  <c r="X787" i="6"/>
  <c r="Z786" i="6"/>
  <c r="Y786" i="6"/>
  <c r="X786" i="6"/>
  <c r="Z785" i="6"/>
  <c r="Y785" i="6"/>
  <c r="X785" i="6"/>
  <c r="Z784" i="6"/>
  <c r="Y784" i="6"/>
  <c r="X784" i="6"/>
  <c r="Z783" i="6"/>
  <c r="Y783" i="6"/>
  <c r="X783" i="6"/>
  <c r="Z782" i="6"/>
  <c r="Y782" i="6"/>
  <c r="X782" i="6"/>
  <c r="Z781" i="6"/>
  <c r="Y781" i="6"/>
  <c r="X781" i="6"/>
  <c r="Z780" i="6"/>
  <c r="Y780" i="6"/>
  <c r="X780" i="6"/>
  <c r="Z779" i="6"/>
  <c r="Y779" i="6"/>
  <c r="X779" i="6"/>
  <c r="Z778" i="6"/>
  <c r="Y778" i="6"/>
  <c r="X778" i="6"/>
  <c r="Z777" i="6"/>
  <c r="Y777" i="6"/>
  <c r="X777" i="6"/>
  <c r="Z776" i="6"/>
  <c r="Y776" i="6"/>
  <c r="X776" i="6"/>
  <c r="Z775" i="6"/>
  <c r="Y775" i="6"/>
  <c r="X775" i="6"/>
  <c r="Z774" i="6"/>
  <c r="Y774" i="6"/>
  <c r="X774" i="6"/>
  <c r="Z773" i="6"/>
  <c r="Y773" i="6"/>
  <c r="X773" i="6"/>
  <c r="Z772" i="6"/>
  <c r="Y772" i="6"/>
  <c r="X772" i="6"/>
  <c r="Z771" i="6"/>
  <c r="Y771" i="6"/>
  <c r="X771" i="6"/>
  <c r="Z770" i="6"/>
  <c r="Y770" i="6"/>
  <c r="X770" i="6"/>
  <c r="Z769" i="6"/>
  <c r="Y769" i="6"/>
  <c r="X769" i="6"/>
  <c r="Z768" i="6"/>
  <c r="Y768" i="6"/>
  <c r="X768" i="6"/>
  <c r="Z767" i="6"/>
  <c r="Y767" i="6"/>
  <c r="X767" i="6"/>
  <c r="Z766" i="6"/>
  <c r="Y766" i="6"/>
  <c r="X766" i="6"/>
  <c r="Z765" i="6"/>
  <c r="Y765" i="6"/>
  <c r="X765" i="6"/>
  <c r="Z764" i="6"/>
  <c r="Y764" i="6"/>
  <c r="X764" i="6"/>
  <c r="Z763" i="6"/>
  <c r="Y763" i="6"/>
  <c r="X763" i="6"/>
  <c r="Z762" i="6"/>
  <c r="Y762" i="6"/>
  <c r="X762" i="6"/>
  <c r="Z761" i="6"/>
  <c r="Y761" i="6"/>
  <c r="X761" i="6"/>
  <c r="Z760" i="6"/>
  <c r="Y760" i="6"/>
  <c r="X760" i="6"/>
  <c r="Z759" i="6"/>
  <c r="Y759" i="6"/>
  <c r="X759" i="6"/>
  <c r="Z758" i="6"/>
  <c r="Y758" i="6"/>
  <c r="X758" i="6"/>
  <c r="Z757" i="6"/>
  <c r="Y757" i="6"/>
  <c r="X757" i="6"/>
  <c r="Z756" i="6"/>
  <c r="Y756" i="6"/>
  <c r="X756" i="6"/>
  <c r="Z755" i="6"/>
  <c r="Y755" i="6"/>
  <c r="X755" i="6"/>
  <c r="Z754" i="6"/>
  <c r="Y754" i="6"/>
  <c r="X754" i="6"/>
  <c r="Z753" i="6"/>
  <c r="Y753" i="6"/>
  <c r="X753" i="6"/>
  <c r="Z752" i="6"/>
  <c r="Y752" i="6"/>
  <c r="X752" i="6"/>
  <c r="Z751" i="6"/>
  <c r="Y751" i="6"/>
  <c r="X751" i="6"/>
  <c r="Z750" i="6"/>
  <c r="Y750" i="6"/>
  <c r="X750" i="6"/>
  <c r="Z749" i="6"/>
  <c r="Y749" i="6"/>
  <c r="X749" i="6"/>
  <c r="Z748" i="6"/>
  <c r="Y748" i="6"/>
  <c r="X748" i="6"/>
  <c r="Z747" i="6"/>
  <c r="Y747" i="6"/>
  <c r="X747" i="6"/>
  <c r="Z746" i="6"/>
  <c r="Y746" i="6"/>
  <c r="X746" i="6"/>
  <c r="Z745" i="6"/>
  <c r="Y745" i="6"/>
  <c r="X745" i="6"/>
  <c r="Z744" i="6"/>
  <c r="Y744" i="6"/>
  <c r="X744" i="6"/>
  <c r="Z743" i="6"/>
  <c r="Y743" i="6"/>
  <c r="X743" i="6"/>
  <c r="Z742" i="6"/>
  <c r="Y742" i="6"/>
  <c r="X742" i="6"/>
  <c r="Z741" i="6"/>
  <c r="Y741" i="6"/>
  <c r="X741" i="6"/>
  <c r="Z740" i="6"/>
  <c r="Y740" i="6"/>
  <c r="X740" i="6"/>
  <c r="Z739" i="6"/>
  <c r="Y739" i="6"/>
  <c r="X739" i="6"/>
  <c r="Z738" i="6"/>
  <c r="Y738" i="6"/>
  <c r="X738" i="6"/>
  <c r="Z737" i="6"/>
  <c r="Y737" i="6"/>
  <c r="X737" i="6"/>
  <c r="Z736" i="6"/>
  <c r="Y736" i="6"/>
  <c r="X736" i="6"/>
  <c r="Z735" i="6"/>
  <c r="Y735" i="6"/>
  <c r="X735" i="6"/>
  <c r="Z734" i="6"/>
  <c r="Y734" i="6"/>
  <c r="X734" i="6"/>
  <c r="Z733" i="6"/>
  <c r="Y733" i="6"/>
  <c r="X733" i="6"/>
  <c r="Z732" i="6"/>
  <c r="Y732" i="6"/>
  <c r="X732" i="6"/>
  <c r="Z731" i="6"/>
  <c r="Y731" i="6"/>
  <c r="X731" i="6"/>
  <c r="Z730" i="6"/>
  <c r="Y730" i="6"/>
  <c r="X730" i="6"/>
  <c r="Z729" i="6"/>
  <c r="Y729" i="6"/>
  <c r="X729" i="6"/>
  <c r="Z728" i="6"/>
  <c r="Y728" i="6"/>
  <c r="X728" i="6"/>
  <c r="Z727" i="6"/>
  <c r="Y727" i="6"/>
  <c r="X727" i="6"/>
  <c r="Z726" i="6"/>
  <c r="Y726" i="6"/>
  <c r="X726" i="6"/>
  <c r="Z725" i="6"/>
  <c r="Y725" i="6"/>
  <c r="X725" i="6"/>
  <c r="Z724" i="6"/>
  <c r="Y724" i="6"/>
  <c r="X724" i="6"/>
  <c r="Z723" i="6"/>
  <c r="Y723" i="6"/>
  <c r="X723" i="6"/>
  <c r="Z722" i="6"/>
  <c r="Y722" i="6"/>
  <c r="X722" i="6"/>
  <c r="Z721" i="6"/>
  <c r="Y721" i="6"/>
  <c r="X721" i="6"/>
  <c r="Z720" i="6"/>
  <c r="Y720" i="6"/>
  <c r="X720" i="6"/>
  <c r="Z719" i="6"/>
  <c r="Y719" i="6"/>
  <c r="X719" i="6"/>
  <c r="Z718" i="6"/>
  <c r="Y718" i="6"/>
  <c r="X718" i="6"/>
  <c r="Z717" i="6"/>
  <c r="Y717" i="6"/>
  <c r="X717" i="6"/>
  <c r="Z716" i="6"/>
  <c r="Y716" i="6"/>
  <c r="X716" i="6"/>
  <c r="Z715" i="6"/>
  <c r="Y715" i="6"/>
  <c r="X715" i="6"/>
  <c r="Z714" i="6"/>
  <c r="Y714" i="6"/>
  <c r="X714" i="6"/>
  <c r="Z713" i="6"/>
  <c r="Y713" i="6"/>
  <c r="X713" i="6"/>
  <c r="Z712" i="6"/>
  <c r="Y712" i="6"/>
  <c r="X712" i="6"/>
  <c r="Z711" i="6"/>
  <c r="Y711" i="6"/>
  <c r="X711" i="6"/>
  <c r="Z710" i="6"/>
  <c r="Y710" i="6"/>
  <c r="X710" i="6"/>
  <c r="Z709" i="6"/>
  <c r="Y709" i="6"/>
  <c r="X709" i="6"/>
  <c r="Z708" i="6"/>
  <c r="Y708" i="6"/>
  <c r="X708" i="6"/>
  <c r="Z707" i="6"/>
  <c r="Y707" i="6"/>
  <c r="X707" i="6"/>
  <c r="Z706" i="6"/>
  <c r="Y706" i="6"/>
  <c r="X706" i="6"/>
  <c r="Z705" i="6"/>
  <c r="Y705" i="6"/>
  <c r="X705" i="6"/>
  <c r="Z704" i="6"/>
  <c r="Y704" i="6"/>
  <c r="X704" i="6"/>
  <c r="Z703" i="6"/>
  <c r="Y703" i="6"/>
  <c r="X703" i="6"/>
  <c r="Z702" i="6"/>
  <c r="Y702" i="6"/>
  <c r="X702" i="6"/>
  <c r="Z701" i="6"/>
  <c r="Y701" i="6"/>
  <c r="X701" i="6"/>
  <c r="Z700" i="6"/>
  <c r="Y700" i="6"/>
  <c r="X700" i="6"/>
  <c r="Z699" i="6"/>
  <c r="Y699" i="6"/>
  <c r="X699" i="6"/>
  <c r="Z698" i="6"/>
  <c r="Y698" i="6"/>
  <c r="X698" i="6"/>
  <c r="Z697" i="6"/>
  <c r="Y697" i="6"/>
  <c r="X697" i="6"/>
  <c r="Z696" i="6"/>
  <c r="Y696" i="6"/>
  <c r="X696" i="6"/>
  <c r="Z695" i="6"/>
  <c r="Y695" i="6"/>
  <c r="X695" i="6"/>
  <c r="Z694" i="6"/>
  <c r="Y694" i="6"/>
  <c r="X694" i="6"/>
  <c r="Z693" i="6"/>
  <c r="Y693" i="6"/>
  <c r="X693" i="6"/>
  <c r="Z692" i="6"/>
  <c r="Y692" i="6"/>
  <c r="X692" i="6"/>
  <c r="Z691" i="6"/>
  <c r="Y691" i="6"/>
  <c r="X691" i="6"/>
  <c r="Z690" i="6"/>
  <c r="Y690" i="6"/>
  <c r="X690" i="6"/>
  <c r="Z689" i="6"/>
  <c r="Y689" i="6"/>
  <c r="X689" i="6"/>
  <c r="Z688" i="6"/>
  <c r="Y688" i="6"/>
  <c r="X688" i="6"/>
  <c r="Z687" i="6"/>
  <c r="Y687" i="6"/>
  <c r="X687" i="6"/>
  <c r="Z686" i="6"/>
  <c r="Y686" i="6"/>
  <c r="X686" i="6"/>
  <c r="Z685" i="6"/>
  <c r="Y685" i="6"/>
  <c r="X685" i="6"/>
  <c r="Z684" i="6"/>
  <c r="Y684" i="6"/>
  <c r="X684" i="6"/>
  <c r="Z683" i="6"/>
  <c r="Y683" i="6"/>
  <c r="X683" i="6"/>
  <c r="Z682" i="6"/>
  <c r="Y682" i="6"/>
  <c r="X682" i="6"/>
  <c r="Z681" i="6"/>
  <c r="Y681" i="6"/>
  <c r="X681" i="6"/>
  <c r="Z680" i="6"/>
  <c r="Y680" i="6"/>
  <c r="X680" i="6"/>
  <c r="Z679" i="6"/>
  <c r="Y679" i="6"/>
  <c r="X679" i="6"/>
  <c r="Z678" i="6"/>
  <c r="Y678" i="6"/>
  <c r="X678" i="6"/>
  <c r="Z677" i="6"/>
  <c r="Y677" i="6"/>
  <c r="X677" i="6"/>
  <c r="Z676" i="6"/>
  <c r="Y676" i="6"/>
  <c r="X676" i="6"/>
  <c r="Z675" i="6"/>
  <c r="Y675" i="6"/>
  <c r="X675" i="6"/>
  <c r="Z674" i="6"/>
  <c r="Y674" i="6"/>
  <c r="X674" i="6"/>
  <c r="Z673" i="6"/>
  <c r="Y673" i="6"/>
  <c r="X673" i="6"/>
  <c r="Z672" i="6"/>
  <c r="Y672" i="6"/>
  <c r="X672" i="6"/>
  <c r="Z671" i="6"/>
  <c r="Y671" i="6"/>
  <c r="X671" i="6"/>
  <c r="Z670" i="6"/>
  <c r="Y670" i="6"/>
  <c r="X670" i="6"/>
  <c r="Z669" i="6"/>
  <c r="Y669" i="6"/>
  <c r="X669" i="6"/>
  <c r="Z668" i="6"/>
  <c r="Y668" i="6"/>
  <c r="X668" i="6"/>
  <c r="Z667" i="6"/>
  <c r="Y667" i="6"/>
  <c r="X667" i="6"/>
  <c r="Z666" i="6"/>
  <c r="Y666" i="6"/>
  <c r="X666" i="6"/>
  <c r="Z665" i="6"/>
  <c r="Y665" i="6"/>
  <c r="X665" i="6"/>
  <c r="Z664" i="6"/>
  <c r="Y664" i="6"/>
  <c r="X664" i="6"/>
  <c r="Z663" i="6"/>
  <c r="Y663" i="6"/>
  <c r="X663" i="6"/>
  <c r="Z662" i="6"/>
  <c r="Y662" i="6"/>
  <c r="X662" i="6"/>
  <c r="Z661" i="6"/>
  <c r="Y661" i="6"/>
  <c r="X661" i="6"/>
  <c r="Z660" i="6"/>
  <c r="Y660" i="6"/>
  <c r="X660" i="6"/>
  <c r="Z659" i="6"/>
  <c r="Y659" i="6"/>
  <c r="X659" i="6"/>
  <c r="Z658" i="6"/>
  <c r="Y658" i="6"/>
  <c r="X658" i="6"/>
  <c r="Z657" i="6"/>
  <c r="Y657" i="6"/>
  <c r="X657" i="6"/>
  <c r="Z656" i="6"/>
  <c r="Y656" i="6"/>
  <c r="X656" i="6"/>
  <c r="Z655" i="6"/>
  <c r="Y655" i="6"/>
  <c r="X655" i="6"/>
  <c r="Z654" i="6"/>
  <c r="Y654" i="6"/>
  <c r="X654" i="6"/>
  <c r="Z653" i="6"/>
  <c r="Y653" i="6"/>
  <c r="X653" i="6"/>
  <c r="Z652" i="6"/>
  <c r="Y652" i="6"/>
  <c r="X652" i="6"/>
  <c r="Z651" i="6"/>
  <c r="Y651" i="6"/>
  <c r="X651" i="6"/>
  <c r="Z650" i="6"/>
  <c r="Y650" i="6"/>
  <c r="X650" i="6"/>
  <c r="Z649" i="6"/>
  <c r="Y649" i="6"/>
  <c r="X649" i="6"/>
  <c r="Z648" i="6"/>
  <c r="Y648" i="6"/>
  <c r="X648" i="6"/>
  <c r="Z647" i="6"/>
  <c r="Y647" i="6"/>
  <c r="X647" i="6"/>
  <c r="Z646" i="6"/>
  <c r="Y646" i="6"/>
  <c r="X646" i="6"/>
  <c r="Z645" i="6"/>
  <c r="Y645" i="6"/>
  <c r="X645" i="6"/>
  <c r="Z644" i="6"/>
  <c r="Y644" i="6"/>
  <c r="X644" i="6"/>
  <c r="Z643" i="6"/>
  <c r="Y643" i="6"/>
  <c r="X643" i="6"/>
  <c r="Z642" i="6"/>
  <c r="Y642" i="6"/>
  <c r="X642" i="6"/>
  <c r="Z641" i="6"/>
  <c r="Y641" i="6"/>
  <c r="X641" i="6"/>
  <c r="Z640" i="6"/>
  <c r="Y640" i="6"/>
  <c r="X640" i="6"/>
  <c r="Z639" i="6"/>
  <c r="Y639" i="6"/>
  <c r="X639" i="6"/>
  <c r="Z638" i="6"/>
  <c r="Y638" i="6"/>
  <c r="X638" i="6"/>
  <c r="Z637" i="6"/>
  <c r="Y637" i="6"/>
  <c r="X637" i="6"/>
  <c r="Z636" i="6"/>
  <c r="Y636" i="6"/>
  <c r="X636" i="6"/>
  <c r="Z635" i="6"/>
  <c r="Y635" i="6"/>
  <c r="X635" i="6"/>
  <c r="Z634" i="6"/>
  <c r="Y634" i="6"/>
  <c r="X634" i="6"/>
  <c r="Z633" i="6"/>
  <c r="Y633" i="6"/>
  <c r="X633" i="6"/>
  <c r="Z632" i="6"/>
  <c r="Y632" i="6"/>
  <c r="X632" i="6"/>
  <c r="Z631" i="6"/>
  <c r="Y631" i="6"/>
  <c r="X631" i="6"/>
  <c r="Z630" i="6"/>
  <c r="Y630" i="6"/>
  <c r="X630" i="6"/>
  <c r="Z629" i="6"/>
  <c r="Y629" i="6"/>
  <c r="X629" i="6"/>
  <c r="Z628" i="6"/>
  <c r="Y628" i="6"/>
  <c r="X628" i="6"/>
  <c r="Z627" i="6"/>
  <c r="Y627" i="6"/>
  <c r="X627" i="6"/>
  <c r="Z626" i="6"/>
  <c r="Y626" i="6"/>
  <c r="X626" i="6"/>
  <c r="Z625" i="6"/>
  <c r="Y625" i="6"/>
  <c r="X625" i="6"/>
  <c r="Z624" i="6"/>
  <c r="Y624" i="6"/>
  <c r="X624" i="6"/>
  <c r="Z623" i="6"/>
  <c r="Y623" i="6"/>
  <c r="X623" i="6"/>
  <c r="Z622" i="6"/>
  <c r="Y622" i="6"/>
  <c r="X622" i="6"/>
  <c r="Z621" i="6"/>
  <c r="Y621" i="6"/>
  <c r="X621" i="6"/>
  <c r="Z620" i="6"/>
  <c r="Y620" i="6"/>
  <c r="X620" i="6"/>
  <c r="Z619" i="6"/>
  <c r="Y619" i="6"/>
  <c r="X619" i="6"/>
  <c r="Z618" i="6"/>
  <c r="Y618" i="6"/>
  <c r="X618" i="6"/>
  <c r="Z617" i="6"/>
  <c r="Y617" i="6"/>
  <c r="X617" i="6"/>
  <c r="Z616" i="6"/>
  <c r="Y616" i="6"/>
  <c r="X616" i="6"/>
  <c r="Z615" i="6"/>
  <c r="Y615" i="6"/>
  <c r="X615" i="6"/>
  <c r="Z614" i="6"/>
  <c r="Y614" i="6"/>
  <c r="X614" i="6"/>
  <c r="Z613" i="6"/>
  <c r="Y613" i="6"/>
  <c r="X613" i="6"/>
  <c r="Z612" i="6"/>
  <c r="Y612" i="6"/>
  <c r="X612" i="6"/>
  <c r="Z611" i="6"/>
  <c r="Y611" i="6"/>
  <c r="X611" i="6"/>
  <c r="Z610" i="6"/>
  <c r="Y610" i="6"/>
  <c r="X610" i="6"/>
  <c r="Z609" i="6"/>
  <c r="Y609" i="6"/>
  <c r="X609" i="6"/>
  <c r="Z608" i="6"/>
  <c r="Y608" i="6"/>
  <c r="X608" i="6"/>
  <c r="Z607" i="6"/>
  <c r="Y607" i="6"/>
  <c r="X607" i="6"/>
  <c r="Z606" i="6"/>
  <c r="Y606" i="6"/>
  <c r="X606" i="6"/>
  <c r="Z605" i="6"/>
  <c r="Y605" i="6"/>
  <c r="X605" i="6"/>
  <c r="Z604" i="6"/>
  <c r="Y604" i="6"/>
  <c r="X604" i="6"/>
  <c r="Z603" i="6"/>
  <c r="Y603" i="6"/>
  <c r="X603" i="6"/>
  <c r="Z602" i="6"/>
  <c r="Y602" i="6"/>
  <c r="X602" i="6"/>
  <c r="Z601" i="6"/>
  <c r="Y601" i="6"/>
  <c r="X601" i="6"/>
  <c r="Z600" i="6"/>
  <c r="Y600" i="6"/>
  <c r="X600" i="6"/>
  <c r="Z599" i="6"/>
  <c r="Y599" i="6"/>
  <c r="X599" i="6"/>
  <c r="Z598" i="6"/>
  <c r="Y598" i="6"/>
  <c r="X598" i="6"/>
  <c r="Z597" i="6"/>
  <c r="Y597" i="6"/>
  <c r="X597" i="6"/>
  <c r="Z596" i="6"/>
  <c r="Y596" i="6"/>
  <c r="X596" i="6"/>
  <c r="Z595" i="6"/>
  <c r="Y595" i="6"/>
  <c r="X595" i="6"/>
  <c r="Z594" i="6"/>
  <c r="Y594" i="6"/>
  <c r="X594" i="6"/>
  <c r="Z593" i="6"/>
  <c r="Y593" i="6"/>
  <c r="X593" i="6"/>
  <c r="Z592" i="6"/>
  <c r="Y592" i="6"/>
  <c r="X592" i="6"/>
  <c r="Z591" i="6"/>
  <c r="Y591" i="6"/>
  <c r="X591" i="6"/>
  <c r="Z590" i="6"/>
  <c r="Y590" i="6"/>
  <c r="X590" i="6"/>
  <c r="Z589" i="6"/>
  <c r="Y589" i="6"/>
  <c r="X589" i="6"/>
  <c r="Z588" i="6"/>
  <c r="Y588" i="6"/>
  <c r="X588" i="6"/>
  <c r="Z587" i="6"/>
  <c r="Y587" i="6"/>
  <c r="X587" i="6"/>
  <c r="Z586" i="6"/>
  <c r="Y586" i="6"/>
  <c r="X586" i="6"/>
  <c r="Z585" i="6"/>
  <c r="Y585" i="6"/>
  <c r="X585" i="6"/>
  <c r="Z584" i="6"/>
  <c r="Y584" i="6"/>
  <c r="X584" i="6"/>
  <c r="Z583" i="6"/>
  <c r="Y583" i="6"/>
  <c r="X583" i="6"/>
  <c r="Z582" i="6"/>
  <c r="Y582" i="6"/>
  <c r="X582" i="6"/>
  <c r="Z581" i="6"/>
  <c r="Y581" i="6"/>
  <c r="X581" i="6"/>
  <c r="Z580" i="6"/>
  <c r="Y580" i="6"/>
  <c r="X580" i="6"/>
  <c r="Z579" i="6"/>
  <c r="Y579" i="6"/>
  <c r="X579" i="6"/>
  <c r="Z578" i="6"/>
  <c r="Y578" i="6"/>
  <c r="X578" i="6"/>
  <c r="Z577" i="6"/>
  <c r="Y577" i="6"/>
  <c r="X577" i="6"/>
  <c r="Z576" i="6"/>
  <c r="Y576" i="6"/>
  <c r="X576" i="6"/>
  <c r="Z575" i="6"/>
  <c r="Y575" i="6"/>
  <c r="X575" i="6"/>
  <c r="Z574" i="6"/>
  <c r="Y574" i="6"/>
  <c r="X574" i="6"/>
  <c r="Z573" i="6"/>
  <c r="Y573" i="6"/>
  <c r="X573" i="6"/>
  <c r="Z572" i="6"/>
  <c r="Y572" i="6"/>
  <c r="X572" i="6"/>
  <c r="Z571" i="6"/>
  <c r="Y571" i="6"/>
  <c r="X571" i="6"/>
  <c r="Z570" i="6"/>
  <c r="Y570" i="6"/>
  <c r="X570" i="6"/>
  <c r="Z569" i="6"/>
  <c r="Y569" i="6"/>
  <c r="X569" i="6"/>
  <c r="Z568" i="6"/>
  <c r="Y568" i="6"/>
  <c r="X568" i="6"/>
  <c r="Z567" i="6"/>
  <c r="Y567" i="6"/>
  <c r="X567" i="6"/>
  <c r="Z566" i="6"/>
  <c r="Y566" i="6"/>
  <c r="X566" i="6"/>
  <c r="Z565" i="6"/>
  <c r="Y565" i="6"/>
  <c r="X565" i="6"/>
  <c r="Z564" i="6"/>
  <c r="Y564" i="6"/>
  <c r="X564" i="6"/>
  <c r="Z563" i="6"/>
  <c r="Y563" i="6"/>
  <c r="X563" i="6"/>
  <c r="Z562" i="6"/>
  <c r="Y562" i="6"/>
  <c r="X562" i="6"/>
  <c r="Z561" i="6"/>
  <c r="Y561" i="6"/>
  <c r="X561" i="6"/>
  <c r="Z560" i="6"/>
  <c r="Y560" i="6"/>
  <c r="X560" i="6"/>
  <c r="Z559" i="6"/>
  <c r="Y559" i="6"/>
  <c r="X559" i="6"/>
  <c r="Z558" i="6"/>
  <c r="Y558" i="6"/>
  <c r="X558" i="6"/>
  <c r="Z557" i="6"/>
  <c r="Y557" i="6"/>
  <c r="X557" i="6"/>
  <c r="Z556" i="6"/>
  <c r="Y556" i="6"/>
  <c r="X556" i="6"/>
  <c r="Z555" i="6"/>
  <c r="Y555" i="6"/>
  <c r="X555" i="6"/>
  <c r="Z554" i="6"/>
  <c r="Y554" i="6"/>
  <c r="X554" i="6"/>
  <c r="Z553" i="6"/>
  <c r="Y553" i="6"/>
  <c r="X553" i="6"/>
  <c r="Z552" i="6"/>
  <c r="Y552" i="6"/>
  <c r="X552" i="6"/>
  <c r="Z551" i="6"/>
  <c r="Y551" i="6"/>
  <c r="X551" i="6"/>
  <c r="Z550" i="6"/>
  <c r="Y550" i="6"/>
  <c r="X550" i="6"/>
  <c r="Z549" i="6"/>
  <c r="Y549" i="6"/>
  <c r="X549" i="6"/>
  <c r="Z518" i="6"/>
  <c r="Y518" i="6"/>
  <c r="X518" i="6"/>
  <c r="Z517" i="6"/>
  <c r="Y517" i="6"/>
  <c r="X517" i="6"/>
  <c r="Z516" i="6"/>
  <c r="Y516" i="6"/>
  <c r="X516" i="6"/>
  <c r="Z515" i="6"/>
  <c r="Y515" i="6"/>
  <c r="X515" i="6"/>
  <c r="Z514" i="6"/>
  <c r="Y514" i="6"/>
  <c r="X514" i="6"/>
  <c r="Z513" i="6"/>
  <c r="Y513" i="6"/>
  <c r="X513" i="6"/>
  <c r="Z512" i="6"/>
  <c r="Y512" i="6"/>
  <c r="X512" i="6"/>
  <c r="Z511" i="6"/>
  <c r="Y511" i="6"/>
  <c r="X511" i="6"/>
  <c r="Z510" i="6"/>
  <c r="Y510" i="6"/>
  <c r="X510" i="6"/>
  <c r="Z509" i="6"/>
  <c r="Y509" i="6"/>
  <c r="X509" i="6"/>
  <c r="Z508" i="6"/>
  <c r="Y508" i="6"/>
  <c r="X508" i="6"/>
  <c r="Z507" i="6"/>
  <c r="Y507" i="6"/>
  <c r="X507" i="6"/>
  <c r="Z506" i="6"/>
  <c r="Y506" i="6"/>
  <c r="X506" i="6"/>
  <c r="Z505" i="6"/>
  <c r="Y505" i="6"/>
  <c r="X505" i="6"/>
  <c r="Z504" i="6"/>
  <c r="Y504" i="6"/>
  <c r="X504" i="6"/>
  <c r="Z503" i="6"/>
  <c r="Y503" i="6"/>
  <c r="X503" i="6"/>
  <c r="Z502" i="6"/>
  <c r="Y502" i="6"/>
  <c r="X502" i="6"/>
  <c r="Z501" i="6"/>
  <c r="Y501" i="6"/>
  <c r="X501" i="6"/>
  <c r="Z500" i="6"/>
  <c r="Y500" i="6"/>
  <c r="X500" i="6"/>
  <c r="Z499" i="6"/>
  <c r="Y499" i="6"/>
  <c r="X499" i="6"/>
  <c r="Z498" i="6"/>
  <c r="Y498" i="6"/>
  <c r="X498" i="6"/>
  <c r="Z497" i="6"/>
  <c r="Y497" i="6"/>
  <c r="X497" i="6"/>
  <c r="Z496" i="6"/>
  <c r="Y496" i="6"/>
  <c r="X496" i="6"/>
  <c r="Z495" i="6"/>
  <c r="Y495" i="6"/>
  <c r="X495" i="6"/>
  <c r="Z494" i="6"/>
  <c r="Y494" i="6"/>
  <c r="X494" i="6"/>
  <c r="Z493" i="6"/>
  <c r="Y493" i="6"/>
  <c r="X493" i="6"/>
  <c r="Z492" i="6"/>
  <c r="Y492" i="6"/>
  <c r="X492" i="6"/>
  <c r="Z491" i="6"/>
  <c r="Y491" i="6"/>
  <c r="X491" i="6"/>
  <c r="Z490" i="6"/>
  <c r="Y490" i="6"/>
  <c r="X490" i="6"/>
  <c r="Z489" i="6"/>
  <c r="Y489" i="6"/>
  <c r="X489" i="6"/>
  <c r="Z412" i="6"/>
  <c r="Y412" i="6"/>
  <c r="X412" i="6"/>
  <c r="Z411" i="6"/>
  <c r="Y411" i="6"/>
  <c r="X411" i="6"/>
  <c r="Z410" i="6"/>
  <c r="Y410" i="6"/>
  <c r="X410" i="6"/>
  <c r="Z409" i="6"/>
  <c r="Y409" i="6"/>
  <c r="X409" i="6"/>
  <c r="Z408" i="6"/>
  <c r="Y408" i="6"/>
  <c r="X408" i="6"/>
  <c r="Z407" i="6"/>
  <c r="Y407" i="6"/>
  <c r="X407" i="6"/>
  <c r="Z406" i="6"/>
  <c r="Y406" i="6"/>
  <c r="X406" i="6"/>
  <c r="Z405" i="6"/>
  <c r="Y405" i="6"/>
  <c r="X405" i="6"/>
  <c r="Z404" i="6"/>
  <c r="Y404" i="6"/>
  <c r="X404" i="6"/>
  <c r="Z403" i="6"/>
  <c r="Y403" i="6"/>
  <c r="X403" i="6"/>
  <c r="Z402" i="6"/>
  <c r="Y402" i="6"/>
  <c r="X402" i="6"/>
  <c r="Z401" i="6"/>
  <c r="Y401" i="6"/>
  <c r="X401" i="6"/>
  <c r="Z400" i="6"/>
  <c r="Y400" i="6"/>
  <c r="X400" i="6"/>
  <c r="Z399" i="6"/>
  <c r="Y399" i="6"/>
  <c r="X399" i="6"/>
  <c r="Z398" i="6"/>
  <c r="Y398" i="6"/>
  <c r="X398" i="6"/>
  <c r="Z397" i="6"/>
  <c r="Y397" i="6"/>
  <c r="X397" i="6"/>
  <c r="Z396" i="6"/>
  <c r="Y396" i="6"/>
  <c r="X396" i="6"/>
  <c r="Z395" i="6"/>
  <c r="Y395" i="6"/>
  <c r="X395" i="6"/>
  <c r="Z394" i="6"/>
  <c r="Y394" i="6"/>
  <c r="X394" i="6"/>
  <c r="Z393" i="6"/>
  <c r="Y393" i="6"/>
  <c r="X393" i="6"/>
  <c r="Z392" i="6"/>
  <c r="Y392" i="6"/>
  <c r="X392" i="6"/>
  <c r="Z391" i="6"/>
  <c r="Y391" i="6"/>
  <c r="X391" i="6"/>
  <c r="Z390" i="6"/>
  <c r="Y390" i="6"/>
  <c r="X390" i="6"/>
  <c r="Z389" i="6"/>
  <c r="Y389" i="6"/>
  <c r="X389" i="6"/>
  <c r="Z388" i="6"/>
  <c r="Y388" i="6"/>
  <c r="X388" i="6"/>
  <c r="Z387" i="6"/>
  <c r="Y387" i="6"/>
  <c r="X387" i="6"/>
  <c r="Z386" i="6"/>
  <c r="Y386" i="6"/>
  <c r="X386" i="6"/>
  <c r="Z385" i="6"/>
  <c r="Y385" i="6"/>
  <c r="X385" i="6"/>
  <c r="Z384" i="6"/>
  <c r="Y384" i="6"/>
  <c r="X384" i="6"/>
  <c r="Z383" i="6"/>
  <c r="Y383" i="6"/>
  <c r="X383" i="6"/>
  <c r="Z382" i="6"/>
  <c r="Y382" i="6"/>
  <c r="X382" i="6"/>
  <c r="Z381" i="6"/>
  <c r="Y381" i="6"/>
  <c r="X381" i="6"/>
  <c r="Z380" i="6"/>
  <c r="Y380" i="6"/>
  <c r="X380" i="6"/>
  <c r="Z379" i="6"/>
  <c r="Y379" i="6"/>
  <c r="X379" i="6"/>
  <c r="Z378" i="6"/>
  <c r="Y378" i="6"/>
  <c r="X378" i="6"/>
  <c r="Z377" i="6"/>
  <c r="Y377" i="6"/>
  <c r="X377" i="6"/>
  <c r="Z376" i="6"/>
  <c r="Y376" i="6"/>
  <c r="X376" i="6"/>
  <c r="Z375" i="6"/>
  <c r="Y375" i="6"/>
  <c r="X375" i="6"/>
  <c r="Z374" i="6"/>
  <c r="Y374" i="6"/>
  <c r="X374" i="6"/>
  <c r="Z373" i="6"/>
  <c r="Y373" i="6"/>
  <c r="X373" i="6"/>
  <c r="Z372" i="6"/>
  <c r="Y372" i="6"/>
  <c r="X372" i="6"/>
  <c r="Z371" i="6"/>
  <c r="Y371" i="6"/>
  <c r="X371" i="6"/>
  <c r="Z370" i="6"/>
  <c r="Y370" i="6"/>
  <c r="X370" i="6"/>
  <c r="Z369" i="6"/>
  <c r="Y369" i="6"/>
  <c r="X369" i="6"/>
  <c r="Z368" i="6"/>
  <c r="Y368" i="6"/>
  <c r="X368" i="6"/>
  <c r="Z367" i="6"/>
  <c r="Y367" i="6"/>
  <c r="X367" i="6"/>
  <c r="Z366" i="6"/>
  <c r="Y366" i="6"/>
  <c r="X366" i="6"/>
  <c r="Z365" i="6"/>
  <c r="Y365" i="6"/>
  <c r="X365" i="6"/>
  <c r="Z364" i="6"/>
  <c r="Y364" i="6"/>
  <c r="X364" i="6"/>
  <c r="Z363" i="6"/>
  <c r="Y363" i="6"/>
  <c r="X363" i="6"/>
  <c r="Z362" i="6"/>
  <c r="Y362" i="6"/>
  <c r="X362" i="6"/>
  <c r="Z361" i="6"/>
  <c r="Y361" i="6"/>
  <c r="X361" i="6"/>
  <c r="Z360" i="6"/>
  <c r="Y360" i="6"/>
  <c r="X360" i="6"/>
  <c r="Z359" i="6"/>
  <c r="Y359" i="6"/>
  <c r="X359" i="6"/>
  <c r="Z358" i="6"/>
  <c r="Y358" i="6"/>
  <c r="X358" i="6"/>
  <c r="Z357" i="6"/>
  <c r="Y357" i="6"/>
  <c r="X357" i="6"/>
  <c r="Z356" i="6"/>
  <c r="Y356" i="6"/>
  <c r="X356" i="6"/>
  <c r="Z355" i="6"/>
  <c r="Y355" i="6"/>
  <c r="X355" i="6"/>
  <c r="Z354" i="6"/>
  <c r="Y354" i="6"/>
  <c r="X354" i="6"/>
  <c r="Z353" i="6"/>
  <c r="Y353" i="6"/>
  <c r="X353" i="6"/>
  <c r="Z352" i="6"/>
  <c r="Y352" i="6"/>
  <c r="X352" i="6"/>
  <c r="Z351" i="6"/>
  <c r="Y351" i="6"/>
  <c r="X351" i="6"/>
  <c r="Z350" i="6"/>
  <c r="Y350" i="6"/>
  <c r="X350" i="6"/>
  <c r="Z349" i="6"/>
  <c r="Y349" i="6"/>
  <c r="X349" i="6"/>
  <c r="Z348" i="6"/>
  <c r="Y348" i="6"/>
  <c r="X348" i="6"/>
  <c r="Z347" i="6"/>
  <c r="Y347" i="6"/>
  <c r="X347" i="6"/>
  <c r="Z346" i="6"/>
  <c r="Y346" i="6"/>
  <c r="X346" i="6"/>
  <c r="Z345" i="6"/>
  <c r="Y345" i="6"/>
  <c r="X345" i="6"/>
  <c r="Z344" i="6"/>
  <c r="Y344" i="6"/>
  <c r="X344" i="6"/>
  <c r="Z343" i="6"/>
  <c r="Y343" i="6"/>
  <c r="X343" i="6"/>
  <c r="Z342" i="6"/>
  <c r="Y342" i="6"/>
  <c r="X342" i="6"/>
  <c r="Z341" i="6"/>
  <c r="Y341" i="6"/>
  <c r="X341" i="6"/>
  <c r="Z340" i="6"/>
  <c r="Y340" i="6"/>
  <c r="X340" i="6"/>
  <c r="Z339" i="6"/>
  <c r="Y339" i="6"/>
  <c r="X339" i="6"/>
  <c r="Z338" i="6"/>
  <c r="Y338" i="6"/>
  <c r="X338" i="6"/>
  <c r="Z337" i="6"/>
  <c r="Y337" i="6"/>
  <c r="X337" i="6"/>
  <c r="Z336" i="6"/>
  <c r="Y336" i="6"/>
  <c r="X336" i="6"/>
  <c r="Z335" i="6"/>
  <c r="Y335" i="6"/>
  <c r="X335" i="6"/>
  <c r="Z334" i="6"/>
  <c r="Y334" i="6"/>
  <c r="X334" i="6"/>
  <c r="Z333" i="6"/>
  <c r="Y333" i="6"/>
  <c r="X333" i="6"/>
  <c r="Z332" i="6"/>
  <c r="Y332" i="6"/>
  <c r="X332" i="6"/>
  <c r="Z331" i="6"/>
  <c r="Y331" i="6"/>
  <c r="X331" i="6"/>
  <c r="Z330" i="6"/>
  <c r="Y330" i="6"/>
  <c r="X330" i="6"/>
  <c r="Z329" i="6"/>
  <c r="Y329" i="6"/>
  <c r="X329" i="6"/>
  <c r="Z328" i="6"/>
  <c r="Y328" i="6"/>
  <c r="X328" i="6"/>
  <c r="Z327" i="6"/>
  <c r="Y327" i="6"/>
  <c r="X327" i="6"/>
  <c r="Z326" i="6"/>
  <c r="Y326" i="6"/>
  <c r="X326" i="6"/>
  <c r="Z325" i="6"/>
  <c r="Y325" i="6"/>
  <c r="X325" i="6"/>
  <c r="Z324" i="6"/>
  <c r="Y324" i="6"/>
  <c r="X324" i="6"/>
  <c r="Z323" i="6"/>
  <c r="Y323" i="6"/>
  <c r="X323" i="6"/>
  <c r="Z322" i="6"/>
  <c r="Y322" i="6"/>
  <c r="X322" i="6"/>
  <c r="Z321" i="6"/>
  <c r="Y321" i="6"/>
  <c r="X321" i="6"/>
  <c r="Z320" i="6"/>
  <c r="Y320" i="6"/>
  <c r="X320" i="6"/>
  <c r="Z319" i="6"/>
  <c r="Y319" i="6"/>
  <c r="X319" i="6"/>
  <c r="Z318" i="6"/>
  <c r="Y318" i="6"/>
  <c r="X318" i="6"/>
  <c r="Z317" i="6"/>
  <c r="Y317" i="6"/>
  <c r="X317" i="6"/>
  <c r="Z316" i="6"/>
  <c r="Y316" i="6"/>
  <c r="X316" i="6"/>
  <c r="Z315" i="6"/>
  <c r="Y315" i="6"/>
  <c r="X315" i="6"/>
  <c r="Z314" i="6"/>
  <c r="Y314" i="6"/>
  <c r="X314" i="6"/>
  <c r="Z313" i="6"/>
  <c r="Y313" i="6"/>
  <c r="X313" i="6"/>
  <c r="Z312" i="6"/>
  <c r="Y312" i="6"/>
  <c r="X312" i="6"/>
  <c r="Z311" i="6"/>
  <c r="Y311" i="6"/>
  <c r="X311" i="6"/>
  <c r="Z310" i="6"/>
  <c r="Y310" i="6"/>
  <c r="X310" i="6"/>
  <c r="Z309" i="6"/>
  <c r="Y309" i="6"/>
  <c r="X309" i="6"/>
  <c r="Z308" i="6"/>
  <c r="Y308" i="6"/>
  <c r="X308" i="6"/>
  <c r="Z307" i="6"/>
  <c r="Y307" i="6"/>
  <c r="X307" i="6"/>
  <c r="Z306" i="6"/>
  <c r="Y306" i="6"/>
  <c r="X306" i="6"/>
  <c r="Z305" i="6"/>
  <c r="Y305" i="6"/>
  <c r="X305" i="6"/>
  <c r="Z304" i="6"/>
  <c r="Y304" i="6"/>
  <c r="X304" i="6"/>
  <c r="Z303" i="6"/>
  <c r="Y303" i="6"/>
  <c r="X303" i="6"/>
  <c r="Z302" i="6"/>
  <c r="Y302" i="6"/>
  <c r="X302" i="6"/>
  <c r="Z301" i="6"/>
  <c r="Y301" i="6"/>
  <c r="X301" i="6"/>
  <c r="Z300" i="6"/>
  <c r="Y300" i="6"/>
  <c r="X300" i="6"/>
  <c r="Z299" i="6"/>
  <c r="Y299" i="6"/>
  <c r="X299" i="6"/>
  <c r="Z298" i="6"/>
  <c r="Y298" i="6"/>
  <c r="X298" i="6"/>
  <c r="Z297" i="6"/>
  <c r="Y297" i="6"/>
  <c r="X297" i="6"/>
  <c r="Z296" i="6"/>
  <c r="Y296" i="6"/>
  <c r="X296" i="6"/>
  <c r="Z295" i="6"/>
  <c r="Y295" i="6"/>
  <c r="X295" i="6"/>
  <c r="Z294" i="6"/>
  <c r="Y294" i="6"/>
  <c r="X294" i="6"/>
  <c r="Z293" i="6"/>
  <c r="Y293" i="6"/>
  <c r="X293" i="6"/>
  <c r="Z292" i="6"/>
  <c r="Y292" i="6"/>
  <c r="X292" i="6"/>
  <c r="Z291" i="6"/>
  <c r="Y291" i="6"/>
  <c r="X291" i="6"/>
  <c r="Z290" i="6"/>
  <c r="Y290" i="6"/>
  <c r="X290" i="6"/>
  <c r="Z289" i="6"/>
  <c r="Y289" i="6"/>
  <c r="X289" i="6"/>
  <c r="Z288" i="6"/>
  <c r="Y288" i="6"/>
  <c r="X288" i="6"/>
  <c r="Z287" i="6"/>
  <c r="Y287" i="6"/>
  <c r="X287" i="6"/>
  <c r="Z286" i="6"/>
  <c r="Y286" i="6"/>
  <c r="X286" i="6"/>
  <c r="Z285" i="6"/>
  <c r="Y285" i="6"/>
  <c r="X285" i="6"/>
  <c r="Z284" i="6"/>
  <c r="Y284" i="6"/>
  <c r="X284" i="6"/>
  <c r="Z283" i="6"/>
  <c r="Y283" i="6"/>
  <c r="X283" i="6"/>
  <c r="Z282" i="6"/>
  <c r="Y282" i="6"/>
  <c r="X282" i="6"/>
  <c r="Z281" i="6"/>
  <c r="Y281" i="6"/>
  <c r="X281" i="6"/>
  <c r="Z280" i="6"/>
  <c r="Y280" i="6"/>
  <c r="X280" i="6"/>
  <c r="Z279" i="6"/>
  <c r="Y279" i="6"/>
  <c r="X279" i="6"/>
  <c r="Z278" i="6"/>
  <c r="Y278" i="6"/>
  <c r="X278" i="6"/>
  <c r="Z277" i="6"/>
  <c r="Y277" i="6"/>
  <c r="X277" i="6"/>
  <c r="Z276" i="6"/>
  <c r="Y276" i="6"/>
  <c r="X276" i="6"/>
  <c r="Z275" i="6"/>
  <c r="Y275" i="6"/>
  <c r="X275" i="6"/>
  <c r="Z274" i="6"/>
  <c r="Y274" i="6"/>
  <c r="X274" i="6"/>
  <c r="Z273" i="6"/>
  <c r="Y273" i="6"/>
  <c r="X273" i="6"/>
  <c r="Z272" i="6"/>
  <c r="Y272" i="6"/>
  <c r="X272" i="6"/>
  <c r="Z271" i="6"/>
  <c r="Y271" i="6"/>
  <c r="X271" i="6"/>
  <c r="Z270" i="6"/>
  <c r="Y270" i="6"/>
  <c r="X270" i="6"/>
  <c r="Z269" i="6"/>
  <c r="Y269" i="6"/>
  <c r="X269" i="6"/>
  <c r="Z268" i="6"/>
  <c r="Y268" i="6"/>
  <c r="X268" i="6"/>
  <c r="Z267" i="6"/>
  <c r="Y267" i="6"/>
  <c r="X267" i="6"/>
  <c r="Z266" i="6"/>
  <c r="Y266" i="6"/>
  <c r="X266" i="6"/>
  <c r="Z265" i="6"/>
  <c r="Y265" i="6"/>
  <c r="X265" i="6"/>
  <c r="Z264" i="6"/>
  <c r="Y264" i="6"/>
  <c r="X264" i="6"/>
  <c r="Z263" i="6"/>
  <c r="Y263" i="6"/>
  <c r="X263" i="6"/>
  <c r="Z262" i="6"/>
  <c r="Y262" i="6"/>
  <c r="X262" i="6"/>
  <c r="Z261" i="6"/>
  <c r="Y261" i="6"/>
  <c r="X261" i="6"/>
  <c r="Z260" i="6"/>
  <c r="Y260" i="6"/>
  <c r="X260" i="6"/>
  <c r="Z259" i="6"/>
  <c r="Y259" i="6"/>
  <c r="X259" i="6"/>
  <c r="Z258" i="6"/>
  <c r="Y258" i="6"/>
  <c r="X258" i="6"/>
  <c r="Z257" i="6"/>
  <c r="Y257" i="6"/>
  <c r="X257" i="6"/>
  <c r="Z256" i="6"/>
  <c r="Y256" i="6"/>
  <c r="X256" i="6"/>
  <c r="Z255" i="6"/>
  <c r="Y255" i="6"/>
  <c r="X255" i="6"/>
  <c r="Z254" i="6"/>
  <c r="Y254" i="6"/>
  <c r="X254" i="6"/>
  <c r="Z253" i="6"/>
  <c r="Y253" i="6"/>
  <c r="X253" i="6"/>
  <c r="Z252" i="6"/>
  <c r="Y252" i="6"/>
  <c r="X252" i="6"/>
  <c r="Z251" i="6"/>
  <c r="Y251" i="6"/>
  <c r="X251" i="6"/>
  <c r="Z250" i="6"/>
  <c r="Y250" i="6"/>
  <c r="X250" i="6"/>
  <c r="Z249" i="6"/>
  <c r="Y249" i="6"/>
  <c r="X249" i="6"/>
  <c r="Z248" i="6"/>
  <c r="Y248" i="6"/>
  <c r="X248" i="6"/>
  <c r="Z247" i="6"/>
  <c r="Y247" i="6"/>
  <c r="X247" i="6"/>
  <c r="Z246" i="6"/>
  <c r="Y246" i="6"/>
  <c r="X246" i="6"/>
  <c r="Z245" i="6"/>
  <c r="Y245" i="6"/>
  <c r="X245" i="6"/>
  <c r="Z244" i="6"/>
  <c r="Y244" i="6"/>
  <c r="X244" i="6"/>
  <c r="Z243" i="6"/>
  <c r="Y243" i="6"/>
  <c r="X243" i="6"/>
  <c r="Z242" i="6"/>
  <c r="Y242" i="6"/>
  <c r="X242" i="6"/>
  <c r="Z241" i="6"/>
  <c r="Y241" i="6"/>
  <c r="X241" i="6"/>
  <c r="Z240" i="6"/>
  <c r="Y240" i="6"/>
  <c r="X240" i="6"/>
  <c r="Z239" i="6"/>
  <c r="Y239" i="6"/>
  <c r="X239" i="6"/>
  <c r="Z238" i="6"/>
  <c r="Y238" i="6"/>
  <c r="X238" i="6"/>
  <c r="Z237" i="6"/>
  <c r="Y237" i="6"/>
  <c r="X237" i="6"/>
  <c r="Z236" i="6"/>
  <c r="Y236" i="6"/>
  <c r="X236" i="6"/>
  <c r="Z235" i="6"/>
  <c r="Y235" i="6"/>
  <c r="X235" i="6"/>
  <c r="Z234" i="6"/>
  <c r="Y234" i="6"/>
  <c r="X234" i="6"/>
  <c r="Z233" i="6"/>
  <c r="Y233" i="6"/>
  <c r="X233" i="6"/>
  <c r="Z232" i="6"/>
  <c r="Y232" i="6"/>
  <c r="X232" i="6"/>
  <c r="Z231" i="6"/>
  <c r="Y231" i="6"/>
  <c r="X231" i="6"/>
  <c r="Z230" i="6"/>
  <c r="Y230" i="6"/>
  <c r="X230" i="6"/>
  <c r="Z229" i="6"/>
  <c r="Y229" i="6"/>
  <c r="X229" i="6"/>
  <c r="Z228" i="6"/>
  <c r="Y228" i="6"/>
  <c r="X228" i="6"/>
  <c r="Z227" i="6"/>
  <c r="Y227" i="6"/>
  <c r="X227" i="6"/>
  <c r="Z226" i="6"/>
  <c r="Y226" i="6"/>
  <c r="X226" i="6"/>
  <c r="Z225" i="6"/>
  <c r="Y225" i="6"/>
  <c r="X225" i="6"/>
  <c r="Z224" i="6"/>
  <c r="Y224" i="6"/>
  <c r="X224" i="6"/>
  <c r="Z223" i="6"/>
  <c r="Y223" i="6"/>
  <c r="X223" i="6"/>
  <c r="Z222" i="6"/>
  <c r="Y222" i="6"/>
  <c r="X222" i="6"/>
  <c r="Z221" i="6"/>
  <c r="Y221" i="6"/>
  <c r="X221" i="6"/>
  <c r="Z220" i="6"/>
  <c r="Y220" i="6"/>
  <c r="X220" i="6"/>
  <c r="Z219" i="6"/>
  <c r="Y219" i="6"/>
  <c r="X219" i="6"/>
  <c r="Z218" i="6"/>
  <c r="Y218" i="6"/>
  <c r="X218" i="6"/>
  <c r="Z217" i="6"/>
  <c r="Y217" i="6"/>
  <c r="X217" i="6"/>
  <c r="Z216" i="6"/>
  <c r="Y216" i="6"/>
  <c r="X216" i="6"/>
  <c r="Z215" i="6"/>
  <c r="Y215" i="6"/>
  <c r="X215" i="6"/>
  <c r="Z214" i="6"/>
  <c r="Y214" i="6"/>
  <c r="X214" i="6"/>
  <c r="Z213" i="6"/>
  <c r="Y213" i="6"/>
  <c r="X213" i="6"/>
  <c r="Z212" i="6"/>
  <c r="Y212" i="6"/>
  <c r="X212" i="6"/>
  <c r="Z211" i="6"/>
  <c r="Y211" i="6"/>
  <c r="X211" i="6"/>
  <c r="Z210" i="6"/>
  <c r="Y210" i="6"/>
  <c r="X210" i="6"/>
  <c r="Z209" i="6"/>
  <c r="Y209" i="6"/>
  <c r="X209" i="6"/>
  <c r="Z208" i="6"/>
  <c r="Y208" i="6"/>
  <c r="X208" i="6"/>
  <c r="Z207" i="6"/>
  <c r="Y207" i="6"/>
  <c r="X207" i="6"/>
  <c r="Z206" i="6"/>
  <c r="Y206" i="6"/>
  <c r="X206" i="6"/>
  <c r="Z205" i="6"/>
  <c r="Y205" i="6"/>
  <c r="X205" i="6"/>
  <c r="Z204" i="6"/>
  <c r="Y204" i="6"/>
  <c r="X204" i="6"/>
  <c r="Z203" i="6"/>
  <c r="Y203" i="6"/>
  <c r="X203" i="6"/>
  <c r="Z202" i="6"/>
  <c r="Y202" i="6"/>
  <c r="X202" i="6"/>
  <c r="Z201" i="6"/>
  <c r="Y201" i="6"/>
  <c r="X201" i="6"/>
  <c r="Z200" i="6"/>
  <c r="Y200" i="6"/>
  <c r="X200" i="6"/>
  <c r="Z199" i="6"/>
  <c r="Y199" i="6"/>
  <c r="X199" i="6"/>
  <c r="Z198" i="6"/>
  <c r="Y198" i="6"/>
  <c r="X198" i="6"/>
  <c r="Z197" i="6"/>
  <c r="Y197" i="6"/>
  <c r="X197" i="6"/>
  <c r="Z196" i="6"/>
  <c r="Y196" i="6"/>
  <c r="X196" i="6"/>
  <c r="Z195" i="6"/>
  <c r="Y195" i="6"/>
  <c r="X195" i="6"/>
  <c r="Z194" i="6"/>
  <c r="Y194" i="6"/>
  <c r="X194" i="6"/>
  <c r="Z193" i="6"/>
  <c r="Y193" i="6"/>
  <c r="X193" i="6"/>
  <c r="Z192" i="6"/>
  <c r="Y192" i="6"/>
  <c r="X192" i="6"/>
  <c r="Z191" i="6"/>
  <c r="Y191" i="6"/>
  <c r="X191" i="6"/>
  <c r="Z190" i="6"/>
  <c r="Y190" i="6"/>
  <c r="X190" i="6"/>
  <c r="Z189" i="6"/>
  <c r="Y189" i="6"/>
  <c r="X189" i="6"/>
  <c r="Z188" i="6"/>
  <c r="Y188" i="6"/>
  <c r="X188" i="6"/>
  <c r="Z187" i="6"/>
  <c r="Y187" i="6"/>
  <c r="X187" i="6"/>
  <c r="Z186" i="6"/>
  <c r="Y186" i="6"/>
  <c r="X186" i="6"/>
  <c r="Z185" i="6"/>
  <c r="Y185" i="6"/>
  <c r="X185" i="6"/>
  <c r="Z184" i="6"/>
  <c r="Y184" i="6"/>
  <c r="X184" i="6"/>
  <c r="Z183" i="6"/>
  <c r="Y183" i="6"/>
  <c r="X183" i="6"/>
  <c r="Z182" i="6"/>
  <c r="Y182" i="6"/>
  <c r="X182" i="6"/>
  <c r="Z181" i="6"/>
  <c r="Y181" i="6"/>
  <c r="X181" i="6"/>
  <c r="Z180" i="6"/>
  <c r="Y180" i="6"/>
  <c r="X180" i="6"/>
  <c r="Z179" i="6"/>
  <c r="Y179" i="6"/>
  <c r="X179" i="6"/>
  <c r="Z178" i="6"/>
  <c r="Y178" i="6"/>
  <c r="X178" i="6"/>
  <c r="Z177" i="6"/>
  <c r="Y177" i="6"/>
  <c r="X177" i="6"/>
  <c r="Z176" i="6"/>
  <c r="Y176" i="6"/>
  <c r="X176" i="6"/>
  <c r="Z175" i="6"/>
  <c r="Y175" i="6"/>
  <c r="X175" i="6"/>
  <c r="Z174" i="6"/>
  <c r="Y174" i="6"/>
  <c r="X174" i="6"/>
  <c r="Z173" i="6"/>
  <c r="Y173" i="6"/>
  <c r="X173" i="6"/>
  <c r="Z172" i="6"/>
  <c r="Y172" i="6"/>
  <c r="X172" i="6"/>
  <c r="Z171" i="6"/>
  <c r="Y171" i="6"/>
  <c r="X171" i="6"/>
  <c r="Z170" i="6"/>
  <c r="Y170" i="6"/>
  <c r="X170" i="6"/>
  <c r="Z548" i="6"/>
  <c r="Y548" i="6"/>
  <c r="X548" i="6"/>
  <c r="Z547" i="6"/>
  <c r="Y547" i="6"/>
  <c r="X547" i="6"/>
  <c r="Z546" i="6"/>
  <c r="Y546" i="6"/>
  <c r="X546" i="6"/>
  <c r="Z545" i="6"/>
  <c r="Y545" i="6"/>
  <c r="X545" i="6"/>
  <c r="Z544" i="6"/>
  <c r="Y544" i="6"/>
  <c r="X544" i="6"/>
  <c r="Z543" i="6"/>
  <c r="Y543" i="6"/>
  <c r="X543" i="6"/>
  <c r="Z542" i="6"/>
  <c r="Y542" i="6"/>
  <c r="X542" i="6"/>
  <c r="Z541" i="6"/>
  <c r="Y541" i="6"/>
  <c r="X541" i="6"/>
  <c r="Z540" i="6"/>
  <c r="Y540" i="6"/>
  <c r="X540" i="6"/>
  <c r="Z539" i="6"/>
  <c r="Y539" i="6"/>
  <c r="X539" i="6"/>
  <c r="Z538" i="6"/>
  <c r="Y538" i="6"/>
  <c r="X538" i="6"/>
  <c r="Z537" i="6"/>
  <c r="Y537" i="6"/>
  <c r="X537" i="6"/>
  <c r="Z536" i="6"/>
  <c r="Y536" i="6"/>
  <c r="X536" i="6"/>
  <c r="Z535" i="6"/>
  <c r="Y535" i="6"/>
  <c r="X535" i="6"/>
  <c r="Z534" i="6"/>
  <c r="Y534" i="6"/>
  <c r="X534" i="6"/>
  <c r="Z533" i="6"/>
  <c r="Y533" i="6"/>
  <c r="X533" i="6"/>
  <c r="Z532" i="6"/>
  <c r="Y532" i="6"/>
  <c r="X532" i="6"/>
  <c r="Z531" i="6"/>
  <c r="Y531" i="6"/>
  <c r="X531" i="6"/>
  <c r="Z530" i="6"/>
  <c r="Y530" i="6"/>
  <c r="X530" i="6"/>
  <c r="Z529" i="6"/>
  <c r="Y529" i="6"/>
  <c r="X529" i="6"/>
  <c r="Z528" i="6"/>
  <c r="Y528" i="6"/>
  <c r="X528" i="6"/>
  <c r="Z527" i="6"/>
  <c r="Y527" i="6"/>
  <c r="X527" i="6"/>
  <c r="Z526" i="6"/>
  <c r="Y526" i="6"/>
  <c r="X526" i="6"/>
  <c r="Z525" i="6"/>
  <c r="Y525" i="6"/>
  <c r="X525" i="6"/>
  <c r="Z524" i="6"/>
  <c r="Y524" i="6"/>
  <c r="X524" i="6"/>
  <c r="Z523" i="6"/>
  <c r="Y523" i="6"/>
  <c r="X523" i="6"/>
  <c r="Z522" i="6"/>
  <c r="Y522" i="6"/>
  <c r="X522" i="6"/>
  <c r="Z521" i="6"/>
  <c r="Y521" i="6"/>
  <c r="X521" i="6"/>
  <c r="Z520" i="6"/>
  <c r="Y520" i="6"/>
  <c r="X520" i="6"/>
  <c r="Z519" i="6"/>
  <c r="Y519" i="6"/>
  <c r="X519" i="6"/>
  <c r="Z488" i="6"/>
  <c r="Y488" i="6"/>
  <c r="X488" i="6"/>
  <c r="Z487" i="6"/>
  <c r="Y487" i="6"/>
  <c r="X487" i="6"/>
  <c r="Z486" i="6"/>
  <c r="Y486" i="6"/>
  <c r="X486" i="6"/>
  <c r="Z485" i="6"/>
  <c r="Y485" i="6"/>
  <c r="X485" i="6"/>
  <c r="Z484" i="6"/>
  <c r="Y484" i="6"/>
  <c r="X484" i="6"/>
  <c r="Z483" i="6"/>
  <c r="Y483" i="6"/>
  <c r="X483" i="6"/>
  <c r="Z482" i="6"/>
  <c r="Y482" i="6"/>
  <c r="X482" i="6"/>
  <c r="Z481" i="6"/>
  <c r="Y481" i="6"/>
  <c r="X481" i="6"/>
  <c r="Z480" i="6"/>
  <c r="Y480" i="6"/>
  <c r="X480" i="6"/>
  <c r="Z479" i="6"/>
  <c r="Y479" i="6"/>
  <c r="X479" i="6"/>
  <c r="Z478" i="6"/>
  <c r="Y478" i="6"/>
  <c r="X478" i="6"/>
  <c r="Z477" i="6"/>
  <c r="Y477" i="6"/>
  <c r="X477" i="6"/>
  <c r="Z476" i="6"/>
  <c r="Y476" i="6"/>
  <c r="X476" i="6"/>
  <c r="Z475" i="6"/>
  <c r="Y475" i="6"/>
  <c r="X475" i="6"/>
  <c r="Z474" i="6"/>
  <c r="Y474" i="6"/>
  <c r="X474" i="6"/>
  <c r="Z473" i="6"/>
  <c r="Y473" i="6"/>
  <c r="X473" i="6"/>
  <c r="Z472" i="6"/>
  <c r="Y472" i="6"/>
  <c r="X472" i="6"/>
  <c r="Z471" i="6"/>
  <c r="Y471" i="6"/>
  <c r="X471" i="6"/>
  <c r="Z470" i="6"/>
  <c r="Y470" i="6"/>
  <c r="X470" i="6"/>
  <c r="Z469" i="6"/>
  <c r="Y469" i="6"/>
  <c r="X469" i="6"/>
  <c r="Z468" i="6"/>
  <c r="Y468" i="6"/>
  <c r="X468" i="6"/>
  <c r="Z467" i="6"/>
  <c r="Y467" i="6"/>
  <c r="X467" i="6"/>
  <c r="Z466" i="6"/>
  <c r="Y466" i="6"/>
  <c r="X466" i="6"/>
  <c r="Z465" i="6"/>
  <c r="Y465" i="6"/>
  <c r="X465" i="6"/>
  <c r="Z464" i="6"/>
  <c r="Y464" i="6"/>
  <c r="X464" i="6"/>
  <c r="Z463" i="6"/>
  <c r="Y463" i="6"/>
  <c r="X463" i="6"/>
  <c r="Z462" i="6"/>
  <c r="Y462" i="6"/>
  <c r="X462" i="6"/>
  <c r="Z461" i="6"/>
  <c r="Y461" i="6"/>
  <c r="X461" i="6"/>
  <c r="Z460" i="6"/>
  <c r="Y460" i="6"/>
  <c r="X460" i="6"/>
  <c r="Z459" i="6"/>
  <c r="Y459" i="6"/>
  <c r="X459" i="6"/>
  <c r="Z458" i="6"/>
  <c r="Y458" i="6"/>
  <c r="X458" i="6"/>
  <c r="Z457" i="6"/>
  <c r="Y457" i="6"/>
  <c r="X457" i="6"/>
  <c r="Z456" i="6"/>
  <c r="Y456" i="6"/>
  <c r="X456" i="6"/>
  <c r="Z455" i="6"/>
  <c r="Y455" i="6"/>
  <c r="X455" i="6"/>
  <c r="Z454" i="6"/>
  <c r="Y454" i="6"/>
  <c r="X454" i="6"/>
  <c r="Z453" i="6"/>
  <c r="Y453" i="6"/>
  <c r="X453" i="6"/>
  <c r="Z452" i="6"/>
  <c r="Y452" i="6"/>
  <c r="X452" i="6"/>
  <c r="Z451" i="6"/>
  <c r="Y451" i="6"/>
  <c r="X451" i="6"/>
  <c r="Z450" i="6"/>
  <c r="Y450" i="6"/>
  <c r="X450" i="6"/>
  <c r="Z449" i="6"/>
  <c r="Y449" i="6"/>
  <c r="X449" i="6"/>
  <c r="Z448" i="6"/>
  <c r="Y448" i="6"/>
  <c r="X448" i="6"/>
  <c r="Z447" i="6"/>
  <c r="Y447" i="6"/>
  <c r="X447" i="6"/>
  <c r="Z446" i="6"/>
  <c r="Y446" i="6"/>
  <c r="X446" i="6"/>
  <c r="Z445" i="6"/>
  <c r="Y445" i="6"/>
  <c r="X445" i="6"/>
  <c r="Z444" i="6"/>
  <c r="Y444" i="6"/>
  <c r="X444" i="6"/>
  <c r="Z443" i="6"/>
  <c r="Y443" i="6"/>
  <c r="X443" i="6"/>
  <c r="Z442" i="6"/>
  <c r="Y442" i="6"/>
  <c r="X442" i="6"/>
  <c r="Z441" i="6"/>
  <c r="Y441" i="6"/>
  <c r="X441" i="6"/>
  <c r="Z440" i="6"/>
  <c r="Y440" i="6"/>
  <c r="X440" i="6"/>
  <c r="Z439" i="6"/>
  <c r="Y439" i="6"/>
  <c r="X439" i="6"/>
  <c r="Z438" i="6"/>
  <c r="Y438" i="6"/>
  <c r="X438" i="6"/>
  <c r="Z437" i="6"/>
  <c r="Y437" i="6"/>
  <c r="X437" i="6"/>
  <c r="Z436" i="6"/>
  <c r="Y436" i="6"/>
  <c r="X436" i="6"/>
  <c r="Z435" i="6"/>
  <c r="Y435" i="6"/>
  <c r="X435" i="6"/>
  <c r="Z434" i="6"/>
  <c r="Y434" i="6"/>
  <c r="X434" i="6"/>
  <c r="Z433" i="6"/>
  <c r="Y433" i="6"/>
  <c r="X433" i="6"/>
  <c r="Z432" i="6"/>
  <c r="Y432" i="6"/>
  <c r="X432" i="6"/>
  <c r="Z431" i="6"/>
  <c r="Y431" i="6"/>
  <c r="X431" i="6"/>
  <c r="Z430" i="6"/>
  <c r="Y430" i="6"/>
  <c r="X430" i="6"/>
  <c r="Z429" i="6"/>
  <c r="Y429" i="6"/>
  <c r="X429" i="6"/>
  <c r="Z428" i="6"/>
  <c r="Y428" i="6"/>
  <c r="X428" i="6"/>
  <c r="Z427" i="6"/>
  <c r="Y427" i="6"/>
  <c r="X427" i="6"/>
  <c r="Z426" i="6"/>
  <c r="Y426" i="6"/>
  <c r="X426" i="6"/>
  <c r="Z425" i="6"/>
  <c r="Y425" i="6"/>
  <c r="X425" i="6"/>
  <c r="Z424" i="6"/>
  <c r="Y424" i="6"/>
  <c r="X424" i="6"/>
  <c r="Z423" i="6"/>
  <c r="Y423" i="6"/>
  <c r="X423" i="6"/>
  <c r="Z422" i="6"/>
  <c r="Y422" i="6"/>
  <c r="X422" i="6"/>
  <c r="Z421" i="6"/>
  <c r="Y421" i="6"/>
  <c r="X421" i="6"/>
  <c r="Z420" i="6"/>
  <c r="Y420" i="6"/>
  <c r="X420" i="6"/>
  <c r="Z419" i="6"/>
  <c r="Y419" i="6"/>
  <c r="X419" i="6"/>
  <c r="Z418" i="6"/>
  <c r="Y418" i="6"/>
  <c r="X418" i="6"/>
  <c r="Z417" i="6"/>
  <c r="Y417" i="6"/>
  <c r="X417" i="6"/>
  <c r="Z416" i="6"/>
  <c r="Y416" i="6"/>
  <c r="X416" i="6"/>
  <c r="Z415" i="6"/>
  <c r="Y415" i="6"/>
  <c r="X415" i="6"/>
  <c r="Z414" i="6"/>
  <c r="Y414" i="6"/>
  <c r="X414" i="6"/>
  <c r="Z413" i="6"/>
  <c r="Y413" i="6"/>
  <c r="X413" i="6"/>
  <c r="Z169" i="6"/>
  <c r="Y169" i="6"/>
  <c r="X169" i="6"/>
  <c r="Z168" i="6"/>
  <c r="Y168" i="6"/>
  <c r="X168" i="6"/>
  <c r="Z167" i="6"/>
  <c r="Y167" i="6"/>
  <c r="X167" i="6"/>
  <c r="Z166" i="6"/>
  <c r="Y166" i="6"/>
  <c r="X166" i="6"/>
  <c r="Z165" i="6"/>
  <c r="Y165" i="6"/>
  <c r="X165" i="6"/>
  <c r="Z164" i="6"/>
  <c r="Y164" i="6"/>
  <c r="X164" i="6"/>
  <c r="Z163" i="6"/>
  <c r="Y163" i="6"/>
  <c r="X163" i="6"/>
  <c r="Z162" i="6"/>
  <c r="Y162" i="6"/>
  <c r="X162" i="6"/>
  <c r="Z161" i="6"/>
  <c r="Y161" i="6"/>
  <c r="X161" i="6"/>
  <c r="Z160" i="6"/>
  <c r="Y160" i="6"/>
  <c r="X160" i="6"/>
  <c r="Z159" i="6"/>
  <c r="Y159" i="6"/>
  <c r="X159" i="6"/>
  <c r="Z158" i="6"/>
  <c r="Y158" i="6"/>
  <c r="X158" i="6"/>
  <c r="Z157" i="6"/>
  <c r="Y157" i="6"/>
  <c r="X157" i="6"/>
  <c r="Z156" i="6"/>
  <c r="Y156" i="6"/>
  <c r="X156" i="6"/>
  <c r="Z155" i="6"/>
  <c r="Y155" i="6"/>
  <c r="X155" i="6"/>
  <c r="Z154" i="6"/>
  <c r="Y154" i="6"/>
  <c r="X154" i="6"/>
  <c r="Z153" i="6"/>
  <c r="Y153" i="6"/>
  <c r="X153" i="6"/>
  <c r="Z152" i="6"/>
  <c r="Y152" i="6"/>
  <c r="X152" i="6"/>
  <c r="Z151" i="6"/>
  <c r="Y151" i="6"/>
  <c r="X151" i="6"/>
  <c r="Z150" i="6"/>
  <c r="Y150" i="6"/>
  <c r="X150" i="6"/>
  <c r="Z149" i="6"/>
  <c r="Y149" i="6"/>
  <c r="X149" i="6"/>
  <c r="Z148" i="6"/>
  <c r="Y148" i="6"/>
  <c r="X148" i="6"/>
  <c r="Z147" i="6"/>
  <c r="Y147" i="6"/>
  <c r="X147" i="6"/>
  <c r="Z146" i="6"/>
  <c r="Y146" i="6"/>
  <c r="X146" i="6"/>
  <c r="Z145" i="6"/>
  <c r="Y145" i="6"/>
  <c r="X145" i="6"/>
  <c r="Z144" i="6"/>
  <c r="Y144" i="6"/>
  <c r="X144" i="6"/>
  <c r="Z143" i="6"/>
  <c r="Y143" i="6"/>
  <c r="X143" i="6"/>
  <c r="Z142" i="6"/>
  <c r="Y142" i="6"/>
  <c r="X142" i="6"/>
  <c r="Z141" i="6"/>
  <c r="Y141" i="6"/>
  <c r="X141" i="6"/>
  <c r="Z140" i="6"/>
  <c r="Y140" i="6"/>
  <c r="X140" i="6"/>
  <c r="Z139" i="6"/>
  <c r="Y139" i="6"/>
  <c r="X139" i="6"/>
  <c r="Z138" i="6"/>
  <c r="Y138" i="6"/>
  <c r="X138" i="6"/>
  <c r="Z137" i="6"/>
  <c r="Y137" i="6"/>
  <c r="X137" i="6"/>
  <c r="Z136" i="6"/>
  <c r="Y136" i="6"/>
  <c r="X136" i="6"/>
  <c r="Z135" i="6"/>
  <c r="Y135" i="6"/>
  <c r="X135" i="6"/>
  <c r="Z134" i="6"/>
  <c r="Y134" i="6"/>
  <c r="X134" i="6"/>
  <c r="Z133" i="6"/>
  <c r="Y133" i="6"/>
  <c r="X133" i="6"/>
  <c r="Z132" i="6"/>
  <c r="Y132" i="6"/>
  <c r="X132" i="6"/>
  <c r="Z131" i="6"/>
  <c r="Y131" i="6"/>
  <c r="X131" i="6"/>
  <c r="Z130" i="6"/>
  <c r="Y130" i="6"/>
  <c r="X130" i="6"/>
  <c r="Z129" i="6"/>
  <c r="Y129" i="6"/>
  <c r="X129" i="6"/>
  <c r="Z128" i="6"/>
  <c r="Y128" i="6"/>
  <c r="X128" i="6"/>
  <c r="Z127" i="6"/>
  <c r="Y127" i="6"/>
  <c r="X127" i="6"/>
  <c r="Z126" i="6"/>
  <c r="Y126" i="6"/>
  <c r="X126" i="6"/>
  <c r="Z125" i="6"/>
  <c r="Y125" i="6"/>
  <c r="X125" i="6"/>
  <c r="Z124" i="6"/>
  <c r="Y124" i="6"/>
  <c r="X124" i="6"/>
  <c r="Z123" i="6"/>
  <c r="Y123" i="6"/>
  <c r="X123" i="6"/>
  <c r="Z122" i="6"/>
  <c r="Y122" i="6"/>
  <c r="X122" i="6"/>
  <c r="Z121" i="6"/>
  <c r="Y121" i="6"/>
  <c r="X121" i="6"/>
  <c r="Z120" i="6"/>
  <c r="Y120" i="6"/>
  <c r="X120" i="6"/>
  <c r="Z119" i="6"/>
  <c r="Y119" i="6"/>
  <c r="X119" i="6"/>
  <c r="Z118" i="6"/>
  <c r="Y118" i="6"/>
  <c r="X118" i="6"/>
  <c r="Z117" i="6"/>
  <c r="Y117" i="6"/>
  <c r="X117" i="6"/>
  <c r="Z116" i="6"/>
  <c r="Y116" i="6"/>
  <c r="X116" i="6"/>
  <c r="Z115" i="6"/>
  <c r="Y115" i="6"/>
  <c r="X115" i="6"/>
  <c r="Z114" i="6"/>
  <c r="Y114" i="6"/>
  <c r="X114" i="6"/>
  <c r="Z113" i="6"/>
  <c r="Y113" i="6"/>
  <c r="X113" i="6"/>
  <c r="Z112" i="6"/>
  <c r="Y112" i="6"/>
  <c r="X112" i="6"/>
  <c r="Z111" i="6"/>
  <c r="Y111" i="6"/>
  <c r="X111" i="6"/>
  <c r="Z110" i="6"/>
  <c r="Y110" i="6"/>
  <c r="X110" i="6"/>
  <c r="Z109" i="6"/>
  <c r="Y109" i="6"/>
  <c r="X109" i="6"/>
  <c r="Z108" i="6"/>
  <c r="Y108" i="6"/>
  <c r="X108" i="6"/>
  <c r="Z107" i="6"/>
  <c r="Y107" i="6"/>
  <c r="X107" i="6"/>
  <c r="Z106" i="6"/>
  <c r="Y106" i="6"/>
  <c r="X106" i="6"/>
  <c r="Z105" i="6"/>
  <c r="Y105" i="6"/>
  <c r="X105" i="6"/>
  <c r="Z104" i="6"/>
  <c r="Y104" i="6"/>
  <c r="X104" i="6"/>
  <c r="Z103" i="6"/>
  <c r="Y103" i="6"/>
  <c r="X103" i="6"/>
  <c r="Z102" i="6"/>
  <c r="Y102" i="6"/>
  <c r="X102" i="6"/>
  <c r="Z101" i="6"/>
  <c r="Y101" i="6"/>
  <c r="X101" i="6"/>
  <c r="Z100" i="6"/>
  <c r="Y100" i="6"/>
  <c r="X100" i="6"/>
  <c r="Z99" i="6"/>
  <c r="Y99" i="6"/>
  <c r="X99" i="6"/>
  <c r="Z98" i="6"/>
  <c r="Y98" i="6"/>
  <c r="X98" i="6"/>
  <c r="Z97" i="6"/>
  <c r="Y97" i="6"/>
  <c r="X97" i="6"/>
  <c r="Z96" i="6"/>
  <c r="Y96" i="6"/>
  <c r="X96" i="6"/>
  <c r="Z95" i="6"/>
  <c r="Y95" i="6"/>
  <c r="X95" i="6"/>
  <c r="Z94" i="6"/>
  <c r="Y94" i="6"/>
  <c r="X94" i="6"/>
  <c r="Z93" i="6"/>
  <c r="Y93" i="6"/>
  <c r="X93" i="6"/>
  <c r="Z92" i="6"/>
  <c r="Y92" i="6"/>
  <c r="X92" i="6"/>
  <c r="Z91" i="6"/>
  <c r="Y91" i="6"/>
  <c r="X91" i="6"/>
  <c r="Z90" i="6"/>
  <c r="Y90" i="6"/>
  <c r="X90" i="6"/>
  <c r="Z89" i="6"/>
  <c r="Y89" i="6"/>
  <c r="X89" i="6"/>
  <c r="Z88" i="6"/>
  <c r="Y88" i="6"/>
  <c r="X88" i="6"/>
  <c r="Z87" i="6"/>
  <c r="Y87" i="6"/>
  <c r="X87" i="6"/>
  <c r="Z86" i="6"/>
  <c r="Y86" i="6"/>
  <c r="X86" i="6"/>
  <c r="Z85" i="6"/>
  <c r="Y85" i="6"/>
  <c r="X85" i="6"/>
  <c r="Z84" i="6"/>
  <c r="Y84" i="6"/>
  <c r="X84" i="6"/>
  <c r="Z83" i="6"/>
  <c r="Y83" i="6"/>
  <c r="X83" i="6"/>
  <c r="Z82" i="6"/>
  <c r="Y82" i="6"/>
  <c r="X82" i="6"/>
  <c r="Z81" i="6"/>
  <c r="Y81" i="6"/>
  <c r="X81" i="6"/>
  <c r="Z80" i="6"/>
  <c r="Y80" i="6"/>
  <c r="X80" i="6"/>
  <c r="Z79" i="6"/>
  <c r="Y79" i="6"/>
  <c r="X79" i="6"/>
  <c r="Z78" i="6"/>
  <c r="Y78" i="6"/>
  <c r="X78" i="6"/>
  <c r="Z77" i="6"/>
  <c r="Y77" i="6"/>
  <c r="X77" i="6"/>
  <c r="Z76" i="6"/>
  <c r="Y76" i="6"/>
  <c r="X76" i="6"/>
  <c r="Z75" i="6"/>
  <c r="Y75" i="6"/>
  <c r="X75" i="6"/>
  <c r="Z74" i="6"/>
  <c r="Y74" i="6"/>
  <c r="X74" i="6"/>
  <c r="Z73" i="6"/>
  <c r="Y73" i="6"/>
  <c r="X73" i="6"/>
  <c r="Z72" i="6"/>
  <c r="Y72" i="6"/>
  <c r="X72" i="6"/>
  <c r="Z71" i="6"/>
  <c r="Y71" i="6"/>
  <c r="X71" i="6"/>
  <c r="Z70" i="6"/>
  <c r="Y70" i="6"/>
  <c r="X70" i="6"/>
  <c r="Z69" i="6"/>
  <c r="Y69" i="6"/>
  <c r="X69" i="6"/>
  <c r="Z68" i="6"/>
  <c r="Y68" i="6"/>
  <c r="X68" i="6"/>
  <c r="Z67" i="6"/>
  <c r="Y67" i="6"/>
  <c r="X67" i="6"/>
  <c r="Z66" i="6"/>
  <c r="Y66" i="6"/>
  <c r="X66" i="6"/>
  <c r="Z65" i="6"/>
  <c r="Y65" i="6"/>
  <c r="X65" i="6"/>
  <c r="Z64" i="6"/>
  <c r="Y64" i="6"/>
  <c r="X64" i="6"/>
  <c r="Z63" i="6"/>
  <c r="Y63" i="6"/>
  <c r="X63" i="6"/>
  <c r="Z62" i="6"/>
  <c r="Y62" i="6"/>
  <c r="X62" i="6"/>
  <c r="Z61" i="6"/>
  <c r="Y61" i="6"/>
  <c r="X61" i="6"/>
  <c r="Z60" i="6"/>
  <c r="Y60" i="6"/>
  <c r="X60" i="6"/>
  <c r="Z59" i="6"/>
  <c r="Y59" i="6"/>
  <c r="X59" i="6"/>
  <c r="Z58" i="6"/>
  <c r="Y58" i="6"/>
  <c r="X58" i="6"/>
  <c r="Z57" i="6"/>
  <c r="Y57" i="6"/>
  <c r="X57" i="6"/>
  <c r="Z56" i="6"/>
  <c r="Y56" i="6"/>
  <c r="X56" i="6"/>
  <c r="Z55" i="6"/>
  <c r="Y55" i="6"/>
  <c r="X55" i="6"/>
  <c r="Z54" i="6"/>
  <c r="Y54" i="6"/>
  <c r="X54" i="6"/>
  <c r="Z53" i="6"/>
  <c r="Y53" i="6"/>
  <c r="X53" i="6"/>
  <c r="Z52" i="6"/>
  <c r="Y52" i="6"/>
  <c r="X52" i="6"/>
  <c r="Z51" i="6"/>
  <c r="Y51" i="6"/>
  <c r="X51" i="6"/>
  <c r="Z50" i="6"/>
  <c r="Y50" i="6"/>
  <c r="X50" i="6"/>
  <c r="Z49" i="6"/>
  <c r="Y49" i="6"/>
  <c r="X49" i="6"/>
  <c r="Z48" i="6"/>
  <c r="Y48" i="6"/>
  <c r="X48" i="6"/>
  <c r="Z47" i="6"/>
  <c r="Y47" i="6"/>
  <c r="X47" i="6"/>
  <c r="Z46" i="6"/>
  <c r="Y46" i="6"/>
  <c r="X46" i="6"/>
  <c r="Z45" i="6"/>
  <c r="Y45" i="6"/>
  <c r="X45" i="6"/>
  <c r="Z44" i="6"/>
  <c r="Y44" i="6"/>
  <c r="X44" i="6"/>
  <c r="Z43" i="6"/>
  <c r="Y43" i="6"/>
  <c r="X43" i="6"/>
  <c r="Z42" i="6"/>
  <c r="Y42" i="6"/>
  <c r="X42" i="6"/>
  <c r="Z41" i="6"/>
  <c r="Y41" i="6"/>
  <c r="X41" i="6"/>
  <c r="Z40" i="6"/>
  <c r="Y40" i="6"/>
  <c r="X40" i="6"/>
  <c r="Z39" i="6"/>
  <c r="Y39" i="6"/>
  <c r="X39" i="6"/>
  <c r="Z38" i="6"/>
  <c r="Y38" i="6"/>
  <c r="X38" i="6"/>
  <c r="Z37" i="6"/>
  <c r="Y37" i="6"/>
  <c r="X37" i="6"/>
  <c r="Z36" i="6"/>
  <c r="Y36" i="6"/>
  <c r="X36" i="6"/>
  <c r="Z35" i="6"/>
  <c r="Y35" i="6"/>
  <c r="X35" i="6"/>
  <c r="Z34" i="6"/>
  <c r="Y34" i="6"/>
  <c r="X34" i="6"/>
  <c r="Z33" i="6"/>
  <c r="Y33" i="6"/>
  <c r="X33" i="6"/>
  <c r="Z32" i="6"/>
  <c r="Y32" i="6"/>
  <c r="X32" i="6"/>
  <c r="Z31" i="6"/>
  <c r="Y31" i="6"/>
  <c r="X31" i="6"/>
  <c r="Z30" i="6"/>
  <c r="Y30" i="6"/>
  <c r="X30" i="6"/>
  <c r="Z29" i="6"/>
  <c r="Y29" i="6"/>
  <c r="X29" i="6"/>
  <c r="Z28" i="6"/>
  <c r="Y28" i="6"/>
  <c r="X28" i="6"/>
  <c r="Z27" i="6"/>
  <c r="Y27" i="6"/>
  <c r="X27" i="6"/>
  <c r="Z26" i="6"/>
  <c r="Y26" i="6"/>
  <c r="X26" i="6"/>
  <c r="Z25" i="6"/>
  <c r="Y25" i="6"/>
  <c r="X25" i="6"/>
  <c r="Z24" i="6"/>
  <c r="Y24" i="6"/>
  <c r="X24" i="6"/>
  <c r="Z23" i="6"/>
  <c r="Y23" i="6"/>
  <c r="X23" i="6"/>
  <c r="Z22" i="6"/>
  <c r="Y22" i="6"/>
  <c r="X22" i="6"/>
  <c r="Z21" i="6"/>
  <c r="Y21" i="6"/>
  <c r="X21" i="6"/>
  <c r="Z20" i="6"/>
  <c r="Y20" i="6"/>
  <c r="X20" i="6"/>
  <c r="Z19" i="6"/>
  <c r="Y19" i="6"/>
  <c r="X19" i="6"/>
  <c r="Z18" i="6"/>
  <c r="Y18" i="6"/>
  <c r="X18" i="6"/>
  <c r="Z17" i="6"/>
  <c r="Y17" i="6"/>
  <c r="X17" i="6"/>
  <c r="Z16" i="6"/>
  <c r="Y16" i="6"/>
  <c r="X16" i="6"/>
  <c r="Z15" i="6"/>
  <c r="Y15" i="6"/>
  <c r="X15" i="6"/>
  <c r="Z14" i="6"/>
  <c r="Y14" i="6"/>
  <c r="X14" i="6"/>
  <c r="Z13" i="6"/>
  <c r="Y13" i="6"/>
  <c r="X13" i="6"/>
  <c r="Z12" i="6"/>
  <c r="Y12" i="6"/>
  <c r="X12" i="6"/>
  <c r="Z11" i="6"/>
  <c r="Y11" i="6"/>
  <c r="X11" i="6"/>
  <c r="Z10" i="6"/>
  <c r="Y10" i="6"/>
  <c r="X10" i="6"/>
  <c r="Z9" i="6"/>
  <c r="Y9" i="6"/>
  <c r="X9" i="6"/>
  <c r="Z8" i="6"/>
  <c r="Y8" i="6"/>
  <c r="X8" i="6"/>
  <c r="Z7" i="6"/>
  <c r="Y7" i="6"/>
  <c r="X7" i="6"/>
  <c r="Z6" i="6"/>
  <c r="Y6" i="6"/>
  <c r="X6" i="6"/>
  <c r="Z5" i="6"/>
  <c r="Y5" i="6"/>
  <c r="X5" i="6"/>
  <c r="Z4" i="6"/>
  <c r="Y4" i="6"/>
  <c r="X4" i="6"/>
  <c r="Z3" i="6"/>
  <c r="Y3" i="6"/>
  <c r="X3" i="6"/>
  <c r="Y2" i="6"/>
  <c r="X2" i="6"/>
  <c r="Y1" i="6"/>
  <c r="X1" i="6"/>
  <c r="N2005" i="6"/>
  <c r="N2004" i="6"/>
  <c r="N2003" i="6"/>
  <c r="N2002" i="6"/>
  <c r="N2001" i="6"/>
  <c r="N2000" i="6"/>
  <c r="N1999" i="6"/>
  <c r="N1998" i="6"/>
  <c r="N1997" i="6"/>
  <c r="N1996" i="6"/>
  <c r="N1995" i="6"/>
  <c r="N1994" i="6"/>
  <c r="N1993" i="6"/>
  <c r="N1992" i="6"/>
  <c r="N1991" i="6"/>
  <c r="N1990" i="6"/>
  <c r="N1989" i="6"/>
  <c r="N1988" i="6"/>
  <c r="N1987" i="6"/>
  <c r="N1986" i="6"/>
  <c r="N1985" i="6"/>
  <c r="N1984" i="6"/>
  <c r="N1983" i="6"/>
  <c r="N1982" i="6"/>
  <c r="N1981" i="6"/>
  <c r="N1980" i="6"/>
  <c r="N1979" i="6"/>
  <c r="N1978" i="6"/>
  <c r="N1977" i="6"/>
  <c r="N1976" i="6"/>
  <c r="N1975" i="6"/>
  <c r="N1974" i="6"/>
  <c r="N1973" i="6"/>
  <c r="N1972" i="6"/>
  <c r="N1971" i="6"/>
  <c r="N1970" i="6"/>
  <c r="N1969" i="6"/>
  <c r="N1968" i="6"/>
  <c r="N1967" i="6"/>
  <c r="N1966" i="6"/>
  <c r="N1965" i="6"/>
  <c r="N1964" i="6"/>
  <c r="N1963" i="6"/>
  <c r="N1962" i="6"/>
  <c r="N1961" i="6"/>
  <c r="N1960" i="6"/>
  <c r="N1959" i="6"/>
  <c r="N1958" i="6"/>
  <c r="N1957" i="6"/>
  <c r="N1956" i="6"/>
  <c r="N1955" i="6"/>
  <c r="N1954" i="6"/>
  <c r="N1953" i="6"/>
  <c r="N1952" i="6"/>
  <c r="N1951" i="6"/>
  <c r="N1950" i="6"/>
  <c r="N1949" i="6"/>
  <c r="N1948" i="6"/>
  <c r="N1947" i="6"/>
  <c r="N1946" i="6"/>
  <c r="N1945" i="6"/>
  <c r="N1944" i="6"/>
  <c r="N1943" i="6"/>
  <c r="N1942" i="6"/>
  <c r="N1941" i="6"/>
  <c r="N1940" i="6"/>
  <c r="N1939" i="6"/>
  <c r="N1938" i="6"/>
  <c r="N1937" i="6"/>
  <c r="N1936" i="6"/>
  <c r="N1935" i="6"/>
  <c r="N1934" i="6"/>
  <c r="N1933" i="6"/>
  <c r="N1932" i="6"/>
  <c r="N1931" i="6"/>
  <c r="N1930" i="6"/>
  <c r="N1929" i="6"/>
  <c r="N1928" i="6"/>
  <c r="N1927" i="6"/>
  <c r="N1926" i="6"/>
  <c r="N1925" i="6"/>
  <c r="N1924" i="6"/>
  <c r="N1923" i="6"/>
  <c r="N1922" i="6"/>
  <c r="N1921" i="6"/>
  <c r="N1920" i="6"/>
  <c r="N1919" i="6"/>
  <c r="N1918" i="6"/>
  <c r="N1917" i="6"/>
  <c r="N1916" i="6"/>
  <c r="N1915" i="6"/>
  <c r="N1914" i="6"/>
  <c r="N1913" i="6"/>
  <c r="N1912" i="6"/>
  <c r="N1911" i="6"/>
  <c r="N1910" i="6"/>
  <c r="N1909" i="6"/>
  <c r="N1908" i="6"/>
  <c r="N1907" i="6"/>
  <c r="N1906" i="6"/>
  <c r="N1905" i="6"/>
  <c r="N1904" i="6"/>
  <c r="N1903" i="6"/>
  <c r="N1902" i="6"/>
  <c r="N1901" i="6"/>
  <c r="N1900" i="6"/>
  <c r="N1899" i="6"/>
  <c r="N1898" i="6"/>
  <c r="N1897" i="6"/>
  <c r="N1896" i="6"/>
  <c r="N1895" i="6"/>
  <c r="N1894" i="6"/>
  <c r="N1893" i="6"/>
  <c r="N1892" i="6"/>
  <c r="N1891" i="6"/>
  <c r="N1890" i="6"/>
  <c r="N1889" i="6"/>
  <c r="N1888" i="6"/>
  <c r="N1887" i="6"/>
  <c r="N1886" i="6"/>
  <c r="N1885" i="6"/>
  <c r="N1884" i="6"/>
  <c r="N1883" i="6"/>
  <c r="N1882" i="6"/>
  <c r="N1881" i="6"/>
  <c r="N1880" i="6"/>
  <c r="N1879" i="6"/>
  <c r="N1878" i="6"/>
  <c r="N1877" i="6"/>
  <c r="N1876" i="6"/>
  <c r="N1875" i="6"/>
  <c r="N1874" i="6"/>
  <c r="N1873" i="6"/>
  <c r="N1872" i="6"/>
  <c r="N1871" i="6"/>
  <c r="N1870" i="6"/>
  <c r="N1869" i="6"/>
  <c r="N1868" i="6"/>
  <c r="N1867" i="6"/>
  <c r="N1866" i="6"/>
  <c r="N1865" i="6"/>
  <c r="N1864" i="6"/>
  <c r="N1863" i="6"/>
  <c r="N1862" i="6"/>
  <c r="N1861" i="6"/>
  <c r="N1860" i="6"/>
  <c r="N1859" i="6"/>
  <c r="N1858" i="6"/>
  <c r="N1857" i="6"/>
  <c r="N1856" i="6"/>
  <c r="N1855" i="6"/>
  <c r="N1854" i="6"/>
  <c r="N1853" i="6"/>
  <c r="N1852" i="6"/>
  <c r="N1851" i="6"/>
  <c r="N1850" i="6"/>
  <c r="N1849" i="6"/>
  <c r="N1848" i="6"/>
  <c r="N1847" i="6"/>
  <c r="N1846" i="6"/>
  <c r="N1845" i="6"/>
  <c r="N1844" i="6"/>
  <c r="N1843" i="6"/>
  <c r="N1842" i="6"/>
  <c r="N1841" i="6"/>
  <c r="N1840" i="6"/>
  <c r="N1839" i="6"/>
  <c r="N1838" i="6"/>
  <c r="N1837" i="6"/>
  <c r="N1836" i="6"/>
  <c r="N1835" i="6"/>
  <c r="N1834" i="6"/>
  <c r="N1833" i="6"/>
  <c r="N1832" i="6"/>
  <c r="N1831" i="6"/>
  <c r="N1830" i="6"/>
  <c r="N1829" i="6"/>
  <c r="N1828" i="6"/>
  <c r="N1827" i="6"/>
  <c r="N1826" i="6"/>
  <c r="N1825" i="6"/>
  <c r="N1824" i="6"/>
  <c r="N1823" i="6"/>
  <c r="N1822" i="6"/>
  <c r="N1821" i="6"/>
  <c r="N1820" i="6"/>
  <c r="N1819" i="6"/>
  <c r="N1818" i="6"/>
  <c r="N1817" i="6"/>
  <c r="N1816" i="6"/>
  <c r="N1815" i="6"/>
  <c r="N1814" i="6"/>
  <c r="N1813" i="6"/>
  <c r="N1812" i="6"/>
  <c r="N1811" i="6"/>
  <c r="N1810" i="6"/>
  <c r="N1809" i="6"/>
  <c r="N1808" i="6"/>
  <c r="N1807" i="6"/>
  <c r="N1806" i="6"/>
  <c r="N1805" i="6"/>
  <c r="N1804" i="6"/>
  <c r="N1803" i="6"/>
  <c r="N1802" i="6"/>
  <c r="N1801" i="6"/>
  <c r="N1800" i="6"/>
  <c r="N1799" i="6"/>
  <c r="N1798" i="6"/>
  <c r="N1797" i="6"/>
  <c r="N1796" i="6"/>
  <c r="N1795" i="6"/>
  <c r="N1794" i="6"/>
  <c r="N1793" i="6"/>
  <c r="N1792" i="6"/>
  <c r="N1791" i="6"/>
  <c r="N1790" i="6"/>
  <c r="N1789" i="6"/>
  <c r="N1788" i="6"/>
  <c r="N1787" i="6"/>
  <c r="N1786" i="6"/>
  <c r="N1785" i="6"/>
  <c r="N1784" i="6"/>
  <c r="N1783" i="6"/>
  <c r="N1782" i="6"/>
  <c r="N1781" i="6"/>
  <c r="N1780" i="6"/>
  <c r="N1779" i="6"/>
  <c r="N1778" i="6"/>
  <c r="N1777" i="6"/>
  <c r="N1776" i="6"/>
  <c r="N1775" i="6"/>
  <c r="N1774" i="6"/>
  <c r="N1773" i="6"/>
  <c r="N1772" i="6"/>
  <c r="N1771" i="6"/>
  <c r="N1770" i="6"/>
  <c r="N1769" i="6"/>
  <c r="N1768" i="6"/>
  <c r="N1767" i="6"/>
  <c r="N1766" i="6"/>
  <c r="N1765" i="6"/>
  <c r="N1764" i="6"/>
  <c r="N1763" i="6"/>
  <c r="N1762" i="6"/>
  <c r="N1761" i="6"/>
  <c r="N1760" i="6"/>
  <c r="N1759" i="6"/>
  <c r="N1758" i="6"/>
  <c r="N1757" i="6"/>
  <c r="N1756" i="6"/>
  <c r="N1755" i="6"/>
  <c r="N1754" i="6"/>
  <c r="N1753" i="6"/>
  <c r="N1752" i="6"/>
  <c r="N1751" i="6"/>
  <c r="N1750" i="6"/>
  <c r="N1749" i="6"/>
  <c r="N1748" i="6"/>
  <c r="N1747" i="6"/>
  <c r="N1746" i="6"/>
  <c r="N1745" i="6"/>
  <c r="N1744" i="6"/>
  <c r="N1743" i="6"/>
  <c r="N1742" i="6"/>
  <c r="N1741" i="6"/>
  <c r="N1740" i="6"/>
  <c r="N1739" i="6"/>
  <c r="N1738" i="6"/>
  <c r="N1737" i="6"/>
  <c r="N1736" i="6"/>
  <c r="N1735" i="6"/>
  <c r="N1734" i="6"/>
  <c r="N1733" i="6"/>
  <c r="N1732" i="6"/>
  <c r="N1731" i="6"/>
  <c r="N1730" i="6"/>
  <c r="N1729" i="6"/>
  <c r="N1728" i="6"/>
  <c r="N1727" i="6"/>
  <c r="N1726" i="6"/>
  <c r="N1725" i="6"/>
  <c r="N1724" i="6"/>
  <c r="N1723" i="6"/>
  <c r="N1722" i="6"/>
  <c r="N1721" i="6"/>
  <c r="N1720" i="6"/>
  <c r="N1719" i="6"/>
  <c r="N1718" i="6"/>
  <c r="N1717" i="6"/>
  <c r="N1716" i="6"/>
  <c r="N1715" i="6"/>
  <c r="N1714" i="6"/>
  <c r="N1713" i="6"/>
  <c r="N1712" i="6"/>
  <c r="N1711" i="6"/>
  <c r="N1710" i="6"/>
  <c r="N1709" i="6"/>
  <c r="N1708" i="6"/>
  <c r="N1707" i="6"/>
  <c r="N1706" i="6"/>
  <c r="N1705" i="6"/>
  <c r="N1704" i="6"/>
  <c r="N1703" i="6"/>
  <c r="N1702" i="6"/>
  <c r="N1701" i="6"/>
  <c r="N1700" i="6"/>
  <c r="N1699" i="6"/>
  <c r="N1698" i="6"/>
  <c r="N1697" i="6"/>
  <c r="N1696" i="6"/>
  <c r="N1695" i="6"/>
  <c r="N1694" i="6"/>
  <c r="N1693" i="6"/>
  <c r="N1692" i="6"/>
  <c r="N1691" i="6"/>
  <c r="N1690" i="6"/>
  <c r="N1689" i="6"/>
  <c r="N1688" i="6"/>
  <c r="N1687" i="6"/>
  <c r="N1686" i="6"/>
  <c r="N1685" i="6"/>
  <c r="N1684" i="6"/>
  <c r="N1683" i="6"/>
  <c r="N1682" i="6"/>
  <c r="N1681" i="6"/>
  <c r="N1680" i="6"/>
  <c r="N1679" i="6"/>
  <c r="N1678" i="6"/>
  <c r="N1677" i="6"/>
  <c r="N1676" i="6"/>
  <c r="N1675" i="6"/>
  <c r="N1674" i="6"/>
  <c r="N1673" i="6"/>
  <c r="N1672" i="6"/>
  <c r="N1671" i="6"/>
  <c r="N1670" i="6"/>
  <c r="N1669" i="6"/>
  <c r="N1668" i="6"/>
  <c r="N1667" i="6"/>
  <c r="N1666" i="6"/>
  <c r="N1665" i="6"/>
  <c r="N1664" i="6"/>
  <c r="N1663" i="6"/>
  <c r="N1662" i="6"/>
  <c r="N1661" i="6"/>
  <c r="N1660" i="6"/>
  <c r="N1659" i="6"/>
  <c r="N1658" i="6"/>
  <c r="N1657" i="6"/>
  <c r="N1656" i="6"/>
  <c r="N1655" i="6"/>
  <c r="N1654" i="6"/>
  <c r="N1653" i="6"/>
  <c r="N1652" i="6"/>
  <c r="N1651" i="6"/>
  <c r="N1650" i="6"/>
  <c r="N1649" i="6"/>
  <c r="N1648" i="6"/>
  <c r="N1647" i="6"/>
  <c r="N1646" i="6"/>
  <c r="N1645" i="6"/>
  <c r="N1644" i="6"/>
  <c r="N1643" i="6"/>
  <c r="N1642" i="6"/>
  <c r="N1641" i="6"/>
  <c r="N1640" i="6"/>
  <c r="N1639" i="6"/>
  <c r="N1638" i="6"/>
  <c r="N1637" i="6"/>
  <c r="N1636" i="6"/>
  <c r="N1635" i="6"/>
  <c r="N1634" i="6"/>
  <c r="N1633" i="6"/>
  <c r="N1632" i="6"/>
  <c r="N1631" i="6"/>
  <c r="N1630" i="6"/>
  <c r="N1629" i="6"/>
  <c r="N1628" i="6"/>
  <c r="N1627" i="6"/>
  <c r="N1626" i="6"/>
  <c r="N1625" i="6"/>
  <c r="N1624" i="6"/>
  <c r="N1623" i="6"/>
  <c r="N1622" i="6"/>
  <c r="N1621" i="6"/>
  <c r="N1620" i="6"/>
  <c r="N1619" i="6"/>
  <c r="N1618" i="6"/>
  <c r="N1617" i="6"/>
  <c r="N1616" i="6"/>
  <c r="N1615" i="6"/>
  <c r="N1614" i="6"/>
  <c r="N1613" i="6"/>
  <c r="N1612" i="6"/>
  <c r="N1611" i="6"/>
  <c r="N1610" i="6"/>
  <c r="N1609" i="6"/>
  <c r="N1608" i="6"/>
  <c r="N1607" i="6"/>
  <c r="N1606" i="6"/>
  <c r="N1605" i="6"/>
  <c r="N1604" i="6"/>
  <c r="N1603" i="6"/>
  <c r="N1602" i="6"/>
  <c r="N1601" i="6"/>
  <c r="N1600" i="6"/>
  <c r="N1599" i="6"/>
  <c r="N1598" i="6"/>
  <c r="N1597" i="6"/>
  <c r="N1596" i="6"/>
  <c r="N1595" i="6"/>
  <c r="N1594" i="6"/>
  <c r="N1593" i="6"/>
  <c r="N1592" i="6"/>
  <c r="N1591" i="6"/>
  <c r="N1590" i="6"/>
  <c r="N1589" i="6"/>
  <c r="N1588" i="6"/>
  <c r="N1587" i="6"/>
  <c r="N1586" i="6"/>
  <c r="N1585" i="6"/>
  <c r="N1584" i="6"/>
  <c r="N1583" i="6"/>
  <c r="N1582" i="6"/>
  <c r="N1581" i="6"/>
  <c r="N1580" i="6"/>
  <c r="N1579" i="6"/>
  <c r="N1578" i="6"/>
  <c r="N1577" i="6"/>
  <c r="N1576" i="6"/>
  <c r="N1575" i="6"/>
  <c r="N1574" i="6"/>
  <c r="N1573" i="6"/>
  <c r="N1572" i="6"/>
  <c r="N1571" i="6"/>
  <c r="N1570" i="6"/>
  <c r="N1569" i="6"/>
  <c r="N1568" i="6"/>
  <c r="N1567" i="6"/>
  <c r="N1566" i="6"/>
  <c r="N1565" i="6"/>
  <c r="N1564" i="6"/>
  <c r="N1563" i="6"/>
  <c r="N1562" i="6"/>
  <c r="N1561" i="6"/>
  <c r="N1560" i="6"/>
  <c r="N1559" i="6"/>
  <c r="N1558" i="6"/>
  <c r="N1557" i="6"/>
  <c r="N1556" i="6"/>
  <c r="N1555" i="6"/>
  <c r="N1554" i="6"/>
  <c r="N1553" i="6"/>
  <c r="N1552" i="6"/>
  <c r="N1551" i="6"/>
  <c r="N1550" i="6"/>
  <c r="N1549" i="6"/>
  <c r="N1548" i="6"/>
  <c r="N1547" i="6"/>
  <c r="N1546" i="6"/>
  <c r="N1545" i="6"/>
  <c r="N1544" i="6"/>
  <c r="N1543" i="6"/>
  <c r="N1542" i="6"/>
  <c r="N1541" i="6"/>
  <c r="N1540" i="6"/>
  <c r="N1539" i="6"/>
  <c r="N1538" i="6"/>
  <c r="N1537" i="6"/>
  <c r="N1536" i="6"/>
  <c r="N1535" i="6"/>
  <c r="N1534" i="6"/>
  <c r="N1533" i="6"/>
  <c r="N1532" i="6"/>
  <c r="N1531" i="6"/>
  <c r="N1530" i="6"/>
  <c r="N1529" i="6"/>
  <c r="N1528" i="6"/>
  <c r="N1527" i="6"/>
  <c r="N1526" i="6"/>
  <c r="N1525" i="6"/>
  <c r="N1524" i="6"/>
  <c r="N1523" i="6"/>
  <c r="N1522" i="6"/>
  <c r="N1521" i="6"/>
  <c r="N1520" i="6"/>
  <c r="N1519" i="6"/>
  <c r="N1518" i="6"/>
  <c r="N1517" i="6"/>
  <c r="N1516" i="6"/>
  <c r="N1515" i="6"/>
  <c r="N1514" i="6"/>
  <c r="N1513" i="6"/>
  <c r="N1512" i="6"/>
  <c r="N1511" i="6"/>
  <c r="N1510" i="6"/>
  <c r="N1509" i="6"/>
  <c r="N1508" i="6"/>
  <c r="N1507" i="6"/>
  <c r="N1506" i="6"/>
  <c r="N1505" i="6"/>
  <c r="N1504" i="6"/>
  <c r="N1503" i="6"/>
  <c r="N1502" i="6"/>
  <c r="N1501" i="6"/>
  <c r="N1500" i="6"/>
  <c r="N1499" i="6"/>
  <c r="N1498" i="6"/>
  <c r="N1497" i="6"/>
  <c r="N1496" i="6"/>
  <c r="N1495" i="6"/>
  <c r="N1494" i="6"/>
  <c r="N1493" i="6"/>
  <c r="N1492" i="6"/>
  <c r="N1491" i="6"/>
  <c r="N1490" i="6"/>
  <c r="N1489" i="6"/>
  <c r="N1488" i="6"/>
  <c r="N1487" i="6"/>
  <c r="N1486" i="6"/>
  <c r="N1485" i="6"/>
  <c r="N1484" i="6"/>
  <c r="N1483" i="6"/>
  <c r="N1482" i="6"/>
  <c r="N1481" i="6"/>
  <c r="N1480" i="6"/>
  <c r="N1479" i="6"/>
  <c r="N1478" i="6"/>
  <c r="N1477" i="6"/>
  <c r="N1476" i="6"/>
  <c r="N1475" i="6"/>
  <c r="N1474" i="6"/>
  <c r="N1473" i="6"/>
  <c r="N1472" i="6"/>
  <c r="N1471" i="6"/>
  <c r="N1470" i="6"/>
  <c r="N1469" i="6"/>
  <c r="N1468" i="6"/>
  <c r="N1467" i="6"/>
  <c r="N1466" i="6"/>
  <c r="N1465" i="6"/>
  <c r="N1464" i="6"/>
  <c r="N1463" i="6"/>
  <c r="N1462" i="6"/>
  <c r="N1461" i="6"/>
  <c r="N1460" i="6"/>
  <c r="N1459" i="6"/>
  <c r="N1458" i="6"/>
  <c r="N1457" i="6"/>
  <c r="N1456" i="6"/>
  <c r="N1455" i="6"/>
  <c r="N1454" i="6"/>
  <c r="N1453" i="6"/>
  <c r="N1452" i="6"/>
  <c r="N1451" i="6"/>
  <c r="N1450" i="6"/>
  <c r="N1449" i="6"/>
  <c r="N1448" i="6"/>
  <c r="N1447" i="6"/>
  <c r="N1446" i="6"/>
  <c r="N1445" i="6"/>
  <c r="N1444" i="6"/>
  <c r="N1443" i="6"/>
  <c r="N1442" i="6"/>
  <c r="N1441" i="6"/>
  <c r="N1440" i="6"/>
  <c r="N1439" i="6"/>
  <c r="N1438" i="6"/>
  <c r="N1437" i="6"/>
  <c r="N1436" i="6"/>
  <c r="N1435" i="6"/>
  <c r="N1434" i="6"/>
  <c r="N1433" i="6"/>
  <c r="N1432" i="6"/>
  <c r="N1431" i="6"/>
  <c r="N1430" i="6"/>
  <c r="N1429" i="6"/>
  <c r="N1428" i="6"/>
  <c r="N1427" i="6"/>
  <c r="N1426" i="6"/>
  <c r="N1425" i="6"/>
  <c r="N1424" i="6"/>
  <c r="N1423" i="6"/>
  <c r="N1422" i="6"/>
  <c r="N1421" i="6"/>
  <c r="N1420" i="6"/>
  <c r="N1419" i="6"/>
  <c r="N1418" i="6"/>
  <c r="N1417" i="6"/>
  <c r="N1416" i="6"/>
  <c r="N1415" i="6"/>
  <c r="N1414" i="6"/>
  <c r="N1413" i="6"/>
  <c r="N1412" i="6"/>
  <c r="N1411" i="6"/>
  <c r="N1410" i="6"/>
  <c r="N1409" i="6"/>
  <c r="N1408" i="6"/>
  <c r="N1407" i="6"/>
  <c r="N1406" i="6"/>
  <c r="N1405" i="6"/>
  <c r="N1404" i="6"/>
  <c r="N1403" i="6"/>
  <c r="N1402" i="6"/>
  <c r="N1401" i="6"/>
  <c r="N1400" i="6"/>
  <c r="N1399" i="6"/>
  <c r="N1398" i="6"/>
  <c r="N1397" i="6"/>
  <c r="N1396" i="6"/>
  <c r="N1395" i="6"/>
  <c r="N1394" i="6"/>
  <c r="N1393" i="6"/>
  <c r="N1392" i="6"/>
  <c r="N1391" i="6"/>
  <c r="N1390" i="6"/>
  <c r="N1389" i="6"/>
  <c r="N1388" i="6"/>
  <c r="N1387" i="6"/>
  <c r="N1386" i="6"/>
  <c r="N1385" i="6"/>
  <c r="N1384" i="6"/>
  <c r="N1383" i="6"/>
  <c r="N1382" i="6"/>
  <c r="N1381" i="6"/>
  <c r="N1380" i="6"/>
  <c r="N1379" i="6"/>
  <c r="N1378" i="6"/>
  <c r="N1377" i="6"/>
  <c r="N1376" i="6"/>
  <c r="N1375" i="6"/>
  <c r="N1374" i="6"/>
  <c r="N1373" i="6"/>
  <c r="N1372" i="6"/>
  <c r="N1371" i="6"/>
  <c r="N1370" i="6"/>
  <c r="N1369" i="6"/>
  <c r="N1368" i="6"/>
  <c r="N1367" i="6"/>
  <c r="N1366" i="6"/>
  <c r="N1365" i="6"/>
  <c r="N1364" i="6"/>
  <c r="N1363" i="6"/>
  <c r="N1362" i="6"/>
  <c r="N1361" i="6"/>
  <c r="N1360" i="6"/>
  <c r="N1359" i="6"/>
  <c r="N1358" i="6"/>
  <c r="N1357" i="6"/>
  <c r="N1356" i="6"/>
  <c r="N1355" i="6"/>
  <c r="N1354" i="6"/>
  <c r="N1353" i="6"/>
  <c r="N1352" i="6"/>
  <c r="N1351" i="6"/>
  <c r="N1350" i="6"/>
  <c r="N1349" i="6"/>
  <c r="N1348" i="6"/>
  <c r="N1347" i="6"/>
  <c r="N1346" i="6"/>
  <c r="N1345" i="6"/>
  <c r="N1344" i="6"/>
  <c r="N1343" i="6"/>
  <c r="N1342" i="6"/>
  <c r="N1341" i="6"/>
  <c r="N1340" i="6"/>
  <c r="N1339" i="6"/>
  <c r="N1338" i="6"/>
  <c r="N1337" i="6"/>
  <c r="N1336" i="6"/>
  <c r="N1335" i="6"/>
  <c r="N1334" i="6"/>
  <c r="N1333" i="6"/>
  <c r="N1332" i="6"/>
  <c r="N1331" i="6"/>
  <c r="N1330" i="6"/>
  <c r="N1329" i="6"/>
  <c r="N1328" i="6"/>
  <c r="N1327" i="6"/>
  <c r="N1326" i="6"/>
  <c r="N1325" i="6"/>
  <c r="N1324" i="6"/>
  <c r="N1323" i="6"/>
  <c r="N1322" i="6"/>
  <c r="N1321" i="6"/>
  <c r="N1320" i="6"/>
  <c r="N1319" i="6"/>
  <c r="N1318" i="6"/>
  <c r="N1317" i="6"/>
  <c r="N1316" i="6"/>
  <c r="N1315" i="6"/>
  <c r="N1314" i="6"/>
  <c r="N1313" i="6"/>
  <c r="N1312" i="6"/>
  <c r="N1311" i="6"/>
  <c r="N1310" i="6"/>
  <c r="N1309" i="6"/>
  <c r="N1308" i="6"/>
  <c r="N1307" i="6"/>
  <c r="N1306" i="6"/>
  <c r="N1305" i="6"/>
  <c r="N1304" i="6"/>
  <c r="N1303" i="6"/>
  <c r="N1302" i="6"/>
  <c r="N1301" i="6"/>
  <c r="N1300" i="6"/>
  <c r="N1299" i="6"/>
  <c r="N1298" i="6"/>
  <c r="N1297" i="6"/>
  <c r="N1296" i="6"/>
  <c r="N1295" i="6"/>
  <c r="N1294" i="6"/>
  <c r="N1293" i="6"/>
  <c r="N1292" i="6"/>
  <c r="N1291" i="6"/>
  <c r="N1290" i="6"/>
  <c r="N1289" i="6"/>
  <c r="N1288" i="6"/>
  <c r="N1287" i="6"/>
  <c r="N1286" i="6"/>
  <c r="N1285" i="6"/>
  <c r="N1284" i="6"/>
  <c r="N1283" i="6"/>
  <c r="N1282" i="6"/>
  <c r="N1281" i="6"/>
  <c r="N1280" i="6"/>
  <c r="N1279" i="6"/>
  <c r="N1278" i="6"/>
  <c r="N1277" i="6"/>
  <c r="N1276" i="6"/>
  <c r="N1275" i="6"/>
  <c r="N1274" i="6"/>
  <c r="N1273" i="6"/>
  <c r="N1272" i="6"/>
  <c r="N1271" i="6"/>
  <c r="N1270" i="6"/>
  <c r="N1269" i="6"/>
  <c r="N1268" i="6"/>
  <c r="N1267" i="6"/>
  <c r="N1266" i="6"/>
  <c r="N1265" i="6"/>
  <c r="N1264" i="6"/>
  <c r="N1263" i="6"/>
  <c r="N1262" i="6"/>
  <c r="N1261" i="6"/>
  <c r="N1260" i="6"/>
  <c r="N1259" i="6"/>
  <c r="N1258" i="6"/>
  <c r="N1257" i="6"/>
  <c r="N1256" i="6"/>
  <c r="N1255" i="6"/>
  <c r="N1254" i="6"/>
  <c r="N1253" i="6"/>
  <c r="N1252" i="6"/>
  <c r="N1251" i="6"/>
  <c r="N1250" i="6"/>
  <c r="N1249" i="6"/>
  <c r="N1248" i="6"/>
  <c r="N1247" i="6"/>
  <c r="N1246" i="6"/>
  <c r="N1245" i="6"/>
  <c r="N1244" i="6"/>
  <c r="N1243" i="6"/>
  <c r="N1242" i="6"/>
  <c r="N1241" i="6"/>
  <c r="N1240" i="6"/>
  <c r="N1239" i="6"/>
  <c r="N1238" i="6"/>
  <c r="N1237" i="6"/>
  <c r="N1236" i="6"/>
  <c r="N1235" i="6"/>
  <c r="N1234" i="6"/>
  <c r="N1233" i="6"/>
  <c r="N1232" i="6"/>
  <c r="N1231" i="6"/>
  <c r="N1230" i="6"/>
  <c r="N1229" i="6"/>
  <c r="N1228" i="6"/>
  <c r="N1227" i="6"/>
  <c r="N1226" i="6"/>
  <c r="N1225" i="6"/>
  <c r="N1224" i="6"/>
  <c r="N1223" i="6"/>
  <c r="N1222" i="6"/>
  <c r="N1221" i="6"/>
  <c r="N1220" i="6"/>
  <c r="N1219" i="6"/>
  <c r="N1218" i="6"/>
  <c r="N1217" i="6"/>
  <c r="N1216" i="6"/>
  <c r="N1215" i="6"/>
  <c r="N1214" i="6"/>
  <c r="N1213" i="6"/>
  <c r="N1212" i="6"/>
  <c r="N1211" i="6"/>
  <c r="N1210" i="6"/>
  <c r="N1209" i="6"/>
  <c r="N1208" i="6"/>
  <c r="N1207" i="6"/>
  <c r="N1206" i="6"/>
  <c r="N1205" i="6"/>
  <c r="N1204" i="6"/>
  <c r="N1203" i="6"/>
  <c r="N1202" i="6"/>
  <c r="N1201" i="6"/>
  <c r="N1200" i="6"/>
  <c r="N1199" i="6"/>
  <c r="N1198" i="6"/>
  <c r="N1197" i="6"/>
  <c r="N1196" i="6"/>
  <c r="N1195" i="6"/>
  <c r="N1194" i="6"/>
  <c r="N1193" i="6"/>
  <c r="N1192" i="6"/>
  <c r="N1191" i="6"/>
  <c r="N1190" i="6"/>
  <c r="N1189" i="6"/>
  <c r="N1188" i="6"/>
  <c r="N1187" i="6"/>
  <c r="N1186" i="6"/>
  <c r="N1185" i="6"/>
  <c r="N1184" i="6"/>
  <c r="N1183" i="6"/>
  <c r="N1182" i="6"/>
  <c r="N1181" i="6"/>
  <c r="N1180" i="6"/>
  <c r="N1179" i="6"/>
  <c r="N1178" i="6"/>
  <c r="N1177" i="6"/>
  <c r="N1176" i="6"/>
  <c r="N1175" i="6"/>
  <c r="N1174" i="6"/>
  <c r="N1173" i="6"/>
  <c r="N1172" i="6"/>
  <c r="N1171" i="6"/>
  <c r="N1170" i="6"/>
  <c r="N1169" i="6"/>
  <c r="N1168" i="6"/>
  <c r="N1167" i="6"/>
  <c r="N1166" i="6"/>
  <c r="N1165" i="6"/>
  <c r="N1164" i="6"/>
  <c r="N1163" i="6"/>
  <c r="N1162" i="6"/>
  <c r="N1161" i="6"/>
  <c r="N1160" i="6"/>
  <c r="N1159" i="6"/>
  <c r="N1158" i="6"/>
  <c r="N1157" i="6"/>
  <c r="N1156" i="6"/>
  <c r="N1155" i="6"/>
  <c r="N1154" i="6"/>
  <c r="N1153" i="6"/>
  <c r="N1152" i="6"/>
  <c r="N1151" i="6"/>
  <c r="N1150" i="6"/>
  <c r="N1149" i="6"/>
  <c r="N1148" i="6"/>
  <c r="N1147" i="6"/>
  <c r="N1146" i="6"/>
  <c r="N1145" i="6"/>
  <c r="N1144" i="6"/>
  <c r="N1143" i="6"/>
  <c r="N1142" i="6"/>
  <c r="N1141" i="6"/>
  <c r="N1140" i="6"/>
  <c r="N1139" i="6"/>
  <c r="N1138" i="6"/>
  <c r="N1137" i="6"/>
  <c r="N1136" i="6"/>
  <c r="N1135" i="6"/>
  <c r="N1134" i="6"/>
  <c r="N1133" i="6"/>
  <c r="N1132" i="6"/>
  <c r="N1131" i="6"/>
  <c r="N1130" i="6"/>
  <c r="N1129" i="6"/>
  <c r="N1128" i="6"/>
  <c r="N1127" i="6"/>
  <c r="N1126" i="6"/>
  <c r="N1125" i="6"/>
  <c r="N1124" i="6"/>
  <c r="N1123" i="6"/>
  <c r="N1122" i="6"/>
  <c r="N1121" i="6"/>
  <c r="N1120" i="6"/>
  <c r="N1119" i="6"/>
  <c r="N1118" i="6"/>
  <c r="N1117" i="6"/>
  <c r="N1116" i="6"/>
  <c r="N1115" i="6"/>
  <c r="N1114" i="6"/>
  <c r="N1113" i="6"/>
  <c r="N1112" i="6"/>
  <c r="N1111" i="6"/>
  <c r="N1110" i="6"/>
  <c r="N1109" i="6"/>
  <c r="N1108" i="6"/>
  <c r="N1107" i="6"/>
  <c r="N1106" i="6"/>
  <c r="N1105" i="6"/>
  <c r="N1104" i="6"/>
  <c r="N1103" i="6"/>
  <c r="N1102" i="6"/>
  <c r="N1101" i="6"/>
  <c r="N1100" i="6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P2005" i="6"/>
  <c r="P2004" i="6"/>
  <c r="P2003" i="6"/>
  <c r="P2002" i="6"/>
  <c r="P2001" i="6"/>
  <c r="P2000" i="6"/>
  <c r="P1999" i="6"/>
  <c r="P1998" i="6"/>
  <c r="P1997" i="6"/>
  <c r="P1996" i="6"/>
  <c r="P1995" i="6"/>
  <c r="P1994" i="6"/>
  <c r="P1993" i="6"/>
  <c r="P1992" i="6"/>
  <c r="P1991" i="6"/>
  <c r="P1990" i="6"/>
  <c r="P1989" i="6"/>
  <c r="P1988" i="6"/>
  <c r="P1987" i="6"/>
  <c r="P1986" i="6"/>
  <c r="P1985" i="6"/>
  <c r="P1984" i="6"/>
  <c r="P1983" i="6"/>
  <c r="P1982" i="6"/>
  <c r="P1981" i="6"/>
  <c r="P1980" i="6"/>
  <c r="P1979" i="6"/>
  <c r="P1978" i="6"/>
  <c r="P1977" i="6"/>
  <c r="P1976" i="6"/>
  <c r="P1975" i="6"/>
  <c r="P1974" i="6"/>
  <c r="P1973" i="6"/>
  <c r="P1972" i="6"/>
  <c r="P1971" i="6"/>
  <c r="P1970" i="6"/>
  <c r="P1969" i="6"/>
  <c r="P1968" i="6"/>
  <c r="P1967" i="6"/>
  <c r="P1966" i="6"/>
  <c r="P1965" i="6"/>
  <c r="P1964" i="6"/>
  <c r="P1963" i="6"/>
  <c r="P1962" i="6"/>
  <c r="P1961" i="6"/>
  <c r="P1960" i="6"/>
  <c r="P1959" i="6"/>
  <c r="P1958" i="6"/>
  <c r="P1957" i="6"/>
  <c r="P1956" i="6"/>
  <c r="P1955" i="6"/>
  <c r="P1954" i="6"/>
  <c r="P1953" i="6"/>
  <c r="P1952" i="6"/>
  <c r="P1951" i="6"/>
  <c r="P1950" i="6"/>
  <c r="P1949" i="6"/>
  <c r="P1948" i="6"/>
  <c r="P1947" i="6"/>
  <c r="P1946" i="6"/>
  <c r="P1945" i="6"/>
  <c r="P1944" i="6"/>
  <c r="P1943" i="6"/>
  <c r="P1942" i="6"/>
  <c r="P1941" i="6"/>
  <c r="P1940" i="6"/>
  <c r="P1939" i="6"/>
  <c r="P1938" i="6"/>
  <c r="P1937" i="6"/>
  <c r="P1936" i="6"/>
  <c r="P1935" i="6"/>
  <c r="P1934" i="6"/>
  <c r="P1933" i="6"/>
  <c r="P1932" i="6"/>
  <c r="P1931" i="6"/>
  <c r="P1930" i="6"/>
  <c r="P1929" i="6"/>
  <c r="P1928" i="6"/>
  <c r="P1927" i="6"/>
  <c r="P1926" i="6"/>
  <c r="P1925" i="6"/>
  <c r="P1924" i="6"/>
  <c r="P1923" i="6"/>
  <c r="P1922" i="6"/>
  <c r="P1921" i="6"/>
  <c r="P1920" i="6"/>
  <c r="P1919" i="6"/>
  <c r="P1918" i="6"/>
  <c r="P1917" i="6"/>
  <c r="P1916" i="6"/>
  <c r="P1915" i="6"/>
  <c r="P1914" i="6"/>
  <c r="P1913" i="6"/>
  <c r="P1912" i="6"/>
  <c r="P1911" i="6"/>
  <c r="P1910" i="6"/>
  <c r="P1909" i="6"/>
  <c r="P1908" i="6"/>
  <c r="P1907" i="6"/>
  <c r="P1906" i="6"/>
  <c r="P1905" i="6"/>
  <c r="P1904" i="6"/>
  <c r="P1903" i="6"/>
  <c r="P1902" i="6"/>
  <c r="P1901" i="6"/>
  <c r="P1900" i="6"/>
  <c r="P1899" i="6"/>
  <c r="P1898" i="6"/>
  <c r="P1897" i="6"/>
  <c r="P1896" i="6"/>
  <c r="P1895" i="6"/>
  <c r="P1894" i="6"/>
  <c r="P1893" i="6"/>
  <c r="P1892" i="6"/>
  <c r="P1891" i="6"/>
  <c r="P1890" i="6"/>
  <c r="P1889" i="6"/>
  <c r="P1888" i="6"/>
  <c r="P1887" i="6"/>
  <c r="P1886" i="6"/>
  <c r="P1885" i="6"/>
  <c r="P1884" i="6"/>
  <c r="P1883" i="6"/>
  <c r="P1882" i="6"/>
  <c r="P1881" i="6"/>
  <c r="P1880" i="6"/>
  <c r="P1879" i="6"/>
  <c r="P1878" i="6"/>
  <c r="P1877" i="6"/>
  <c r="P1876" i="6"/>
  <c r="P1875" i="6"/>
  <c r="P1874" i="6"/>
  <c r="P1873" i="6"/>
  <c r="P1872" i="6"/>
  <c r="P1871" i="6"/>
  <c r="P1870" i="6"/>
  <c r="P1869" i="6"/>
  <c r="P1868" i="6"/>
  <c r="P1867" i="6"/>
  <c r="P1866" i="6"/>
  <c r="P1865" i="6"/>
  <c r="P1864" i="6"/>
  <c r="P1863" i="6"/>
  <c r="P1862" i="6"/>
  <c r="P1861" i="6"/>
  <c r="P1860" i="6"/>
  <c r="P1859" i="6"/>
  <c r="P1858" i="6"/>
  <c r="P1857" i="6"/>
  <c r="P1856" i="6"/>
  <c r="P1855" i="6"/>
  <c r="P1854" i="6"/>
  <c r="P1853" i="6"/>
  <c r="P1852" i="6"/>
  <c r="P1851" i="6"/>
  <c r="P1850" i="6"/>
  <c r="P1849" i="6"/>
  <c r="P1848" i="6"/>
  <c r="P1847" i="6"/>
  <c r="P1846" i="6"/>
  <c r="P1845" i="6"/>
  <c r="P1844" i="6"/>
  <c r="P1843" i="6"/>
  <c r="P1842" i="6"/>
  <c r="P1841" i="6"/>
  <c r="P1840" i="6"/>
  <c r="P1839" i="6"/>
  <c r="P1838" i="6"/>
  <c r="P1837" i="6"/>
  <c r="P1836" i="6"/>
  <c r="P1835" i="6"/>
  <c r="P1834" i="6"/>
  <c r="P1833" i="6"/>
  <c r="P1832" i="6"/>
  <c r="P1831" i="6"/>
  <c r="P1830" i="6"/>
  <c r="P1829" i="6"/>
  <c r="P1828" i="6"/>
  <c r="P1827" i="6"/>
  <c r="P1826" i="6"/>
  <c r="P1825" i="6"/>
  <c r="P1824" i="6"/>
  <c r="P1823" i="6"/>
  <c r="P1822" i="6"/>
  <c r="P1821" i="6"/>
  <c r="P1820" i="6"/>
  <c r="P1819" i="6"/>
  <c r="P1818" i="6"/>
  <c r="P1817" i="6"/>
  <c r="P1816" i="6"/>
  <c r="P1815" i="6"/>
  <c r="P1814" i="6"/>
  <c r="P1813" i="6"/>
  <c r="P1812" i="6"/>
  <c r="P1811" i="6"/>
  <c r="P1810" i="6"/>
  <c r="P1809" i="6"/>
  <c r="P1808" i="6"/>
  <c r="P1807" i="6"/>
  <c r="P1806" i="6"/>
  <c r="P1805" i="6"/>
  <c r="P1804" i="6"/>
  <c r="P1803" i="6"/>
  <c r="P1802" i="6"/>
  <c r="P1801" i="6"/>
  <c r="P1800" i="6"/>
  <c r="P1799" i="6"/>
  <c r="P1798" i="6"/>
  <c r="P1797" i="6"/>
  <c r="P1796" i="6"/>
  <c r="P1795" i="6"/>
  <c r="P1794" i="6"/>
  <c r="P1793" i="6"/>
  <c r="P1792" i="6"/>
  <c r="P1791" i="6"/>
  <c r="P1790" i="6"/>
  <c r="P1789" i="6"/>
  <c r="P1788" i="6"/>
  <c r="P1787" i="6"/>
  <c r="P1786" i="6"/>
  <c r="P1785" i="6"/>
  <c r="P1784" i="6"/>
  <c r="P1783" i="6"/>
  <c r="P1782" i="6"/>
  <c r="P1781" i="6"/>
  <c r="P1780" i="6"/>
  <c r="P1779" i="6"/>
  <c r="P1778" i="6"/>
  <c r="P1777" i="6"/>
  <c r="P1776" i="6"/>
  <c r="P1775" i="6"/>
  <c r="P1774" i="6"/>
  <c r="P1773" i="6"/>
  <c r="P1772" i="6"/>
  <c r="P1771" i="6"/>
  <c r="P1770" i="6"/>
  <c r="P1769" i="6"/>
  <c r="P1768" i="6"/>
  <c r="P1767" i="6"/>
  <c r="P1766" i="6"/>
  <c r="P1765" i="6"/>
  <c r="P1764" i="6"/>
  <c r="P1763" i="6"/>
  <c r="P1762" i="6"/>
  <c r="P1761" i="6"/>
  <c r="P1760" i="6"/>
  <c r="P1759" i="6"/>
  <c r="P1758" i="6"/>
  <c r="P1757" i="6"/>
  <c r="P1756" i="6"/>
  <c r="P1755" i="6"/>
  <c r="P1754" i="6"/>
  <c r="P1753" i="6"/>
  <c r="P1752" i="6"/>
  <c r="P1751" i="6"/>
  <c r="P1750" i="6"/>
  <c r="P1749" i="6"/>
  <c r="P1748" i="6"/>
  <c r="P1747" i="6"/>
  <c r="P1746" i="6"/>
  <c r="P1745" i="6"/>
  <c r="P1744" i="6"/>
  <c r="P1743" i="6"/>
  <c r="P1742" i="6"/>
  <c r="P1741" i="6"/>
  <c r="P1740" i="6"/>
  <c r="P1739" i="6"/>
  <c r="P1738" i="6"/>
  <c r="P1737" i="6"/>
  <c r="P1736" i="6"/>
  <c r="P1735" i="6"/>
  <c r="P1734" i="6"/>
  <c r="P1733" i="6"/>
  <c r="P1732" i="6"/>
  <c r="P1731" i="6"/>
  <c r="P1730" i="6"/>
  <c r="P1729" i="6"/>
  <c r="P1728" i="6"/>
  <c r="P1727" i="6"/>
  <c r="P1726" i="6"/>
  <c r="P1725" i="6"/>
  <c r="P1724" i="6"/>
  <c r="P1723" i="6"/>
  <c r="P1722" i="6"/>
  <c r="P1721" i="6"/>
  <c r="P1720" i="6"/>
  <c r="P1719" i="6"/>
  <c r="P1718" i="6"/>
  <c r="P1717" i="6"/>
  <c r="P1716" i="6"/>
  <c r="P1715" i="6"/>
  <c r="P1714" i="6"/>
  <c r="P1713" i="6"/>
  <c r="P1712" i="6"/>
  <c r="P1711" i="6"/>
  <c r="P1710" i="6"/>
  <c r="P1709" i="6"/>
  <c r="P1708" i="6"/>
  <c r="P1707" i="6"/>
  <c r="P1706" i="6"/>
  <c r="P1705" i="6"/>
  <c r="P1704" i="6"/>
  <c r="P1703" i="6"/>
  <c r="P1702" i="6"/>
  <c r="P1701" i="6"/>
  <c r="P1700" i="6"/>
  <c r="P1699" i="6"/>
  <c r="P1698" i="6"/>
  <c r="P1697" i="6"/>
  <c r="P1696" i="6"/>
  <c r="P1695" i="6"/>
  <c r="P1694" i="6"/>
  <c r="P1693" i="6"/>
  <c r="P1692" i="6"/>
  <c r="P1691" i="6"/>
  <c r="P1690" i="6"/>
  <c r="P1689" i="6"/>
  <c r="P1688" i="6"/>
  <c r="P1687" i="6"/>
  <c r="P1686" i="6"/>
  <c r="P1685" i="6"/>
  <c r="P1684" i="6"/>
  <c r="P1683" i="6"/>
  <c r="P1682" i="6"/>
  <c r="P1681" i="6"/>
  <c r="P1680" i="6"/>
  <c r="P1679" i="6"/>
  <c r="P1678" i="6"/>
  <c r="P1677" i="6"/>
  <c r="P1676" i="6"/>
  <c r="P1675" i="6"/>
  <c r="P1674" i="6"/>
  <c r="P1673" i="6"/>
  <c r="P1672" i="6"/>
  <c r="P1671" i="6"/>
  <c r="P1670" i="6"/>
  <c r="P1669" i="6"/>
  <c r="P1668" i="6"/>
  <c r="P1667" i="6"/>
  <c r="P1666" i="6"/>
  <c r="P1665" i="6"/>
  <c r="P1664" i="6"/>
  <c r="P1663" i="6"/>
  <c r="P1662" i="6"/>
  <c r="P1661" i="6"/>
  <c r="P1660" i="6"/>
  <c r="P1659" i="6"/>
  <c r="P1658" i="6"/>
  <c r="P1657" i="6"/>
  <c r="P1656" i="6"/>
  <c r="P1655" i="6"/>
  <c r="P1654" i="6"/>
  <c r="P1653" i="6"/>
  <c r="P1652" i="6"/>
  <c r="P1651" i="6"/>
  <c r="P1650" i="6"/>
  <c r="P1649" i="6"/>
  <c r="P1648" i="6"/>
  <c r="P1647" i="6"/>
  <c r="P1646" i="6"/>
  <c r="P1645" i="6"/>
  <c r="P1644" i="6"/>
  <c r="P1643" i="6"/>
  <c r="P1642" i="6"/>
  <c r="P1641" i="6"/>
  <c r="P1640" i="6"/>
  <c r="P1639" i="6"/>
  <c r="P1638" i="6"/>
  <c r="P1637" i="6"/>
  <c r="P1636" i="6"/>
  <c r="P1635" i="6"/>
  <c r="P1634" i="6"/>
  <c r="P1633" i="6"/>
  <c r="P1632" i="6"/>
  <c r="P1631" i="6"/>
  <c r="P1630" i="6"/>
  <c r="P1629" i="6"/>
  <c r="P1628" i="6"/>
  <c r="P1627" i="6"/>
  <c r="P1626" i="6"/>
  <c r="P1625" i="6"/>
  <c r="P1624" i="6"/>
  <c r="P1623" i="6"/>
  <c r="P1622" i="6"/>
  <c r="P1621" i="6"/>
  <c r="P1620" i="6"/>
  <c r="P1619" i="6"/>
  <c r="P1618" i="6"/>
  <c r="P1617" i="6"/>
  <c r="P1616" i="6"/>
  <c r="P1615" i="6"/>
  <c r="P1614" i="6"/>
  <c r="P1613" i="6"/>
  <c r="P1612" i="6"/>
  <c r="P1611" i="6"/>
  <c r="P1610" i="6"/>
  <c r="P1609" i="6"/>
  <c r="P1608" i="6"/>
  <c r="P1607" i="6"/>
  <c r="P1606" i="6"/>
  <c r="P1605" i="6"/>
  <c r="P1604" i="6"/>
  <c r="P1603" i="6"/>
  <c r="P1602" i="6"/>
  <c r="P1601" i="6"/>
  <c r="P1600" i="6"/>
  <c r="P1599" i="6"/>
  <c r="P1598" i="6"/>
  <c r="P1597" i="6"/>
  <c r="P1596" i="6"/>
  <c r="P1595" i="6"/>
  <c r="P1594" i="6"/>
  <c r="P1593" i="6"/>
  <c r="P1592" i="6"/>
  <c r="P1591" i="6"/>
  <c r="P1590" i="6"/>
  <c r="P1589" i="6"/>
  <c r="P1588" i="6"/>
  <c r="P1587" i="6"/>
  <c r="P1586" i="6"/>
  <c r="P1585" i="6"/>
  <c r="P1584" i="6"/>
  <c r="P1583" i="6"/>
  <c r="P1582" i="6"/>
  <c r="P1581" i="6"/>
  <c r="P1580" i="6"/>
  <c r="P1579" i="6"/>
  <c r="P1578" i="6"/>
  <c r="P1577" i="6"/>
  <c r="P1576" i="6"/>
  <c r="P1575" i="6"/>
  <c r="P1574" i="6"/>
  <c r="P1573" i="6"/>
  <c r="P1572" i="6"/>
  <c r="P1571" i="6"/>
  <c r="P1570" i="6"/>
  <c r="P1569" i="6"/>
  <c r="P1568" i="6"/>
  <c r="P1567" i="6"/>
  <c r="P1566" i="6"/>
  <c r="P1565" i="6"/>
  <c r="P1564" i="6"/>
  <c r="P1563" i="6"/>
  <c r="P1562" i="6"/>
  <c r="P1561" i="6"/>
  <c r="P1560" i="6"/>
  <c r="P1559" i="6"/>
  <c r="P1558" i="6"/>
  <c r="P1557" i="6"/>
  <c r="P1556" i="6"/>
  <c r="P1555" i="6"/>
  <c r="P1554" i="6"/>
  <c r="P1553" i="6"/>
  <c r="P1552" i="6"/>
  <c r="P1551" i="6"/>
  <c r="P1550" i="6"/>
  <c r="P1549" i="6"/>
  <c r="P1548" i="6"/>
  <c r="P1547" i="6"/>
  <c r="P1546" i="6"/>
  <c r="P1545" i="6"/>
  <c r="P1544" i="6"/>
  <c r="P1543" i="6"/>
  <c r="P1542" i="6"/>
  <c r="P1541" i="6"/>
  <c r="P1540" i="6"/>
  <c r="P1539" i="6"/>
  <c r="P1538" i="6"/>
  <c r="P1537" i="6"/>
  <c r="P1536" i="6"/>
  <c r="P1535" i="6"/>
  <c r="P1534" i="6"/>
  <c r="P1533" i="6"/>
  <c r="P1532" i="6"/>
  <c r="P1531" i="6"/>
  <c r="P1530" i="6"/>
  <c r="P1529" i="6"/>
  <c r="P1528" i="6"/>
  <c r="P1527" i="6"/>
  <c r="P1526" i="6"/>
  <c r="P1525" i="6"/>
  <c r="P1524" i="6"/>
  <c r="P1523" i="6"/>
  <c r="P1522" i="6"/>
  <c r="P1521" i="6"/>
  <c r="P1520" i="6"/>
  <c r="P1519" i="6"/>
  <c r="P1518" i="6"/>
  <c r="P1517" i="6"/>
  <c r="P1516" i="6"/>
  <c r="P1515" i="6"/>
  <c r="P1514" i="6"/>
  <c r="P1513" i="6"/>
  <c r="P1512" i="6"/>
  <c r="P1511" i="6"/>
  <c r="P1510" i="6"/>
  <c r="P1509" i="6"/>
  <c r="P1508" i="6"/>
  <c r="P1507" i="6"/>
  <c r="P1506" i="6"/>
  <c r="P1505" i="6"/>
  <c r="P1504" i="6"/>
  <c r="P1503" i="6"/>
  <c r="P1502" i="6"/>
  <c r="P1501" i="6"/>
  <c r="P1500" i="6"/>
  <c r="P1499" i="6"/>
  <c r="P1498" i="6"/>
  <c r="P1497" i="6"/>
  <c r="P1496" i="6"/>
  <c r="P1495" i="6"/>
  <c r="P1494" i="6"/>
  <c r="P1493" i="6"/>
  <c r="P1492" i="6"/>
  <c r="P1491" i="6"/>
  <c r="P1490" i="6"/>
  <c r="P1489" i="6"/>
  <c r="P1488" i="6"/>
  <c r="P1487" i="6"/>
  <c r="P1486" i="6"/>
  <c r="P1485" i="6"/>
  <c r="P1484" i="6"/>
  <c r="P1483" i="6"/>
  <c r="P1482" i="6"/>
  <c r="P1481" i="6"/>
  <c r="P1480" i="6"/>
  <c r="P1479" i="6"/>
  <c r="P1478" i="6"/>
  <c r="P1477" i="6"/>
  <c r="P1476" i="6"/>
  <c r="P1475" i="6"/>
  <c r="P1474" i="6"/>
  <c r="P1473" i="6"/>
  <c r="P1472" i="6"/>
  <c r="P1471" i="6"/>
  <c r="P1470" i="6"/>
  <c r="P1469" i="6"/>
  <c r="P1468" i="6"/>
  <c r="P1467" i="6"/>
  <c r="P1466" i="6"/>
  <c r="P1465" i="6"/>
  <c r="P1464" i="6"/>
  <c r="P1463" i="6"/>
  <c r="P1462" i="6"/>
  <c r="P1461" i="6"/>
  <c r="P1460" i="6"/>
  <c r="P1459" i="6"/>
  <c r="P1458" i="6"/>
  <c r="P1457" i="6"/>
  <c r="P1456" i="6"/>
  <c r="P1455" i="6"/>
  <c r="P1454" i="6"/>
  <c r="P1453" i="6"/>
  <c r="P1452" i="6"/>
  <c r="P1451" i="6"/>
  <c r="P1450" i="6"/>
  <c r="P1449" i="6"/>
  <c r="P1448" i="6"/>
  <c r="P1447" i="6"/>
  <c r="P1446" i="6"/>
  <c r="P1445" i="6"/>
  <c r="P1444" i="6"/>
  <c r="P1443" i="6"/>
  <c r="P1442" i="6"/>
  <c r="P1441" i="6"/>
  <c r="P1440" i="6"/>
  <c r="P1439" i="6"/>
  <c r="P1438" i="6"/>
  <c r="P1437" i="6"/>
  <c r="P1436" i="6"/>
  <c r="P1435" i="6"/>
  <c r="P1434" i="6"/>
  <c r="P1433" i="6"/>
  <c r="P1432" i="6"/>
  <c r="P1431" i="6"/>
  <c r="P1430" i="6"/>
  <c r="P1429" i="6"/>
  <c r="P1428" i="6"/>
  <c r="P1427" i="6"/>
  <c r="P1426" i="6"/>
  <c r="P1425" i="6"/>
  <c r="P1424" i="6"/>
  <c r="P1423" i="6"/>
  <c r="P1422" i="6"/>
  <c r="P1421" i="6"/>
  <c r="P1420" i="6"/>
  <c r="P1419" i="6"/>
  <c r="P1418" i="6"/>
  <c r="P1417" i="6"/>
  <c r="P1416" i="6"/>
  <c r="P1415" i="6"/>
  <c r="P1414" i="6"/>
  <c r="P1413" i="6"/>
  <c r="P1412" i="6"/>
  <c r="P1411" i="6"/>
  <c r="P1410" i="6"/>
  <c r="P1409" i="6"/>
  <c r="P1408" i="6"/>
  <c r="P1407" i="6"/>
  <c r="P1406" i="6"/>
  <c r="P1405" i="6"/>
  <c r="P1404" i="6"/>
  <c r="P1403" i="6"/>
  <c r="P1402" i="6"/>
  <c r="P1401" i="6"/>
  <c r="P1400" i="6"/>
  <c r="P1399" i="6"/>
  <c r="P1398" i="6"/>
  <c r="P1397" i="6"/>
  <c r="P1396" i="6"/>
  <c r="P1395" i="6"/>
  <c r="P1394" i="6"/>
  <c r="P1393" i="6"/>
  <c r="P1392" i="6"/>
  <c r="P1391" i="6"/>
  <c r="P1390" i="6"/>
  <c r="P1389" i="6"/>
  <c r="P1388" i="6"/>
  <c r="P1387" i="6"/>
  <c r="P1386" i="6"/>
  <c r="P1385" i="6"/>
  <c r="P1384" i="6"/>
  <c r="P1383" i="6"/>
  <c r="P1382" i="6"/>
  <c r="P1381" i="6"/>
  <c r="P1380" i="6"/>
  <c r="P1379" i="6"/>
  <c r="P1378" i="6"/>
  <c r="P1377" i="6"/>
  <c r="P1376" i="6"/>
  <c r="P1375" i="6"/>
  <c r="P1374" i="6"/>
  <c r="P1373" i="6"/>
  <c r="P1372" i="6"/>
  <c r="P1371" i="6"/>
  <c r="P1370" i="6"/>
  <c r="P1369" i="6"/>
  <c r="P1368" i="6"/>
  <c r="P1367" i="6"/>
  <c r="P1366" i="6"/>
  <c r="P1365" i="6"/>
  <c r="P1364" i="6"/>
  <c r="P1363" i="6"/>
  <c r="P1362" i="6"/>
  <c r="P1361" i="6"/>
  <c r="P1360" i="6"/>
  <c r="P1359" i="6"/>
  <c r="P1358" i="6"/>
  <c r="P1357" i="6"/>
  <c r="P1356" i="6"/>
  <c r="P1355" i="6"/>
  <c r="P1354" i="6"/>
  <c r="P1353" i="6"/>
  <c r="P1352" i="6"/>
  <c r="P1351" i="6"/>
  <c r="P1350" i="6"/>
  <c r="P1349" i="6"/>
  <c r="P1348" i="6"/>
  <c r="P1347" i="6"/>
  <c r="P1346" i="6"/>
  <c r="P1345" i="6"/>
  <c r="P1344" i="6"/>
  <c r="P1343" i="6"/>
  <c r="P1342" i="6"/>
  <c r="P1341" i="6"/>
  <c r="P1340" i="6"/>
  <c r="P1339" i="6"/>
  <c r="P1338" i="6"/>
  <c r="P1337" i="6"/>
  <c r="P1336" i="6"/>
  <c r="P1335" i="6"/>
  <c r="P1334" i="6"/>
  <c r="P1333" i="6"/>
  <c r="P1332" i="6"/>
  <c r="P1331" i="6"/>
  <c r="P1330" i="6"/>
  <c r="P1329" i="6"/>
  <c r="P1328" i="6"/>
  <c r="P1327" i="6"/>
  <c r="P1326" i="6"/>
  <c r="P1325" i="6"/>
  <c r="P1324" i="6"/>
  <c r="P1323" i="6"/>
  <c r="P1322" i="6"/>
  <c r="P1321" i="6"/>
  <c r="P1320" i="6"/>
  <c r="P1319" i="6"/>
  <c r="P1318" i="6"/>
  <c r="P1317" i="6"/>
  <c r="P1316" i="6"/>
  <c r="P1315" i="6"/>
  <c r="P1314" i="6"/>
  <c r="P1313" i="6"/>
  <c r="P1312" i="6"/>
  <c r="P1311" i="6"/>
  <c r="P1310" i="6"/>
  <c r="P1309" i="6"/>
  <c r="P1308" i="6"/>
  <c r="P1307" i="6"/>
  <c r="P1306" i="6"/>
  <c r="P1305" i="6"/>
  <c r="P1304" i="6"/>
  <c r="P1303" i="6"/>
  <c r="P1302" i="6"/>
  <c r="P1301" i="6"/>
  <c r="P1300" i="6"/>
  <c r="P1299" i="6"/>
  <c r="P1298" i="6"/>
  <c r="P1297" i="6"/>
  <c r="P1296" i="6"/>
  <c r="P1295" i="6"/>
  <c r="P1294" i="6"/>
  <c r="P1293" i="6"/>
  <c r="P1292" i="6"/>
  <c r="P1291" i="6"/>
  <c r="P1290" i="6"/>
  <c r="P1289" i="6"/>
  <c r="P1288" i="6"/>
  <c r="P1287" i="6"/>
  <c r="P1286" i="6"/>
  <c r="P1285" i="6"/>
  <c r="P1284" i="6"/>
  <c r="P1283" i="6"/>
  <c r="P1282" i="6"/>
  <c r="P1281" i="6"/>
  <c r="P1280" i="6"/>
  <c r="P1279" i="6"/>
  <c r="P1278" i="6"/>
  <c r="P1277" i="6"/>
  <c r="P1276" i="6"/>
  <c r="P1275" i="6"/>
  <c r="P1274" i="6"/>
  <c r="P1273" i="6"/>
  <c r="P1272" i="6"/>
  <c r="P1271" i="6"/>
  <c r="P1270" i="6"/>
  <c r="P1269" i="6"/>
  <c r="P1268" i="6"/>
  <c r="P1267" i="6"/>
  <c r="P1266" i="6"/>
  <c r="P1265" i="6"/>
  <c r="P1264" i="6"/>
  <c r="P1263" i="6"/>
  <c r="P1262" i="6"/>
  <c r="P1261" i="6"/>
  <c r="P1260" i="6"/>
  <c r="P1259" i="6"/>
  <c r="P1258" i="6"/>
  <c r="P1257" i="6"/>
  <c r="P1256" i="6"/>
  <c r="P1255" i="6"/>
  <c r="P1254" i="6"/>
  <c r="P1253" i="6"/>
  <c r="P1252" i="6"/>
  <c r="P1251" i="6"/>
  <c r="P1250" i="6"/>
  <c r="P1249" i="6"/>
  <c r="P1248" i="6"/>
  <c r="P1247" i="6"/>
  <c r="P1246" i="6"/>
  <c r="P1245" i="6"/>
  <c r="P1244" i="6"/>
  <c r="P1243" i="6"/>
  <c r="P1242" i="6"/>
  <c r="P1241" i="6"/>
  <c r="P1240" i="6"/>
  <c r="P1239" i="6"/>
  <c r="P1238" i="6"/>
  <c r="P1237" i="6"/>
  <c r="P1236" i="6"/>
  <c r="P1235" i="6"/>
  <c r="P1234" i="6"/>
  <c r="P1233" i="6"/>
  <c r="P1232" i="6"/>
  <c r="P1231" i="6"/>
  <c r="P1230" i="6"/>
  <c r="P1229" i="6"/>
  <c r="P1228" i="6"/>
  <c r="P1227" i="6"/>
  <c r="P1226" i="6"/>
  <c r="P1225" i="6"/>
  <c r="P1224" i="6"/>
  <c r="P1223" i="6"/>
  <c r="P1222" i="6"/>
  <c r="P1221" i="6"/>
  <c r="P1220" i="6"/>
  <c r="P1219" i="6"/>
  <c r="P1218" i="6"/>
  <c r="P1217" i="6"/>
  <c r="P1216" i="6"/>
  <c r="P1215" i="6"/>
  <c r="P1214" i="6"/>
  <c r="P1213" i="6"/>
  <c r="P1212" i="6"/>
  <c r="P1211" i="6"/>
  <c r="P1210" i="6"/>
  <c r="P1209" i="6"/>
  <c r="P1208" i="6"/>
  <c r="P1207" i="6"/>
  <c r="P1206" i="6"/>
  <c r="P1205" i="6"/>
  <c r="P1204" i="6"/>
  <c r="P1203" i="6"/>
  <c r="P1202" i="6"/>
  <c r="P1201" i="6"/>
  <c r="P1200" i="6"/>
  <c r="P1199" i="6"/>
  <c r="P1198" i="6"/>
  <c r="P1197" i="6"/>
  <c r="P1196" i="6"/>
  <c r="P1195" i="6"/>
  <c r="P1194" i="6"/>
  <c r="P1193" i="6"/>
  <c r="P1192" i="6"/>
  <c r="P1191" i="6"/>
  <c r="P1190" i="6"/>
  <c r="P1189" i="6"/>
  <c r="P1188" i="6"/>
  <c r="P1187" i="6"/>
  <c r="P1186" i="6"/>
  <c r="P1185" i="6"/>
  <c r="P1184" i="6"/>
  <c r="P1183" i="6"/>
  <c r="P1182" i="6"/>
  <c r="P1181" i="6"/>
  <c r="P1180" i="6"/>
  <c r="P1179" i="6"/>
  <c r="P1178" i="6"/>
  <c r="P1177" i="6"/>
  <c r="P1176" i="6"/>
  <c r="P1175" i="6"/>
  <c r="P1174" i="6"/>
  <c r="P1173" i="6"/>
  <c r="P1172" i="6"/>
  <c r="P1171" i="6"/>
  <c r="P1170" i="6"/>
  <c r="P1169" i="6"/>
  <c r="P1168" i="6"/>
  <c r="P1167" i="6"/>
  <c r="P1166" i="6"/>
  <c r="P1165" i="6"/>
  <c r="P1164" i="6"/>
  <c r="P1163" i="6"/>
  <c r="P1162" i="6"/>
  <c r="P1161" i="6"/>
  <c r="P1160" i="6"/>
  <c r="P1159" i="6"/>
  <c r="P1158" i="6"/>
  <c r="P1157" i="6"/>
  <c r="P1156" i="6"/>
  <c r="P1155" i="6"/>
  <c r="P1154" i="6"/>
  <c r="P1153" i="6"/>
  <c r="P1152" i="6"/>
  <c r="P1151" i="6"/>
  <c r="P1150" i="6"/>
  <c r="P1149" i="6"/>
  <c r="P1148" i="6"/>
  <c r="P1147" i="6"/>
  <c r="P1146" i="6"/>
  <c r="P1145" i="6"/>
  <c r="P1144" i="6"/>
  <c r="P1143" i="6"/>
  <c r="P1142" i="6"/>
  <c r="P1141" i="6"/>
  <c r="P1140" i="6"/>
  <c r="P1139" i="6"/>
  <c r="P1138" i="6"/>
  <c r="P1137" i="6"/>
  <c r="P1136" i="6"/>
  <c r="P1135" i="6"/>
  <c r="P1134" i="6"/>
  <c r="P1133" i="6"/>
  <c r="P1132" i="6"/>
  <c r="P1131" i="6"/>
  <c r="P1130" i="6"/>
  <c r="P1129" i="6"/>
  <c r="P1128" i="6"/>
  <c r="P1127" i="6"/>
  <c r="P1126" i="6"/>
  <c r="P1125" i="6"/>
  <c r="P1124" i="6"/>
  <c r="P1123" i="6"/>
  <c r="P1122" i="6"/>
  <c r="P1121" i="6"/>
  <c r="P1120" i="6"/>
  <c r="P1119" i="6"/>
  <c r="P1118" i="6"/>
  <c r="P1117" i="6"/>
  <c r="P1116" i="6"/>
  <c r="P1115" i="6"/>
  <c r="P1114" i="6"/>
  <c r="P1113" i="6"/>
  <c r="P1112" i="6"/>
  <c r="P1111" i="6"/>
  <c r="P1110" i="6"/>
  <c r="P1109" i="6"/>
  <c r="P1108" i="6"/>
  <c r="P1107" i="6"/>
  <c r="P1106" i="6"/>
  <c r="P1105" i="6"/>
  <c r="P1104" i="6"/>
  <c r="P1103" i="6"/>
  <c r="P1102" i="6"/>
  <c r="P1101" i="6"/>
  <c r="P1100" i="6"/>
  <c r="P1099" i="6"/>
  <c r="P1098" i="6"/>
  <c r="P1097" i="6"/>
  <c r="P1096" i="6"/>
  <c r="P1095" i="6"/>
  <c r="P1094" i="6"/>
  <c r="P1093" i="6"/>
  <c r="P1092" i="6"/>
  <c r="P1091" i="6"/>
  <c r="P1090" i="6"/>
  <c r="P1089" i="6"/>
  <c r="P1088" i="6"/>
  <c r="P1087" i="6"/>
  <c r="P1086" i="6"/>
  <c r="P1085" i="6"/>
  <c r="P1084" i="6"/>
  <c r="P1083" i="6"/>
  <c r="P1082" i="6"/>
  <c r="P1081" i="6"/>
  <c r="P1080" i="6"/>
  <c r="P1079" i="6"/>
  <c r="P1078" i="6"/>
  <c r="P1077" i="6"/>
  <c r="P1076" i="6"/>
  <c r="P1075" i="6"/>
  <c r="P1074" i="6"/>
  <c r="P1073" i="6"/>
  <c r="P1072" i="6"/>
  <c r="P1071" i="6"/>
  <c r="P1070" i="6"/>
  <c r="P1069" i="6"/>
  <c r="P1068" i="6"/>
  <c r="P1067" i="6"/>
  <c r="P1066" i="6"/>
  <c r="P1065" i="6"/>
  <c r="P1064" i="6"/>
  <c r="P1063" i="6"/>
  <c r="P1062" i="6"/>
  <c r="P1061" i="6"/>
  <c r="P1060" i="6"/>
  <c r="P1059" i="6"/>
  <c r="P1058" i="6"/>
  <c r="P1057" i="6"/>
  <c r="P1056" i="6"/>
  <c r="P1055" i="6"/>
  <c r="P1054" i="6"/>
  <c r="P1053" i="6"/>
  <c r="P1052" i="6"/>
  <c r="P1051" i="6"/>
  <c r="P1050" i="6"/>
  <c r="P1049" i="6"/>
  <c r="P1048" i="6"/>
  <c r="P1047" i="6"/>
  <c r="P1046" i="6"/>
  <c r="P1045" i="6"/>
  <c r="P1044" i="6"/>
  <c r="P1043" i="6"/>
  <c r="P1042" i="6"/>
  <c r="P1041" i="6"/>
  <c r="P1040" i="6"/>
  <c r="P1039" i="6"/>
  <c r="P1038" i="6"/>
  <c r="P1037" i="6"/>
  <c r="P1036" i="6"/>
  <c r="P1035" i="6"/>
  <c r="P1034" i="6"/>
  <c r="P1033" i="6"/>
  <c r="P1032" i="6"/>
  <c r="P1031" i="6"/>
  <c r="P1030" i="6"/>
  <c r="P1029" i="6"/>
  <c r="P1028" i="6"/>
  <c r="P1027" i="6"/>
  <c r="P1026" i="6"/>
  <c r="P1025" i="6"/>
  <c r="P1024" i="6"/>
  <c r="P1023" i="6"/>
  <c r="P1022" i="6"/>
  <c r="P1021" i="6"/>
  <c r="P1020" i="6"/>
  <c r="P1019" i="6"/>
  <c r="P1018" i="6"/>
  <c r="P1017" i="6"/>
  <c r="P1016" i="6"/>
  <c r="P1015" i="6"/>
  <c r="P1014" i="6"/>
  <c r="P1013" i="6"/>
  <c r="P1012" i="6"/>
  <c r="P1011" i="6"/>
  <c r="P1010" i="6"/>
  <c r="P1009" i="6"/>
  <c r="P1008" i="6"/>
  <c r="P1007" i="6"/>
  <c r="P1006" i="6"/>
  <c r="P1005" i="6"/>
  <c r="P1004" i="6"/>
  <c r="P1003" i="6"/>
  <c r="P1002" i="6"/>
  <c r="P1001" i="6"/>
  <c r="P1000" i="6"/>
  <c r="P999" i="6"/>
  <c r="P998" i="6"/>
  <c r="P997" i="6"/>
  <c r="P996" i="6"/>
  <c r="P995" i="6"/>
  <c r="P994" i="6"/>
  <c r="P993" i="6"/>
  <c r="P992" i="6"/>
  <c r="P991" i="6"/>
  <c r="P990" i="6"/>
  <c r="P989" i="6"/>
  <c r="P988" i="6"/>
  <c r="P987" i="6"/>
  <c r="P986" i="6"/>
  <c r="P985" i="6"/>
  <c r="P984" i="6"/>
  <c r="P983" i="6"/>
  <c r="P982" i="6"/>
  <c r="P981" i="6"/>
  <c r="P980" i="6"/>
  <c r="P979" i="6"/>
  <c r="P978" i="6"/>
  <c r="P977" i="6"/>
  <c r="P976" i="6"/>
  <c r="P975" i="6"/>
  <c r="P974" i="6"/>
  <c r="P973" i="6"/>
  <c r="P972" i="6"/>
  <c r="P971" i="6"/>
  <c r="P970" i="6"/>
  <c r="P969" i="6"/>
  <c r="P968" i="6"/>
  <c r="P967" i="6"/>
  <c r="P966" i="6"/>
  <c r="P965" i="6"/>
  <c r="P964" i="6"/>
  <c r="P963" i="6"/>
  <c r="P962" i="6"/>
  <c r="P961" i="6"/>
  <c r="P960" i="6"/>
  <c r="P959" i="6"/>
  <c r="P958" i="6"/>
  <c r="P957" i="6"/>
  <c r="P956" i="6"/>
  <c r="P955" i="6"/>
  <c r="P954" i="6"/>
  <c r="P953" i="6"/>
  <c r="P952" i="6"/>
  <c r="P951" i="6"/>
  <c r="P950" i="6"/>
  <c r="P949" i="6"/>
  <c r="P948" i="6"/>
  <c r="P947" i="6"/>
  <c r="P946" i="6"/>
  <c r="P945" i="6"/>
  <c r="P944" i="6"/>
  <c r="P943" i="6"/>
  <c r="P942" i="6"/>
  <c r="P941" i="6"/>
  <c r="P940" i="6"/>
  <c r="P939" i="6"/>
  <c r="P938" i="6"/>
  <c r="P937" i="6"/>
  <c r="P936" i="6"/>
  <c r="P935" i="6"/>
  <c r="P934" i="6"/>
  <c r="P933" i="6"/>
  <c r="P932" i="6"/>
  <c r="P931" i="6"/>
  <c r="P930" i="6"/>
  <c r="P929" i="6"/>
  <c r="P928" i="6"/>
  <c r="P927" i="6"/>
  <c r="P926" i="6"/>
  <c r="P925" i="6"/>
  <c r="P924" i="6"/>
  <c r="P923" i="6"/>
  <c r="P922" i="6"/>
  <c r="P921" i="6"/>
  <c r="P920" i="6"/>
  <c r="P919" i="6"/>
  <c r="P918" i="6"/>
  <c r="P917" i="6"/>
  <c r="P916" i="6"/>
  <c r="P915" i="6"/>
  <c r="P914" i="6"/>
  <c r="P913" i="6"/>
  <c r="P912" i="6"/>
  <c r="P911" i="6"/>
  <c r="P910" i="6"/>
  <c r="P909" i="6"/>
  <c r="P908" i="6"/>
  <c r="P907" i="6"/>
  <c r="P906" i="6"/>
  <c r="P905" i="6"/>
  <c r="P904" i="6"/>
  <c r="P903" i="6"/>
  <c r="P902" i="6"/>
  <c r="P901" i="6"/>
  <c r="P900" i="6"/>
  <c r="P899" i="6"/>
  <c r="P898" i="6"/>
  <c r="P897" i="6"/>
  <c r="P896" i="6"/>
  <c r="P895" i="6"/>
  <c r="P894" i="6"/>
  <c r="P893" i="6"/>
  <c r="P892" i="6"/>
  <c r="P891" i="6"/>
  <c r="P890" i="6"/>
  <c r="P889" i="6"/>
  <c r="P888" i="6"/>
  <c r="P887" i="6"/>
  <c r="P886" i="6"/>
  <c r="P885" i="6"/>
  <c r="P884" i="6"/>
  <c r="P883" i="6"/>
  <c r="P882" i="6"/>
  <c r="P881" i="6"/>
  <c r="P880" i="6"/>
  <c r="P879" i="6"/>
  <c r="P878" i="6"/>
  <c r="P877" i="6"/>
  <c r="P876" i="6"/>
  <c r="P875" i="6"/>
  <c r="P874" i="6"/>
  <c r="P873" i="6"/>
  <c r="P872" i="6"/>
  <c r="P871" i="6"/>
  <c r="P870" i="6"/>
  <c r="P869" i="6"/>
  <c r="P868" i="6"/>
  <c r="P867" i="6"/>
  <c r="P866" i="6"/>
  <c r="P865" i="6"/>
  <c r="P864" i="6"/>
  <c r="P863" i="6"/>
  <c r="P862" i="6"/>
  <c r="P861" i="6"/>
  <c r="P860" i="6"/>
  <c r="P859" i="6"/>
  <c r="P858" i="6"/>
  <c r="P857" i="6"/>
  <c r="P856" i="6"/>
  <c r="P855" i="6"/>
  <c r="P854" i="6"/>
  <c r="P853" i="6"/>
  <c r="P852" i="6"/>
  <c r="P851" i="6"/>
  <c r="P850" i="6"/>
  <c r="P849" i="6"/>
  <c r="P848" i="6"/>
  <c r="P847" i="6"/>
  <c r="P846" i="6"/>
  <c r="P845" i="6"/>
  <c r="P844" i="6"/>
  <c r="P843" i="6"/>
  <c r="P842" i="6"/>
  <c r="P841" i="6"/>
  <c r="P840" i="6"/>
  <c r="P839" i="6"/>
  <c r="P838" i="6"/>
  <c r="P837" i="6"/>
  <c r="P836" i="6"/>
  <c r="P835" i="6"/>
  <c r="P834" i="6"/>
  <c r="P833" i="6"/>
  <c r="P832" i="6"/>
  <c r="P831" i="6"/>
  <c r="P830" i="6"/>
  <c r="P829" i="6"/>
  <c r="P828" i="6"/>
  <c r="P827" i="6"/>
  <c r="P826" i="6"/>
  <c r="P825" i="6"/>
  <c r="P824" i="6"/>
  <c r="P823" i="6"/>
  <c r="P822" i="6"/>
  <c r="P821" i="6"/>
  <c r="P820" i="6"/>
  <c r="P819" i="6"/>
  <c r="P818" i="6"/>
  <c r="P817" i="6"/>
  <c r="P816" i="6"/>
  <c r="P815" i="6"/>
  <c r="P814" i="6"/>
  <c r="P813" i="6"/>
  <c r="P812" i="6"/>
  <c r="P811" i="6"/>
  <c r="P810" i="6"/>
  <c r="P809" i="6"/>
  <c r="P808" i="6"/>
  <c r="P807" i="6"/>
  <c r="P806" i="6"/>
  <c r="P805" i="6"/>
  <c r="P804" i="6"/>
  <c r="P803" i="6"/>
  <c r="P802" i="6"/>
  <c r="P801" i="6"/>
  <c r="P800" i="6"/>
  <c r="P799" i="6"/>
  <c r="P798" i="6"/>
  <c r="P797" i="6"/>
  <c r="P796" i="6"/>
  <c r="P795" i="6"/>
  <c r="P794" i="6"/>
  <c r="P793" i="6"/>
  <c r="P792" i="6"/>
  <c r="P791" i="6"/>
  <c r="P790" i="6"/>
  <c r="P789" i="6"/>
  <c r="P788" i="6"/>
  <c r="P787" i="6"/>
  <c r="P786" i="6"/>
  <c r="P785" i="6"/>
  <c r="P784" i="6"/>
  <c r="P783" i="6"/>
  <c r="P782" i="6"/>
  <c r="P781" i="6"/>
  <c r="P780" i="6"/>
  <c r="P779" i="6"/>
  <c r="P778" i="6"/>
  <c r="P777" i="6"/>
  <c r="P776" i="6"/>
  <c r="P775" i="6"/>
  <c r="P774" i="6"/>
  <c r="P773" i="6"/>
  <c r="P772" i="6"/>
  <c r="P771" i="6"/>
  <c r="P770" i="6"/>
  <c r="P769" i="6"/>
  <c r="P768" i="6"/>
  <c r="P767" i="6"/>
  <c r="P766" i="6"/>
  <c r="P765" i="6"/>
  <c r="P764" i="6"/>
  <c r="P763" i="6"/>
  <c r="P762" i="6"/>
  <c r="P761" i="6"/>
  <c r="P760" i="6"/>
  <c r="P759" i="6"/>
  <c r="P758" i="6"/>
  <c r="P757" i="6"/>
  <c r="P756" i="6"/>
  <c r="P755" i="6"/>
  <c r="P754" i="6"/>
  <c r="P753" i="6"/>
  <c r="P752" i="6"/>
  <c r="P751" i="6"/>
  <c r="P750" i="6"/>
  <c r="P749" i="6"/>
  <c r="P748" i="6"/>
  <c r="P747" i="6"/>
  <c r="P746" i="6"/>
  <c r="P745" i="6"/>
  <c r="P744" i="6"/>
  <c r="P743" i="6"/>
  <c r="P742" i="6"/>
  <c r="P741" i="6"/>
  <c r="P740" i="6"/>
  <c r="P739" i="6"/>
  <c r="P738" i="6"/>
  <c r="P737" i="6"/>
  <c r="P736" i="6"/>
  <c r="P735" i="6"/>
  <c r="P734" i="6"/>
  <c r="P733" i="6"/>
  <c r="P732" i="6"/>
  <c r="P731" i="6"/>
  <c r="P730" i="6"/>
  <c r="P729" i="6"/>
  <c r="P728" i="6"/>
  <c r="P727" i="6"/>
  <c r="P726" i="6"/>
  <c r="P725" i="6"/>
  <c r="P724" i="6"/>
  <c r="P723" i="6"/>
  <c r="P722" i="6"/>
  <c r="P721" i="6"/>
  <c r="P720" i="6"/>
  <c r="P719" i="6"/>
  <c r="P718" i="6"/>
  <c r="P717" i="6"/>
  <c r="P716" i="6"/>
  <c r="P715" i="6"/>
  <c r="P714" i="6"/>
  <c r="P713" i="6"/>
  <c r="P712" i="6"/>
  <c r="P711" i="6"/>
  <c r="P710" i="6"/>
  <c r="P709" i="6"/>
  <c r="P708" i="6"/>
  <c r="P707" i="6"/>
  <c r="P706" i="6"/>
  <c r="P705" i="6"/>
  <c r="P704" i="6"/>
  <c r="P703" i="6"/>
  <c r="P702" i="6"/>
  <c r="P701" i="6"/>
  <c r="P700" i="6"/>
  <c r="P699" i="6"/>
  <c r="P698" i="6"/>
  <c r="P697" i="6"/>
  <c r="P696" i="6"/>
  <c r="P695" i="6"/>
  <c r="P694" i="6"/>
  <c r="P693" i="6"/>
  <c r="P692" i="6"/>
  <c r="P691" i="6"/>
  <c r="P690" i="6"/>
  <c r="P689" i="6"/>
  <c r="P688" i="6"/>
  <c r="P687" i="6"/>
  <c r="P686" i="6"/>
  <c r="P685" i="6"/>
  <c r="P684" i="6"/>
  <c r="P683" i="6"/>
  <c r="P682" i="6"/>
  <c r="P681" i="6"/>
  <c r="P680" i="6"/>
  <c r="P679" i="6"/>
  <c r="P678" i="6"/>
  <c r="P677" i="6"/>
  <c r="P676" i="6"/>
  <c r="P675" i="6"/>
  <c r="P674" i="6"/>
  <c r="P673" i="6"/>
  <c r="P672" i="6"/>
  <c r="P671" i="6"/>
  <c r="P670" i="6"/>
  <c r="P669" i="6"/>
  <c r="P668" i="6"/>
  <c r="P667" i="6"/>
  <c r="P666" i="6"/>
  <c r="P665" i="6"/>
  <c r="P664" i="6"/>
  <c r="P663" i="6"/>
  <c r="P662" i="6"/>
  <c r="P661" i="6"/>
  <c r="P660" i="6"/>
  <c r="P659" i="6"/>
  <c r="P658" i="6"/>
  <c r="P657" i="6"/>
  <c r="P656" i="6"/>
  <c r="P655" i="6"/>
  <c r="P654" i="6"/>
  <c r="P653" i="6"/>
  <c r="P652" i="6"/>
  <c r="P651" i="6"/>
  <c r="P650" i="6"/>
  <c r="P649" i="6"/>
  <c r="P648" i="6"/>
  <c r="P647" i="6"/>
  <c r="P646" i="6"/>
  <c r="P645" i="6"/>
  <c r="P644" i="6"/>
  <c r="P643" i="6"/>
  <c r="P642" i="6"/>
  <c r="P641" i="6"/>
  <c r="P640" i="6"/>
  <c r="P639" i="6"/>
  <c r="P638" i="6"/>
  <c r="P637" i="6"/>
  <c r="P636" i="6"/>
  <c r="P635" i="6"/>
  <c r="P634" i="6"/>
  <c r="P633" i="6"/>
  <c r="P632" i="6"/>
  <c r="P631" i="6"/>
  <c r="P630" i="6"/>
  <c r="P629" i="6"/>
  <c r="P628" i="6"/>
  <c r="P627" i="6"/>
  <c r="P626" i="6"/>
  <c r="P625" i="6"/>
  <c r="P624" i="6"/>
  <c r="P623" i="6"/>
  <c r="P622" i="6"/>
  <c r="P621" i="6"/>
  <c r="P620" i="6"/>
  <c r="P619" i="6"/>
  <c r="P618" i="6"/>
  <c r="P617" i="6"/>
  <c r="P616" i="6"/>
  <c r="P615" i="6"/>
  <c r="P614" i="6"/>
  <c r="P613" i="6"/>
  <c r="P612" i="6"/>
  <c r="P611" i="6"/>
  <c r="P610" i="6"/>
  <c r="P609" i="6"/>
  <c r="P608" i="6"/>
  <c r="P607" i="6"/>
  <c r="P606" i="6"/>
  <c r="P605" i="6"/>
  <c r="P604" i="6"/>
  <c r="P603" i="6"/>
  <c r="P602" i="6"/>
  <c r="P601" i="6"/>
  <c r="P600" i="6"/>
  <c r="P599" i="6"/>
  <c r="P598" i="6"/>
  <c r="P597" i="6"/>
  <c r="P596" i="6"/>
  <c r="P595" i="6"/>
  <c r="P594" i="6"/>
  <c r="P593" i="6"/>
  <c r="P592" i="6"/>
  <c r="P591" i="6"/>
  <c r="P590" i="6"/>
  <c r="P589" i="6"/>
  <c r="P588" i="6"/>
  <c r="P587" i="6"/>
  <c r="P586" i="6"/>
  <c r="P585" i="6"/>
  <c r="P584" i="6"/>
  <c r="P583" i="6"/>
  <c r="P582" i="6"/>
  <c r="P581" i="6"/>
  <c r="P580" i="6"/>
  <c r="P579" i="6"/>
  <c r="P578" i="6"/>
  <c r="P577" i="6"/>
  <c r="P576" i="6"/>
  <c r="P575" i="6"/>
  <c r="P574" i="6"/>
  <c r="P573" i="6"/>
  <c r="P572" i="6"/>
  <c r="P571" i="6"/>
  <c r="P570" i="6"/>
  <c r="P569" i="6"/>
  <c r="P568" i="6"/>
  <c r="P567" i="6"/>
  <c r="P566" i="6"/>
  <c r="P565" i="6"/>
  <c r="P564" i="6"/>
  <c r="P563" i="6"/>
  <c r="P562" i="6"/>
  <c r="P561" i="6"/>
  <c r="P560" i="6"/>
  <c r="P559" i="6"/>
  <c r="P558" i="6"/>
  <c r="P557" i="6"/>
  <c r="P556" i="6"/>
  <c r="P555" i="6"/>
  <c r="P554" i="6"/>
  <c r="P553" i="6"/>
  <c r="P552" i="6"/>
  <c r="P551" i="6"/>
  <c r="P550" i="6"/>
  <c r="P549" i="6"/>
  <c r="P548" i="6"/>
  <c r="P547" i="6"/>
  <c r="P546" i="6"/>
  <c r="P545" i="6"/>
  <c r="P544" i="6"/>
  <c r="P543" i="6"/>
  <c r="P542" i="6"/>
  <c r="P541" i="6"/>
  <c r="P540" i="6"/>
  <c r="P539" i="6"/>
  <c r="P538" i="6"/>
  <c r="P537" i="6"/>
  <c r="P536" i="6"/>
  <c r="P535" i="6"/>
  <c r="P534" i="6"/>
  <c r="P533" i="6"/>
  <c r="P532" i="6"/>
  <c r="P531" i="6"/>
  <c r="P530" i="6"/>
  <c r="P529" i="6"/>
  <c r="P528" i="6"/>
  <c r="P527" i="6"/>
  <c r="P526" i="6"/>
  <c r="P525" i="6"/>
  <c r="P524" i="6"/>
  <c r="P523" i="6"/>
  <c r="P522" i="6"/>
  <c r="P521" i="6"/>
  <c r="P520" i="6"/>
  <c r="P519" i="6"/>
  <c r="P518" i="6"/>
  <c r="P517" i="6"/>
  <c r="P516" i="6"/>
  <c r="P515" i="6"/>
  <c r="P514" i="6"/>
  <c r="P513" i="6"/>
  <c r="P512" i="6"/>
  <c r="P511" i="6"/>
  <c r="P510" i="6"/>
  <c r="P509" i="6"/>
  <c r="P508" i="6"/>
  <c r="P507" i="6"/>
  <c r="P506" i="6"/>
  <c r="P505" i="6"/>
  <c r="P504" i="6"/>
  <c r="P503" i="6"/>
  <c r="P502" i="6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J2005" i="6"/>
  <c r="J2004" i="6"/>
  <c r="J2003" i="6"/>
  <c r="J2002" i="6"/>
  <c r="J2001" i="6"/>
  <c r="J2000" i="6"/>
  <c r="J1999" i="6"/>
  <c r="J1998" i="6"/>
  <c r="J1997" i="6"/>
  <c r="J1996" i="6"/>
  <c r="J1995" i="6"/>
  <c r="J1994" i="6"/>
  <c r="J1993" i="6"/>
  <c r="J1992" i="6"/>
  <c r="J1991" i="6"/>
  <c r="J1990" i="6"/>
  <c r="J1989" i="6"/>
  <c r="J1988" i="6"/>
  <c r="J1987" i="6"/>
  <c r="J1986" i="6"/>
  <c r="J1985" i="6"/>
  <c r="J1984" i="6"/>
  <c r="J1983" i="6"/>
  <c r="J1982" i="6"/>
  <c r="J1981" i="6"/>
  <c r="J1980" i="6"/>
  <c r="J1979" i="6"/>
  <c r="J1978" i="6"/>
  <c r="J1977" i="6"/>
  <c r="J1976" i="6"/>
  <c r="J1975" i="6"/>
  <c r="J1974" i="6"/>
  <c r="J1973" i="6"/>
  <c r="J1972" i="6"/>
  <c r="J1971" i="6"/>
  <c r="J1970" i="6"/>
  <c r="J1969" i="6"/>
  <c r="J1968" i="6"/>
  <c r="J1967" i="6"/>
  <c r="J1966" i="6"/>
  <c r="J1965" i="6"/>
  <c r="J1964" i="6"/>
  <c r="J1963" i="6"/>
  <c r="J1962" i="6"/>
  <c r="J1961" i="6"/>
  <c r="J1960" i="6"/>
  <c r="J1959" i="6"/>
  <c r="J1958" i="6"/>
  <c r="J1957" i="6"/>
  <c r="J1956" i="6"/>
  <c r="J1955" i="6"/>
  <c r="J1954" i="6"/>
  <c r="J1953" i="6"/>
  <c r="J1952" i="6"/>
  <c r="J1951" i="6"/>
  <c r="J1950" i="6"/>
  <c r="J1949" i="6"/>
  <c r="J1948" i="6"/>
  <c r="J1947" i="6"/>
  <c r="J1946" i="6"/>
  <c r="J1945" i="6"/>
  <c r="J1944" i="6"/>
  <c r="J1943" i="6"/>
  <c r="J1942" i="6"/>
  <c r="J1941" i="6"/>
  <c r="J1940" i="6"/>
  <c r="J1939" i="6"/>
  <c r="J1938" i="6"/>
  <c r="J1937" i="6"/>
  <c r="J1936" i="6"/>
  <c r="J1935" i="6"/>
  <c r="J1934" i="6"/>
  <c r="J1933" i="6"/>
  <c r="J1932" i="6"/>
  <c r="J1931" i="6"/>
  <c r="J1930" i="6"/>
  <c r="J1929" i="6"/>
  <c r="J1928" i="6"/>
  <c r="J1927" i="6"/>
  <c r="J1926" i="6"/>
  <c r="J1925" i="6"/>
  <c r="J1924" i="6"/>
  <c r="J1923" i="6"/>
  <c r="J1922" i="6"/>
  <c r="J1921" i="6"/>
  <c r="J1920" i="6"/>
  <c r="J1919" i="6"/>
  <c r="J1918" i="6"/>
  <c r="J1917" i="6"/>
  <c r="J1916" i="6"/>
  <c r="J1915" i="6"/>
  <c r="J1914" i="6"/>
  <c r="J1913" i="6"/>
  <c r="J1912" i="6"/>
  <c r="J1911" i="6"/>
  <c r="J1910" i="6"/>
  <c r="J1909" i="6"/>
  <c r="J1908" i="6"/>
  <c r="J1907" i="6"/>
  <c r="J1906" i="6"/>
  <c r="J1905" i="6"/>
  <c r="J1904" i="6"/>
  <c r="J1903" i="6"/>
  <c r="J1902" i="6"/>
  <c r="J1901" i="6"/>
  <c r="J1900" i="6"/>
  <c r="J1899" i="6"/>
  <c r="J1898" i="6"/>
  <c r="J1897" i="6"/>
  <c r="J1896" i="6"/>
  <c r="J1895" i="6"/>
  <c r="J1894" i="6"/>
  <c r="J1893" i="6"/>
  <c r="J1892" i="6"/>
  <c r="J1891" i="6"/>
  <c r="J1890" i="6"/>
  <c r="J1889" i="6"/>
  <c r="J1888" i="6"/>
  <c r="J1887" i="6"/>
  <c r="J1886" i="6"/>
  <c r="J1885" i="6"/>
  <c r="J1884" i="6"/>
  <c r="J1883" i="6"/>
  <c r="J1882" i="6"/>
  <c r="J1881" i="6"/>
  <c r="J1880" i="6"/>
  <c r="J1879" i="6"/>
  <c r="J1878" i="6"/>
  <c r="J1877" i="6"/>
  <c r="J1876" i="6"/>
  <c r="J1875" i="6"/>
  <c r="J1874" i="6"/>
  <c r="J1873" i="6"/>
  <c r="J1872" i="6"/>
  <c r="J1871" i="6"/>
  <c r="J1870" i="6"/>
  <c r="J1869" i="6"/>
  <c r="J1868" i="6"/>
  <c r="J1867" i="6"/>
  <c r="J1866" i="6"/>
  <c r="J1865" i="6"/>
  <c r="J1864" i="6"/>
  <c r="J1863" i="6"/>
  <c r="J1862" i="6"/>
  <c r="J1861" i="6"/>
  <c r="J1860" i="6"/>
  <c r="J1859" i="6"/>
  <c r="J1858" i="6"/>
  <c r="J1857" i="6"/>
  <c r="J1856" i="6"/>
  <c r="J1855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841" i="6"/>
  <c r="J1840" i="6"/>
  <c r="J1839" i="6"/>
  <c r="J1838" i="6"/>
  <c r="J1837" i="6"/>
  <c r="J1836" i="6"/>
  <c r="J1835" i="6"/>
  <c r="J1834" i="6"/>
  <c r="J1833" i="6"/>
  <c r="J1832" i="6"/>
  <c r="J1831" i="6"/>
  <c r="J1830" i="6"/>
  <c r="J1829" i="6"/>
  <c r="J1828" i="6"/>
  <c r="J1827" i="6"/>
  <c r="J1826" i="6"/>
  <c r="J1825" i="6"/>
  <c r="J1824" i="6"/>
  <c r="J1823" i="6"/>
  <c r="J1822" i="6"/>
  <c r="J1821" i="6"/>
  <c r="J1820" i="6"/>
  <c r="J1819" i="6"/>
  <c r="J1818" i="6"/>
  <c r="J1817" i="6"/>
  <c r="J1816" i="6"/>
  <c r="J1815" i="6"/>
  <c r="J1814" i="6"/>
  <c r="J1813" i="6"/>
  <c r="J1812" i="6"/>
  <c r="J1811" i="6"/>
  <c r="J1810" i="6"/>
  <c r="J1809" i="6"/>
  <c r="J1808" i="6"/>
  <c r="J1807" i="6"/>
  <c r="J1806" i="6"/>
  <c r="J1805" i="6"/>
  <c r="J1804" i="6"/>
  <c r="J1803" i="6"/>
  <c r="J1802" i="6"/>
  <c r="J1801" i="6"/>
  <c r="J1800" i="6"/>
  <c r="J1799" i="6"/>
  <c r="J1798" i="6"/>
  <c r="J1797" i="6"/>
  <c r="J1796" i="6"/>
  <c r="J1795" i="6"/>
  <c r="J1794" i="6"/>
  <c r="J1793" i="6"/>
  <c r="J1792" i="6"/>
  <c r="J1791" i="6"/>
  <c r="J1790" i="6"/>
  <c r="J1789" i="6"/>
  <c r="J1788" i="6"/>
  <c r="J1787" i="6"/>
  <c r="J1786" i="6"/>
  <c r="J1785" i="6"/>
  <c r="J1784" i="6"/>
  <c r="J1783" i="6"/>
  <c r="J1782" i="6"/>
  <c r="J1781" i="6"/>
  <c r="J1780" i="6"/>
  <c r="J1779" i="6"/>
  <c r="J1778" i="6"/>
  <c r="J1777" i="6"/>
  <c r="J1776" i="6"/>
  <c r="J1775" i="6"/>
  <c r="J1774" i="6"/>
  <c r="J1773" i="6"/>
  <c r="J1772" i="6"/>
  <c r="J1771" i="6"/>
  <c r="J1770" i="6"/>
  <c r="J1769" i="6"/>
  <c r="J1768" i="6"/>
  <c r="J1767" i="6"/>
  <c r="J1766" i="6"/>
  <c r="J1765" i="6"/>
  <c r="J1764" i="6"/>
  <c r="J1763" i="6"/>
  <c r="J1762" i="6"/>
  <c r="J1761" i="6"/>
  <c r="J1760" i="6"/>
  <c r="J1759" i="6"/>
  <c r="J1758" i="6"/>
  <c r="J1757" i="6"/>
  <c r="J1756" i="6"/>
  <c r="J1755" i="6"/>
  <c r="J1754" i="6"/>
  <c r="J1753" i="6"/>
  <c r="J1752" i="6"/>
  <c r="J1751" i="6"/>
  <c r="J1750" i="6"/>
  <c r="J1749" i="6"/>
  <c r="J1748" i="6"/>
  <c r="J1747" i="6"/>
  <c r="J1746" i="6"/>
  <c r="J1745" i="6"/>
  <c r="J1744" i="6"/>
  <c r="J1743" i="6"/>
  <c r="J1742" i="6"/>
  <c r="J1741" i="6"/>
  <c r="J1740" i="6"/>
  <c r="J1739" i="6"/>
  <c r="J1738" i="6"/>
  <c r="J1737" i="6"/>
  <c r="J1736" i="6"/>
  <c r="J1735" i="6"/>
  <c r="J1734" i="6"/>
  <c r="J1733" i="6"/>
  <c r="J1732" i="6"/>
  <c r="J1731" i="6"/>
  <c r="J1730" i="6"/>
  <c r="J1729" i="6"/>
  <c r="J1728" i="6"/>
  <c r="J1727" i="6"/>
  <c r="J1726" i="6"/>
  <c r="J1725" i="6"/>
  <c r="J1724" i="6"/>
  <c r="J1723" i="6"/>
  <c r="J1722" i="6"/>
  <c r="J1721" i="6"/>
  <c r="J1720" i="6"/>
  <c r="J1719" i="6"/>
  <c r="J1718" i="6"/>
  <c r="J1717" i="6"/>
  <c r="J1716" i="6"/>
  <c r="J1715" i="6"/>
  <c r="J1714" i="6"/>
  <c r="J1713" i="6"/>
  <c r="J1712" i="6"/>
  <c r="J1711" i="6"/>
  <c r="J1710" i="6"/>
  <c r="J1709" i="6"/>
  <c r="J1708" i="6"/>
  <c r="J1707" i="6"/>
  <c r="J1706" i="6"/>
  <c r="J1705" i="6"/>
  <c r="J1704" i="6"/>
  <c r="J1703" i="6"/>
  <c r="J1702" i="6"/>
  <c r="J1701" i="6"/>
  <c r="J1700" i="6"/>
  <c r="J1699" i="6"/>
  <c r="J1698" i="6"/>
  <c r="J1697" i="6"/>
  <c r="J1696" i="6"/>
  <c r="J1695" i="6"/>
  <c r="J1694" i="6"/>
  <c r="J1693" i="6"/>
  <c r="J1692" i="6"/>
  <c r="J1691" i="6"/>
  <c r="J1690" i="6"/>
  <c r="J1689" i="6"/>
  <c r="J1688" i="6"/>
  <c r="J1687" i="6"/>
  <c r="J1686" i="6"/>
  <c r="J1685" i="6"/>
  <c r="J1684" i="6"/>
  <c r="J1683" i="6"/>
  <c r="J1682" i="6"/>
  <c r="J1681" i="6"/>
  <c r="J1680" i="6"/>
  <c r="J1679" i="6"/>
  <c r="J1678" i="6"/>
  <c r="J1677" i="6"/>
  <c r="J1676" i="6"/>
  <c r="J1675" i="6"/>
  <c r="J1674" i="6"/>
  <c r="J1673" i="6"/>
  <c r="J1672" i="6"/>
  <c r="J1671" i="6"/>
  <c r="J1670" i="6"/>
  <c r="J1669" i="6"/>
  <c r="J1668" i="6"/>
  <c r="J1667" i="6"/>
  <c r="J1666" i="6"/>
  <c r="J1665" i="6"/>
  <c r="J1664" i="6"/>
  <c r="J1663" i="6"/>
  <c r="J1662" i="6"/>
  <c r="J1661" i="6"/>
  <c r="J1660" i="6"/>
  <c r="J1659" i="6"/>
  <c r="J1658" i="6"/>
  <c r="J1657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641" i="6"/>
  <c r="J1640" i="6"/>
  <c r="J1639" i="6"/>
  <c r="J1638" i="6"/>
  <c r="J1637" i="6"/>
  <c r="J1636" i="6"/>
  <c r="J1635" i="6"/>
  <c r="J1634" i="6"/>
  <c r="J1633" i="6"/>
  <c r="J1632" i="6"/>
  <c r="J1631" i="6"/>
  <c r="J1630" i="6"/>
  <c r="J1629" i="6"/>
  <c r="J1628" i="6"/>
  <c r="J1627" i="6"/>
  <c r="J1626" i="6"/>
  <c r="J1625" i="6"/>
  <c r="J1624" i="6"/>
  <c r="J1623" i="6"/>
  <c r="J1622" i="6"/>
  <c r="J1621" i="6"/>
  <c r="J1620" i="6"/>
  <c r="J1619" i="6"/>
  <c r="J1618" i="6"/>
  <c r="J1617" i="6"/>
  <c r="J1616" i="6"/>
  <c r="J1615" i="6"/>
  <c r="J1614" i="6"/>
  <c r="J1613" i="6"/>
  <c r="J1612" i="6"/>
  <c r="J1611" i="6"/>
  <c r="J1610" i="6"/>
  <c r="J1609" i="6"/>
  <c r="J1608" i="6"/>
  <c r="J1607" i="6"/>
  <c r="J1606" i="6"/>
  <c r="J1605" i="6"/>
  <c r="J1604" i="6"/>
  <c r="J1603" i="6"/>
  <c r="J1602" i="6"/>
  <c r="J1601" i="6"/>
  <c r="J1600" i="6"/>
  <c r="J1599" i="6"/>
  <c r="J1598" i="6"/>
  <c r="J1597" i="6"/>
  <c r="J1596" i="6"/>
  <c r="J1595" i="6"/>
  <c r="J1594" i="6"/>
  <c r="J1593" i="6"/>
  <c r="J1592" i="6"/>
  <c r="J1591" i="6"/>
  <c r="J1590" i="6"/>
  <c r="J1589" i="6"/>
  <c r="J1588" i="6"/>
  <c r="J1587" i="6"/>
  <c r="J1586" i="6"/>
  <c r="J1585" i="6"/>
  <c r="J1584" i="6"/>
  <c r="J1583" i="6"/>
  <c r="J1582" i="6"/>
  <c r="J1581" i="6"/>
  <c r="J1580" i="6"/>
  <c r="J1579" i="6"/>
  <c r="J1578" i="6"/>
  <c r="J1577" i="6"/>
  <c r="J1576" i="6"/>
  <c r="J1575" i="6"/>
  <c r="J1574" i="6"/>
  <c r="J1573" i="6"/>
  <c r="J1572" i="6"/>
  <c r="J1571" i="6"/>
  <c r="J1570" i="6"/>
  <c r="J1569" i="6"/>
  <c r="J1568" i="6"/>
  <c r="J1567" i="6"/>
  <c r="J1566" i="6"/>
  <c r="J1565" i="6"/>
  <c r="J1564" i="6"/>
  <c r="J1563" i="6"/>
  <c r="J1562" i="6"/>
  <c r="J1561" i="6"/>
  <c r="J1560" i="6"/>
  <c r="J1559" i="6"/>
  <c r="J1558" i="6"/>
  <c r="J1557" i="6"/>
  <c r="J1556" i="6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9" i="4"/>
  <c r="AL8" i="4"/>
  <c r="AL7" i="4"/>
  <c r="AL6" i="4"/>
  <c r="AL5" i="4"/>
  <c r="AL4" i="4"/>
  <c r="AL3" i="4"/>
  <c r="AL2" i="4"/>
  <c r="AI41" i="4"/>
  <c r="AI40" i="4"/>
  <c r="AI39" i="4"/>
  <c r="AI38" i="4"/>
  <c r="AI37" i="4"/>
  <c r="AI36" i="4"/>
  <c r="AI35" i="4"/>
  <c r="AI34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AI3" i="4"/>
  <c r="AI2" i="4"/>
  <c r="X41" i="4"/>
  <c r="X40" i="4"/>
  <c r="X39" i="4"/>
  <c r="X38" i="4"/>
  <c r="X37" i="4"/>
  <c r="X36" i="4"/>
  <c r="AN36" i="4" s="1"/>
  <c r="X35" i="4"/>
  <c r="AN35" i="4" s="1"/>
  <c r="X34" i="4"/>
  <c r="AN34" i="4" s="1"/>
  <c r="X33" i="4"/>
  <c r="X32" i="4"/>
  <c r="X31" i="4"/>
  <c r="X30" i="4"/>
  <c r="X29" i="4"/>
  <c r="X28" i="4"/>
  <c r="AN28" i="4" s="1"/>
  <c r="X27" i="4"/>
  <c r="AN27" i="4" s="1"/>
  <c r="X26" i="4"/>
  <c r="AN26" i="4" s="1"/>
  <c r="X25" i="4"/>
  <c r="X24" i="4"/>
  <c r="X23" i="4"/>
  <c r="X22" i="4"/>
  <c r="X21" i="4"/>
  <c r="X20" i="4"/>
  <c r="AN20" i="4" s="1"/>
  <c r="X19" i="4"/>
  <c r="AN19" i="4" s="1"/>
  <c r="X18" i="4"/>
  <c r="AN18" i="4" s="1"/>
  <c r="X17" i="4"/>
  <c r="X16" i="4"/>
  <c r="X15" i="4"/>
  <c r="X14" i="4"/>
  <c r="X13" i="4"/>
  <c r="X12" i="4"/>
  <c r="AN12" i="4" s="1"/>
  <c r="X11" i="4"/>
  <c r="AN11" i="4" s="1"/>
  <c r="X10" i="4"/>
  <c r="AN10" i="4" s="1"/>
  <c r="X9" i="4"/>
  <c r="X8" i="4"/>
  <c r="X7" i="4"/>
  <c r="X6" i="4"/>
  <c r="X5" i="4"/>
  <c r="X4" i="4"/>
  <c r="AN4" i="4" s="1"/>
  <c r="X3" i="4"/>
  <c r="AN3" i="4" s="1"/>
  <c r="U42" i="4"/>
  <c r="S42" i="4"/>
  <c r="Q42" i="4"/>
  <c r="X2" i="4" s="1"/>
  <c r="AN2" i="4" s="1"/>
  <c r="O42" i="4"/>
  <c r="AN41" i="4"/>
  <c r="AN40" i="4"/>
  <c r="AN39" i="4"/>
  <c r="AN38" i="4"/>
  <c r="AN37" i="4"/>
  <c r="AN33" i="4"/>
  <c r="AN32" i="4"/>
  <c r="AN31" i="4"/>
  <c r="AN30" i="4"/>
  <c r="AN29" i="4"/>
  <c r="AN25" i="4"/>
  <c r="AN24" i="4"/>
  <c r="AN23" i="4"/>
  <c r="AN22" i="4"/>
  <c r="AN21" i="4"/>
  <c r="AN17" i="4"/>
  <c r="AN16" i="4"/>
  <c r="AN15" i="4"/>
  <c r="AN14" i="4"/>
  <c r="AN13" i="4"/>
  <c r="AN9" i="4"/>
  <c r="AN8" i="4"/>
  <c r="AN7" i="4"/>
  <c r="AN6" i="4"/>
  <c r="AN5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W11" i="4"/>
  <c r="V11" i="4"/>
  <c r="V10" i="4"/>
  <c r="V9" i="4"/>
  <c r="V8" i="4"/>
  <c r="V7" i="4"/>
  <c r="V6" i="4"/>
  <c r="V5" i="4"/>
  <c r="V4" i="4"/>
  <c r="V3" i="4"/>
  <c r="V2" i="4"/>
  <c r="T2" i="4"/>
  <c r="T3" i="4" s="1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R2" i="4"/>
  <c r="R3" i="4" s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W21" i="4" s="1"/>
  <c r="B7" i="2"/>
  <c r="B6" i="2"/>
  <c r="B5" i="2"/>
  <c r="B4" i="2"/>
  <c r="W6" i="4" l="1"/>
  <c r="R22" i="4"/>
  <c r="W3" i="4"/>
  <c r="W19" i="4"/>
  <c r="W14" i="4"/>
  <c r="W7" i="4"/>
  <c r="W10" i="4"/>
  <c r="W5" i="4"/>
  <c r="W13" i="4"/>
  <c r="W9" i="4"/>
  <c r="W17" i="4"/>
  <c r="W4" i="4"/>
  <c r="W12" i="4"/>
  <c r="W20" i="4"/>
  <c r="W15" i="4"/>
  <c r="W2" i="4"/>
  <c r="W18" i="4"/>
  <c r="W8" i="4"/>
  <c r="W16" i="4"/>
  <c r="H11" i="2"/>
  <c r="H5" i="2" s="1"/>
  <c r="R23" i="4" l="1"/>
  <c r="W22" i="4"/>
  <c r="G5" i="2"/>
  <c r="G6" i="2"/>
  <c r="H6" i="2"/>
  <c r="M11" i="2" s="1"/>
  <c r="B9" i="2" s="1"/>
  <c r="B11" i="2" s="1"/>
  <c r="M10" i="2"/>
  <c r="B8" i="2" s="1"/>
  <c r="R24" i="4" l="1"/>
  <c r="W23" i="4"/>
  <c r="B12" i="2"/>
  <c r="B13" i="2"/>
  <c r="M12" i="2"/>
  <c r="M13" i="2"/>
  <c r="B3" i="2"/>
  <c r="R25" i="4" l="1"/>
  <c r="W24" i="4"/>
  <c r="I6" i="2"/>
  <c r="I5" i="2"/>
  <c r="H7" i="2"/>
  <c r="G7" i="2"/>
  <c r="B10" i="2" s="1"/>
  <c r="R26" i="4" l="1"/>
  <c r="W25" i="4"/>
  <c r="I8" i="2"/>
  <c r="I7" i="2"/>
  <c r="R27" i="4" l="1"/>
  <c r="W26" i="4"/>
  <c r="R28" i="4" l="1"/>
  <c r="W27" i="4"/>
  <c r="R29" i="4" l="1"/>
  <c r="W28" i="4"/>
  <c r="R30" i="4" l="1"/>
  <c r="W29" i="4"/>
  <c r="R31" i="4" l="1"/>
  <c r="W30" i="4"/>
  <c r="R32" i="4" l="1"/>
  <c r="W31" i="4"/>
  <c r="R33" i="4" l="1"/>
  <c r="W32" i="4"/>
  <c r="R34" i="4" l="1"/>
  <c r="W33" i="4"/>
  <c r="R35" i="4" l="1"/>
  <c r="W34" i="4"/>
  <c r="R36" i="4" l="1"/>
  <c r="W35" i="4"/>
  <c r="R37" i="4" l="1"/>
  <c r="W36" i="4"/>
  <c r="R38" i="4" l="1"/>
  <c r="W37" i="4"/>
  <c r="R39" i="4" l="1"/>
  <c r="W38" i="4"/>
  <c r="R40" i="4" l="1"/>
  <c r="W39" i="4"/>
  <c r="R41" i="4" l="1"/>
  <c r="W41" i="4" s="1"/>
  <c r="W40" i="4"/>
</calcChain>
</file>

<file path=xl/sharedStrings.xml><?xml version="1.0" encoding="utf-8"?>
<sst xmlns="http://schemas.openxmlformats.org/spreadsheetml/2006/main" count="20259" uniqueCount="129">
  <si>
    <t>Observation Number</t>
  </si>
  <si>
    <t>ID</t>
  </si>
  <si>
    <t>Age</t>
  </si>
  <si>
    <t>Experience</t>
  </si>
  <si>
    <t>Income</t>
  </si>
  <si>
    <t>Family</t>
  </si>
  <si>
    <t>CCAvg</t>
  </si>
  <si>
    <t>Education</t>
  </si>
  <si>
    <t>Mortgage</t>
  </si>
  <si>
    <t>Online</t>
  </si>
  <si>
    <t>CreditCard</t>
  </si>
  <si>
    <t>ZIP Code</t>
  </si>
  <si>
    <t>Personal Loan</t>
  </si>
  <si>
    <t>Securities Account</t>
  </si>
  <si>
    <t>CD Account</t>
  </si>
  <si>
    <t>Warnings</t>
  </si>
  <si>
    <t>Grouped Levels for  Education</t>
  </si>
  <si>
    <t>From: Personal_Loan</t>
  </si>
  <si>
    <t>Into: Personal_Loan</t>
  </si>
  <si>
    <t>Node</t>
  </si>
  <si>
    <t>Predicted: Personal_Loan=0</t>
  </si>
  <si>
    <t>Predicted: Personal_Loan=1</t>
  </si>
  <si>
    <t>Unadjusted P: Personal_Loan=0</t>
  </si>
  <si>
    <t>Unadjusted P: Personal_Loan=1</t>
  </si>
  <si>
    <t>Validated: Personal_Loan=0</t>
  </si>
  <si>
    <t>Validated: Personal_Loan=1</t>
  </si>
  <si>
    <t>Residual: Personal_Loan=0</t>
  </si>
  <si>
    <t>Residual: Personal_Loan=1</t>
  </si>
  <si>
    <t>Unnormalized Into: Personal_Loan</t>
  </si>
  <si>
    <t>Define and calculate yellow-shaded fields.</t>
  </si>
  <si>
    <t>Calculate</t>
  </si>
  <si>
    <t>Classification Table</t>
  </si>
  <si>
    <t>PREDICTED</t>
  </si>
  <si>
    <t>ACTUAL</t>
  </si>
  <si>
    <t>total</t>
  </si>
  <si>
    <t>sensitivity/support</t>
  </si>
  <si>
    <t>Positive(1)</t>
  </si>
  <si>
    <t>Negative(0)</t>
  </si>
  <si>
    <t>Sensitivity</t>
  </si>
  <si>
    <t>TP/(TP+FN)</t>
  </si>
  <si>
    <t>Specificity</t>
  </si>
  <si>
    <t>TN/(FP+TN)</t>
  </si>
  <si>
    <t>Accuracy</t>
  </si>
  <si>
    <t>(TP+TN)/ (TP+TN+FP+FN)</t>
  </si>
  <si>
    <t>Precision</t>
  </si>
  <si>
    <t>TP/(TP+FP)</t>
  </si>
  <si>
    <t>Personal loan</t>
  </si>
  <si>
    <t>No personal loan</t>
  </si>
  <si>
    <t>No of data points in validation set</t>
  </si>
  <si>
    <t>Top 5% (approx.)</t>
  </si>
  <si>
    <t>Misclassification Rate</t>
  </si>
  <si>
    <t>False Positive Rate</t>
  </si>
  <si>
    <t>False Negative Rate</t>
  </si>
  <si>
    <t>True Positive Rate</t>
  </si>
  <si>
    <t>True Negative Rate</t>
  </si>
  <si>
    <t>Gain</t>
  </si>
  <si>
    <t xml:space="preserve">Lift </t>
  </si>
  <si>
    <t>ROC coordinates – y-axis</t>
  </si>
  <si>
    <t>ROC coordinates – x-axis</t>
  </si>
  <si>
    <t>ACTUAL RATE AMONG PREDICTED</t>
  </si>
  <si>
    <t>Event</t>
  </si>
  <si>
    <t>(out of 100)</t>
  </si>
  <si>
    <t>FN</t>
  </si>
  <si>
    <t>TN</t>
  </si>
  <si>
    <t>FP</t>
  </si>
  <si>
    <t>TP</t>
  </si>
  <si>
    <t>Target Variable</t>
  </si>
  <si>
    <t>Target Label</t>
  </si>
  <si>
    <t>Data Role</t>
  </si>
  <si>
    <t>Cumulative % Response</t>
  </si>
  <si>
    <t>% Captured Response</t>
  </si>
  <si>
    <t>Cumulative % Captured Response</t>
  </si>
  <si>
    <t>Baseline % Response</t>
  </si>
  <si>
    <t>Baseline Cumulative % Response</t>
  </si>
  <si>
    <t>Baseline % Captured Response</t>
  </si>
  <si>
    <t>Baseline Cumulative % Captured Response</t>
  </si>
  <si>
    <t>Depth</t>
  </si>
  <si>
    <t>Min Posterior Probability</t>
  </si>
  <si>
    <t>Max Posterior Probability</t>
  </si>
  <si>
    <t>Number of Observations</t>
  </si>
  <si>
    <t>Mean Posterior Probability</t>
  </si>
  <si>
    <t>Number of Events</t>
  </si>
  <si>
    <t>Number of Nonevents</t>
  </si>
  <si>
    <t>Baseline Number of Events</t>
  </si>
  <si>
    <t>Best Number of Events</t>
  </si>
  <si>
    <t>Best Cumulative % Captured Response</t>
  </si>
  <si>
    <t>Best % Captured Response</t>
  </si>
  <si>
    <t>Best Lift</t>
  </si>
  <si>
    <t>Best Cumulative Lift</t>
  </si>
  <si>
    <t>Best % Response</t>
  </si>
  <si>
    <t>% Response</t>
  </si>
  <si>
    <t>Best Cumulative % Response</t>
  </si>
  <si>
    <t>Best Gain</t>
  </si>
  <si>
    <t>Baseline Gain</t>
  </si>
  <si>
    <t>Lift</t>
  </si>
  <si>
    <t>Cumulative Lift</t>
  </si>
  <si>
    <t>Baseline Lift</t>
  </si>
  <si>
    <t>Baseline Cumulative Lift</t>
  </si>
  <si>
    <t>Bin</t>
  </si>
  <si>
    <t>Personal_Loan</t>
  </si>
  <si>
    <t>TRAIN</t>
  </si>
  <si>
    <t>VALIDATE</t>
  </si>
  <si>
    <t>Cum_Number of Events_calc</t>
  </si>
  <si>
    <t>Cum_Number of Nonevents_calc</t>
  </si>
  <si>
    <t>% Response = % Prob of Event in the Semidecile</t>
  </si>
  <si>
    <t>Cum % Response = Cum % Prob of Event up to the Semidecile</t>
  </si>
  <si>
    <t>Overall Probability of Event %</t>
  </si>
  <si>
    <t>Gain= Cum Lift-1</t>
  </si>
  <si>
    <t>Lift_calc</t>
  </si>
  <si>
    <t>Cumulative Lift_calc</t>
  </si>
  <si>
    <t>Predecessor Node</t>
  </si>
  <si>
    <t>Model Node</t>
  </si>
  <si>
    <t>Model Description</t>
  </si>
  <si>
    <t>True Positive Count</t>
  </si>
  <si>
    <t>True Negative Count</t>
  </si>
  <si>
    <t>False Positive Count</t>
  </si>
  <si>
    <t>1 - Specificity</t>
  </si>
  <si>
    <t>False Negative Count</t>
  </si>
  <si>
    <t>First in Group</t>
  </si>
  <si>
    <t>Last in Group</t>
  </si>
  <si>
    <t>Lower Bound Probability</t>
  </si>
  <si>
    <t>Upper Bound Probability</t>
  </si>
  <si>
    <t>Tree</t>
  </si>
  <si>
    <t>DTI</t>
  </si>
  <si>
    <t>NaN</t>
  </si>
  <si>
    <t>Sensitivity calc</t>
  </si>
  <si>
    <t>Specificity calc</t>
  </si>
  <si>
    <t>1 - Specificity calc</t>
  </si>
  <si>
    <t>Missclassification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</si>
</sst>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9" fillId="0" borderId="0" xfId="0" applyFont="1" applyAlignment="1">
      <alignment vertical="center"/>
    </xf>
    <xf numFmtId="164" fontId="0" fillId="33" borderId="10" xfId="0" applyNumberFormat="1" applyFill="1" applyBorder="1"/>
    <xf numFmtId="164" fontId="0" fillId="33" borderId="11" xfId="0" applyNumberForma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0" fillId="0" borderId="10" xfId="0" applyBorder="1"/>
    <xf numFmtId="0" fontId="20" fillId="0" borderId="0" xfId="0" applyFont="1" applyAlignment="1">
      <alignment horizontal="left" vertical="center" indent="4"/>
    </xf>
    <xf numFmtId="0" fontId="0" fillId="0" borderId="0" xfId="0" quotePrefix="1"/>
    <xf numFmtId="0" fontId="0" fillId="0" borderId="0" xfId="0" applyAlignment="1">
      <alignment horizontal="center"/>
    </xf>
    <xf numFmtId="0" fontId="16" fillId="0" borderId="0" xfId="0" applyFont="1"/>
    <xf numFmtId="165" fontId="0" fillId="34" borderId="0" xfId="0" applyNumberFormat="1" applyFill="1"/>
    <xf numFmtId="2" fontId="19" fillId="33" borderId="12" xfId="0" applyNumberFormat="1" applyFont="1" applyFill="1" applyBorder="1" applyAlignment="1">
      <alignment horizontal="right" vertical="center"/>
    </xf>
    <xf numFmtId="2" fontId="0" fillId="33" borderId="0" xfId="0" applyNumberFormat="1" applyFill="1"/>
    <xf numFmtId="0" fontId="0" fillId="35" borderId="0" xfId="0" applyFill="1"/>
    <xf numFmtId="0" fontId="19" fillId="0" borderId="0" xfId="0" applyFont="1" applyAlignment="1">
      <alignment vertical="center"/>
    </xf>
    <xf numFmtId="11" fontId="0" fillId="0" borderId="0" xfId="0" applyNumberFormat="1"/>
    <xf numFmtId="0" fontId="0" fillId="33" borderId="0" xfId="0" applyFill="1" applyAlignment="1">
      <alignment wrapText="1"/>
    </xf>
    <xf numFmtId="165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2" fontId="14" fillId="0" borderId="0" xfId="0" applyNumberFormat="1" applyFont="1"/>
    <xf numFmtId="165" fontId="14" fillId="0" borderId="0" xfId="0" applyNumberFormat="1" applyFont="1"/>
    <xf numFmtId="2" fontId="21" fillId="0" borderId="0" xfId="0" applyNumberFormat="1" applyFont="1"/>
    <xf numFmtId="0" fontId="0" fillId="36" borderId="0" xfId="0" applyFill="1" applyAlignment="1">
      <alignment wrapText="1"/>
    </xf>
    <xf numFmtId="0" fontId="0" fillId="36" borderId="0" xfId="0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lift!$AN$1</c:f>
              <c:strCache>
                <c:ptCount val="1"/>
                <c:pt idx="0">
                  <c:v>Cumulative Lift_calc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lift!$AN$2:$AN$42</c:f>
              <c:numCache>
                <c:formatCode>0.00</c:formatCode>
                <c:ptCount val="41"/>
                <c:pt idx="0">
                  <c:v>10.416666666666668</c:v>
                </c:pt>
                <c:pt idx="1">
                  <c:v>9.4122965641952998</c:v>
                </c:pt>
                <c:pt idx="2">
                  <c:v>6.5997823860727163</c:v>
                </c:pt>
                <c:pt idx="3">
                  <c:v>4.9851190476190563</c:v>
                </c:pt>
                <c:pt idx="4">
                  <c:v>3.9880952380952435</c:v>
                </c:pt>
                <c:pt idx="5">
                  <c:v>3.3234126984127021</c:v>
                </c:pt>
                <c:pt idx="6">
                  <c:v>2.8486394557823158</c:v>
                </c:pt>
                <c:pt idx="7">
                  <c:v>2.4925595238095259</c:v>
                </c:pt>
                <c:pt idx="8">
                  <c:v>2.2156084656084674</c:v>
                </c:pt>
                <c:pt idx="9">
                  <c:v>1.995187726319803</c:v>
                </c:pt>
                <c:pt idx="10">
                  <c:v>1.8137127512127524</c:v>
                </c:pt>
                <c:pt idx="11">
                  <c:v>1.6624980149277442</c:v>
                </c:pt>
                <c:pt idx="12">
                  <c:v>1.5345573145705078</c:v>
                </c:pt>
                <c:pt idx="13">
                  <c:v>1.4249013202667762</c:v>
                </c:pt>
                <c:pt idx="14">
                  <c:v>1.329871697154472</c:v>
                </c:pt>
                <c:pt idx="15">
                  <c:v>1.246725020840777</c:v>
                </c:pt>
                <c:pt idx="16">
                  <c:v>1.1733635956063668</c:v>
                </c:pt>
                <c:pt idx="17">
                  <c:v>1.1081560283687948</c:v>
                </c:pt>
                <c:pt idx="18">
                  <c:v>1.0498144805455278</c:v>
                </c:pt>
                <c:pt idx="19">
                  <c:v>0.99759386315990128</c:v>
                </c:pt>
                <c:pt idx="20">
                  <c:v>1.1978875209848914</c:v>
                </c:pt>
                <c:pt idx="21">
                  <c:v>1.3338790247748729</c:v>
                </c:pt>
                <c:pt idx="22">
                  <c:v>1.3355375044754747</c:v>
                </c:pt>
                <c:pt idx="23">
                  <c:v>1.3161358252171627</c:v>
                </c:pt>
                <c:pt idx="24">
                  <c:v>1.2906556530717608</c:v>
                </c:pt>
                <c:pt idx="25">
                  <c:v>1.2661433274246647</c:v>
                </c:pt>
                <c:pt idx="26">
                  <c:v>1.2425447316103384</c:v>
                </c:pt>
                <c:pt idx="27">
                  <c:v>1.2198097096852896</c:v>
                </c:pt>
                <c:pt idx="28">
                  <c:v>1.1978917105893632</c:v>
                </c:pt>
                <c:pt idx="29">
                  <c:v>1.1767474699929401</c:v>
                </c:pt>
                <c:pt idx="30">
                  <c:v>1.15606936416185</c:v>
                </c:pt>
                <c:pt idx="31">
                  <c:v>1.1363636363636369</c:v>
                </c:pt>
                <c:pt idx="32">
                  <c:v>1.1173184357541903</c:v>
                </c:pt>
                <c:pt idx="33">
                  <c:v>1.0989010989010992</c:v>
                </c:pt>
                <c:pt idx="34">
                  <c:v>1.0810810810810814</c:v>
                </c:pt>
                <c:pt idx="35">
                  <c:v>1.0638297872340428</c:v>
                </c:pt>
                <c:pt idx="36">
                  <c:v>1.047120418848168</c:v>
                </c:pt>
                <c:pt idx="37">
                  <c:v>1.0309278350515467</c:v>
                </c:pt>
                <c:pt idx="38">
                  <c:v>1.0152284263959395</c:v>
                </c:pt>
                <c:pt idx="39">
                  <c:v>1.0000000000000004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7-4820-9E77-D8B7DD562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880448"/>
        <c:axId val="1096619055"/>
      </c:barChart>
      <c:catAx>
        <c:axId val="14108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619055"/>
        <c:crosses val="autoZero"/>
        <c:auto val="1"/>
        <c:lblAlgn val="ctr"/>
        <c:lblOffset val="100"/>
        <c:noMultiLvlLbl val="0"/>
      </c:catAx>
      <c:valAx>
        <c:axId val="10966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lift!$AL$1</c:f>
              <c:strCache>
                <c:ptCount val="1"/>
                <c:pt idx="0">
                  <c:v>Lift_calc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lift!$AL$2:$AL$42</c:f>
              <c:numCache>
                <c:formatCode>0.00</c:formatCode>
                <c:ptCount val="41"/>
                <c:pt idx="0">
                  <c:v>10.416666666666668</c:v>
                </c:pt>
                <c:pt idx="1">
                  <c:v>8.4079264617239335</c:v>
                </c:pt>
                <c:pt idx="2">
                  <c:v>0.97475402982753256</c:v>
                </c:pt>
                <c:pt idx="3">
                  <c:v>0.1411290322580647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10.416666666666668</c:v>
                </c:pt>
                <c:pt idx="21">
                  <c:v>7.8143274853801215</c:v>
                </c:pt>
                <c:pt idx="22">
                  <c:v>1.4162280701754324</c:v>
                </c:pt>
                <c:pt idx="23">
                  <c:v>0.35277777777777786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4-4DDD-98A4-6BE8A7E2F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855008"/>
        <c:axId val="1127923023"/>
      </c:lineChart>
      <c:catAx>
        <c:axId val="14108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23023"/>
        <c:crosses val="autoZero"/>
        <c:auto val="1"/>
        <c:lblAlgn val="ctr"/>
        <c:lblOffset val="100"/>
        <c:noMultiLvlLbl val="0"/>
      </c:catAx>
      <c:valAx>
        <c:axId val="112792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85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Lift_calc vs Best 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lift!$AL$1</c:f>
              <c:strCache>
                <c:ptCount val="1"/>
                <c:pt idx="0">
                  <c:v>Lift_calc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lift!$AB$2:$AB$42</c:f>
              <c:numCache>
                <c:formatCode>General</c:formatCode>
                <c:ptCount val="41"/>
                <c:pt idx="0">
                  <c:v>10.4417910447761</c:v>
                </c:pt>
                <c:pt idx="1">
                  <c:v>9.5522388059701395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10.358620689655099</c:v>
                </c:pt>
                <c:pt idx="21">
                  <c:v>9.5172413793103399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lift!$AL$2:$AL$42</c:f>
              <c:numCache>
                <c:formatCode>0.00</c:formatCode>
                <c:ptCount val="41"/>
                <c:pt idx="0">
                  <c:v>10.416666666666668</c:v>
                </c:pt>
                <c:pt idx="1">
                  <c:v>8.4079264617239335</c:v>
                </c:pt>
                <c:pt idx="2">
                  <c:v>0.97475402982753256</c:v>
                </c:pt>
                <c:pt idx="3">
                  <c:v>0.1411290322580647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10.416666666666668</c:v>
                </c:pt>
                <c:pt idx="21">
                  <c:v>7.8143274853801215</c:v>
                </c:pt>
                <c:pt idx="22">
                  <c:v>1.4162280701754324</c:v>
                </c:pt>
                <c:pt idx="23">
                  <c:v>0.35277777777777786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2-458A-8E94-9434E95F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483343"/>
        <c:axId val="1113051855"/>
      </c:scatterChart>
      <c:valAx>
        <c:axId val="113448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51855"/>
        <c:crosses val="autoZero"/>
        <c:crossBetween val="midCat"/>
      </c:valAx>
      <c:valAx>
        <c:axId val="11130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8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Cumulative Lift_calc vs Best Cumulative 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lift!$AN$1</c:f>
              <c:strCache>
                <c:ptCount val="1"/>
                <c:pt idx="0">
                  <c:v>Cumulative Lift_calc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lift!$AC$2:$AC$42</c:f>
              <c:numCache>
                <c:formatCode>General</c:formatCode>
                <c:ptCount val="41"/>
                <c:pt idx="0">
                  <c:v>10.4417910447761</c:v>
                </c:pt>
                <c:pt idx="1">
                  <c:v>9.9942857142857093</c:v>
                </c:pt>
                <c:pt idx="2">
                  <c:v>6.6628571428571401</c:v>
                </c:pt>
                <c:pt idx="3">
                  <c:v>4.9971428571428502</c:v>
                </c:pt>
                <c:pt idx="4">
                  <c:v>3.99771428571428</c:v>
                </c:pt>
                <c:pt idx="5">
                  <c:v>3.3314285714285701</c:v>
                </c:pt>
                <c:pt idx="6">
                  <c:v>2.85551020408163</c:v>
                </c:pt>
                <c:pt idx="7">
                  <c:v>2.4985714285714198</c:v>
                </c:pt>
                <c:pt idx="8">
                  <c:v>2.2209523809523799</c:v>
                </c:pt>
                <c:pt idx="9">
                  <c:v>2</c:v>
                </c:pt>
                <c:pt idx="10">
                  <c:v>1.8180873180873101</c:v>
                </c:pt>
                <c:pt idx="11">
                  <c:v>1.6665078608861299</c:v>
                </c:pt>
                <c:pt idx="12">
                  <c:v>1.5382585751978799</c:v>
                </c:pt>
                <c:pt idx="13">
                  <c:v>1.4283380971825199</c:v>
                </c:pt>
                <c:pt idx="14">
                  <c:v>1.33307926829268</c:v>
                </c:pt>
                <c:pt idx="15">
                  <c:v>1.24973204715969</c:v>
                </c:pt>
                <c:pt idx="16">
                  <c:v>1.1761936785474101</c:v>
                </c:pt>
                <c:pt idx="17">
                  <c:v>1.1108288345506501</c:v>
                </c:pt>
                <c:pt idx="18">
                  <c:v>1.05234657039711</c:v>
                </c:pt>
                <c:pt idx="19">
                  <c:v>1</c:v>
                </c:pt>
                <c:pt idx="20">
                  <c:v>10.358620689655099</c:v>
                </c:pt>
                <c:pt idx="21">
                  <c:v>9.9470198675496597</c:v>
                </c:pt>
                <c:pt idx="22">
                  <c:v>6.6460176991150401</c:v>
                </c:pt>
                <c:pt idx="23">
                  <c:v>4.99003322259136</c:v>
                </c:pt>
                <c:pt idx="24">
                  <c:v>3.9946808510638299</c:v>
                </c:pt>
                <c:pt idx="25">
                  <c:v>3.3303769401330299</c:v>
                </c:pt>
                <c:pt idx="26">
                  <c:v>2.8555133079847899</c:v>
                </c:pt>
                <c:pt idx="27">
                  <c:v>2.4991680532445901</c:v>
                </c:pt>
                <c:pt idx="28">
                  <c:v>2.22189349112426</c:v>
                </c:pt>
                <c:pt idx="29">
                  <c:v>2</c:v>
                </c:pt>
                <c:pt idx="30">
                  <c:v>1.8162031438935899</c:v>
                </c:pt>
                <c:pt idx="31">
                  <c:v>1.6651884700665101</c:v>
                </c:pt>
                <c:pt idx="32">
                  <c:v>1.53735926305015</c:v>
                </c:pt>
                <c:pt idx="33">
                  <c:v>1.42775665399239</c:v>
                </c:pt>
                <c:pt idx="34">
                  <c:v>1.33274179236912</c:v>
                </c:pt>
                <c:pt idx="35">
                  <c:v>1.24958402662229</c:v>
                </c:pt>
                <c:pt idx="36">
                  <c:v>1.17619420516836</c:v>
                </c:pt>
                <c:pt idx="37">
                  <c:v>1.11094674556213</c:v>
                </c:pt>
                <c:pt idx="38">
                  <c:v>1.05255781359495</c:v>
                </c:pt>
                <c:pt idx="39">
                  <c:v>1</c:v>
                </c:pt>
              </c:numCache>
            </c:numRef>
          </c:xVal>
          <c:yVal>
            <c:numRef>
              <c:f>lift!$AN$2:$AN$42</c:f>
              <c:numCache>
                <c:formatCode>0.00</c:formatCode>
                <c:ptCount val="41"/>
                <c:pt idx="0">
                  <c:v>10.416666666666668</c:v>
                </c:pt>
                <c:pt idx="1">
                  <c:v>9.4122965641952998</c:v>
                </c:pt>
                <c:pt idx="2">
                  <c:v>6.5997823860727163</c:v>
                </c:pt>
                <c:pt idx="3">
                  <c:v>4.9851190476190563</c:v>
                </c:pt>
                <c:pt idx="4">
                  <c:v>3.9880952380952435</c:v>
                </c:pt>
                <c:pt idx="5">
                  <c:v>3.3234126984127021</c:v>
                </c:pt>
                <c:pt idx="6">
                  <c:v>2.8486394557823158</c:v>
                </c:pt>
                <c:pt idx="7">
                  <c:v>2.4925595238095259</c:v>
                </c:pt>
                <c:pt idx="8">
                  <c:v>2.2156084656084674</c:v>
                </c:pt>
                <c:pt idx="9">
                  <c:v>1.995187726319803</c:v>
                </c:pt>
                <c:pt idx="10">
                  <c:v>1.8137127512127524</c:v>
                </c:pt>
                <c:pt idx="11">
                  <c:v>1.6624980149277442</c:v>
                </c:pt>
                <c:pt idx="12">
                  <c:v>1.5345573145705078</c:v>
                </c:pt>
                <c:pt idx="13">
                  <c:v>1.4249013202667762</c:v>
                </c:pt>
                <c:pt idx="14">
                  <c:v>1.329871697154472</c:v>
                </c:pt>
                <c:pt idx="15">
                  <c:v>1.246725020840777</c:v>
                </c:pt>
                <c:pt idx="16">
                  <c:v>1.1733635956063668</c:v>
                </c:pt>
                <c:pt idx="17">
                  <c:v>1.1081560283687948</c:v>
                </c:pt>
                <c:pt idx="18">
                  <c:v>1.0498144805455278</c:v>
                </c:pt>
                <c:pt idx="19">
                  <c:v>0.99759386315990128</c:v>
                </c:pt>
                <c:pt idx="20">
                  <c:v>1.1978875209848914</c:v>
                </c:pt>
                <c:pt idx="21">
                  <c:v>1.3338790247748729</c:v>
                </c:pt>
                <c:pt idx="22">
                  <c:v>1.3355375044754747</c:v>
                </c:pt>
                <c:pt idx="23">
                  <c:v>1.3161358252171627</c:v>
                </c:pt>
                <c:pt idx="24">
                  <c:v>1.2906556530717608</c:v>
                </c:pt>
                <c:pt idx="25">
                  <c:v>1.2661433274246647</c:v>
                </c:pt>
                <c:pt idx="26">
                  <c:v>1.2425447316103384</c:v>
                </c:pt>
                <c:pt idx="27">
                  <c:v>1.2198097096852896</c:v>
                </c:pt>
                <c:pt idx="28">
                  <c:v>1.1978917105893632</c:v>
                </c:pt>
                <c:pt idx="29">
                  <c:v>1.1767474699929401</c:v>
                </c:pt>
                <c:pt idx="30">
                  <c:v>1.15606936416185</c:v>
                </c:pt>
                <c:pt idx="31">
                  <c:v>1.1363636363636369</c:v>
                </c:pt>
                <c:pt idx="32">
                  <c:v>1.1173184357541903</c:v>
                </c:pt>
                <c:pt idx="33">
                  <c:v>1.0989010989010992</c:v>
                </c:pt>
                <c:pt idx="34">
                  <c:v>1.0810810810810814</c:v>
                </c:pt>
                <c:pt idx="35">
                  <c:v>1.0638297872340428</c:v>
                </c:pt>
                <c:pt idx="36">
                  <c:v>1.047120418848168</c:v>
                </c:pt>
                <c:pt idx="37">
                  <c:v>1.0309278350515467</c:v>
                </c:pt>
                <c:pt idx="38">
                  <c:v>1.0152284263959395</c:v>
                </c:pt>
                <c:pt idx="39">
                  <c:v>1.0000000000000004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C-4A27-9E3F-F51302931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506383"/>
        <c:axId val="1127929471"/>
      </c:scatterChart>
      <c:valAx>
        <c:axId val="113450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929471"/>
        <c:crosses val="autoZero"/>
        <c:crossBetween val="midCat"/>
      </c:valAx>
      <c:valAx>
        <c:axId val="11279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0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Sensitivity vs 1 - Specificity 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ROC!$Y$1</c:f>
              <c:strCache>
                <c:ptCount val="1"/>
                <c:pt idx="0">
                  <c:v>1 - Specificity calc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ROC!$X$2:$X$1002</c:f>
              <c:numCache>
                <c:formatCode>General</c:formatCode>
                <c:ptCount val="1001"/>
                <c:pt idx="0">
                  <c:v>0</c:v>
                </c:pt>
                <c:pt idx="1">
                  <c:v>0.79701492537313434</c:v>
                </c:pt>
                <c:pt idx="2">
                  <c:v>0.79701492537313434</c:v>
                </c:pt>
                <c:pt idx="3">
                  <c:v>0.79701492537313434</c:v>
                </c:pt>
                <c:pt idx="4">
                  <c:v>0.79701492537313434</c:v>
                </c:pt>
                <c:pt idx="5">
                  <c:v>0.79701492537313434</c:v>
                </c:pt>
                <c:pt idx="6">
                  <c:v>0.79701492537313434</c:v>
                </c:pt>
                <c:pt idx="7">
                  <c:v>0.79701492537313434</c:v>
                </c:pt>
                <c:pt idx="8">
                  <c:v>0.79701492537313434</c:v>
                </c:pt>
                <c:pt idx="9">
                  <c:v>0.79701492537313434</c:v>
                </c:pt>
                <c:pt idx="10">
                  <c:v>0.79701492537313434</c:v>
                </c:pt>
                <c:pt idx="11">
                  <c:v>0.79701492537313434</c:v>
                </c:pt>
                <c:pt idx="12">
                  <c:v>0.79701492537313434</c:v>
                </c:pt>
                <c:pt idx="13">
                  <c:v>0.79701492537313434</c:v>
                </c:pt>
                <c:pt idx="14">
                  <c:v>0.79701492537313434</c:v>
                </c:pt>
                <c:pt idx="15">
                  <c:v>0.79701492537313434</c:v>
                </c:pt>
                <c:pt idx="16">
                  <c:v>0.79701492537313434</c:v>
                </c:pt>
                <c:pt idx="17">
                  <c:v>0.79701492537313434</c:v>
                </c:pt>
                <c:pt idx="18">
                  <c:v>0.79701492537313434</c:v>
                </c:pt>
                <c:pt idx="19">
                  <c:v>0.79701492537313434</c:v>
                </c:pt>
                <c:pt idx="20">
                  <c:v>0.79701492537313434</c:v>
                </c:pt>
                <c:pt idx="21">
                  <c:v>0.79701492537313434</c:v>
                </c:pt>
                <c:pt idx="22">
                  <c:v>0.79701492537313434</c:v>
                </c:pt>
                <c:pt idx="23">
                  <c:v>0.79701492537313434</c:v>
                </c:pt>
                <c:pt idx="24">
                  <c:v>0.79701492537313434</c:v>
                </c:pt>
                <c:pt idx="25">
                  <c:v>0.79701492537313434</c:v>
                </c:pt>
                <c:pt idx="26">
                  <c:v>0.79701492537313434</c:v>
                </c:pt>
                <c:pt idx="27">
                  <c:v>0.79701492537313434</c:v>
                </c:pt>
                <c:pt idx="28">
                  <c:v>0.79701492537313434</c:v>
                </c:pt>
                <c:pt idx="29">
                  <c:v>0.79701492537313434</c:v>
                </c:pt>
                <c:pt idx="30">
                  <c:v>0.79701492537313434</c:v>
                </c:pt>
                <c:pt idx="31">
                  <c:v>0.79701492537313434</c:v>
                </c:pt>
                <c:pt idx="32">
                  <c:v>0.79701492537313434</c:v>
                </c:pt>
                <c:pt idx="33">
                  <c:v>0.79701492537313434</c:v>
                </c:pt>
                <c:pt idx="34">
                  <c:v>0.79701492537313434</c:v>
                </c:pt>
                <c:pt idx="35">
                  <c:v>0.79701492537313434</c:v>
                </c:pt>
                <c:pt idx="36">
                  <c:v>0.79701492537313434</c:v>
                </c:pt>
                <c:pt idx="37">
                  <c:v>0.79701492537313434</c:v>
                </c:pt>
                <c:pt idx="38">
                  <c:v>0.79701492537313434</c:v>
                </c:pt>
                <c:pt idx="39">
                  <c:v>0.79701492537313434</c:v>
                </c:pt>
                <c:pt idx="40">
                  <c:v>0.79701492537313434</c:v>
                </c:pt>
                <c:pt idx="41">
                  <c:v>0.79701492537313434</c:v>
                </c:pt>
                <c:pt idx="42">
                  <c:v>0.79701492537313434</c:v>
                </c:pt>
                <c:pt idx="43">
                  <c:v>0.79701492537313434</c:v>
                </c:pt>
                <c:pt idx="44">
                  <c:v>0.79701492537313434</c:v>
                </c:pt>
                <c:pt idx="45">
                  <c:v>0.79701492537313434</c:v>
                </c:pt>
                <c:pt idx="46">
                  <c:v>0.79701492537313434</c:v>
                </c:pt>
                <c:pt idx="47">
                  <c:v>0.79701492537313434</c:v>
                </c:pt>
                <c:pt idx="48">
                  <c:v>0.79701492537313434</c:v>
                </c:pt>
                <c:pt idx="49">
                  <c:v>0.79701492537313434</c:v>
                </c:pt>
                <c:pt idx="50">
                  <c:v>0.79701492537313434</c:v>
                </c:pt>
                <c:pt idx="51">
                  <c:v>0.79701492537313434</c:v>
                </c:pt>
                <c:pt idx="52">
                  <c:v>0.79701492537313434</c:v>
                </c:pt>
                <c:pt idx="53">
                  <c:v>0.79701492537313434</c:v>
                </c:pt>
                <c:pt idx="54">
                  <c:v>0.79701492537313434</c:v>
                </c:pt>
                <c:pt idx="55">
                  <c:v>0.79701492537313434</c:v>
                </c:pt>
                <c:pt idx="56">
                  <c:v>0.79701492537313434</c:v>
                </c:pt>
                <c:pt idx="57">
                  <c:v>0.79701492537313434</c:v>
                </c:pt>
                <c:pt idx="58">
                  <c:v>0.79701492537313434</c:v>
                </c:pt>
                <c:pt idx="59">
                  <c:v>0.79701492537313434</c:v>
                </c:pt>
                <c:pt idx="60">
                  <c:v>0.79701492537313434</c:v>
                </c:pt>
                <c:pt idx="61">
                  <c:v>0.79701492537313434</c:v>
                </c:pt>
                <c:pt idx="62">
                  <c:v>0.79701492537313434</c:v>
                </c:pt>
                <c:pt idx="63">
                  <c:v>0.79701492537313434</c:v>
                </c:pt>
                <c:pt idx="64">
                  <c:v>0.79701492537313434</c:v>
                </c:pt>
                <c:pt idx="65">
                  <c:v>0.79701492537313434</c:v>
                </c:pt>
                <c:pt idx="66">
                  <c:v>0.79701492537313434</c:v>
                </c:pt>
                <c:pt idx="67">
                  <c:v>0.79701492537313434</c:v>
                </c:pt>
                <c:pt idx="68">
                  <c:v>0.79701492537313434</c:v>
                </c:pt>
                <c:pt idx="69">
                  <c:v>0.79701492537313434</c:v>
                </c:pt>
                <c:pt idx="70">
                  <c:v>0.79701492537313434</c:v>
                </c:pt>
                <c:pt idx="71">
                  <c:v>0.79701492537313434</c:v>
                </c:pt>
                <c:pt idx="72">
                  <c:v>0.79701492537313434</c:v>
                </c:pt>
                <c:pt idx="73">
                  <c:v>0.79701492537313434</c:v>
                </c:pt>
                <c:pt idx="74">
                  <c:v>0.79701492537313434</c:v>
                </c:pt>
                <c:pt idx="75">
                  <c:v>0.79701492537313434</c:v>
                </c:pt>
                <c:pt idx="76">
                  <c:v>0.79701492537313434</c:v>
                </c:pt>
                <c:pt idx="77">
                  <c:v>0.79701492537313434</c:v>
                </c:pt>
                <c:pt idx="78">
                  <c:v>0.79701492537313434</c:v>
                </c:pt>
                <c:pt idx="79">
                  <c:v>0.79701492537313434</c:v>
                </c:pt>
                <c:pt idx="80">
                  <c:v>0.79701492537313434</c:v>
                </c:pt>
                <c:pt idx="81">
                  <c:v>0.79701492537313434</c:v>
                </c:pt>
                <c:pt idx="82">
                  <c:v>0.79701492537313434</c:v>
                </c:pt>
                <c:pt idx="83">
                  <c:v>0.79701492537313434</c:v>
                </c:pt>
                <c:pt idx="84">
                  <c:v>0.79701492537313434</c:v>
                </c:pt>
                <c:pt idx="85">
                  <c:v>0.79701492537313434</c:v>
                </c:pt>
                <c:pt idx="86">
                  <c:v>0.79701492537313434</c:v>
                </c:pt>
                <c:pt idx="87">
                  <c:v>0.79701492537313434</c:v>
                </c:pt>
                <c:pt idx="88">
                  <c:v>0.79701492537313434</c:v>
                </c:pt>
                <c:pt idx="89">
                  <c:v>0.79701492537313434</c:v>
                </c:pt>
                <c:pt idx="90">
                  <c:v>0.79701492537313434</c:v>
                </c:pt>
                <c:pt idx="91">
                  <c:v>0.79701492537313434</c:v>
                </c:pt>
                <c:pt idx="92">
                  <c:v>0.79701492537313434</c:v>
                </c:pt>
                <c:pt idx="93">
                  <c:v>0.79701492537313434</c:v>
                </c:pt>
                <c:pt idx="94">
                  <c:v>0.79701492537313434</c:v>
                </c:pt>
                <c:pt idx="95">
                  <c:v>0.79701492537313434</c:v>
                </c:pt>
                <c:pt idx="96">
                  <c:v>0.79701492537313434</c:v>
                </c:pt>
                <c:pt idx="97">
                  <c:v>0.79701492537313434</c:v>
                </c:pt>
                <c:pt idx="98">
                  <c:v>0.79701492537313434</c:v>
                </c:pt>
                <c:pt idx="99">
                  <c:v>0.79701492537313434</c:v>
                </c:pt>
                <c:pt idx="100">
                  <c:v>0.79701492537313434</c:v>
                </c:pt>
                <c:pt idx="101">
                  <c:v>0.79701492537313434</c:v>
                </c:pt>
                <c:pt idx="102">
                  <c:v>0.79701492537313434</c:v>
                </c:pt>
                <c:pt idx="103">
                  <c:v>0.79701492537313434</c:v>
                </c:pt>
                <c:pt idx="104">
                  <c:v>0.79701492537313434</c:v>
                </c:pt>
                <c:pt idx="105">
                  <c:v>0.79701492537313434</c:v>
                </c:pt>
                <c:pt idx="106">
                  <c:v>0.79701492537313434</c:v>
                </c:pt>
                <c:pt idx="107">
                  <c:v>0.79701492537313434</c:v>
                </c:pt>
                <c:pt idx="108">
                  <c:v>0.79701492537313434</c:v>
                </c:pt>
                <c:pt idx="109">
                  <c:v>0.79701492537313434</c:v>
                </c:pt>
                <c:pt idx="110">
                  <c:v>0.79701492537313434</c:v>
                </c:pt>
                <c:pt idx="111">
                  <c:v>0.79701492537313434</c:v>
                </c:pt>
                <c:pt idx="112">
                  <c:v>0.79701492537313434</c:v>
                </c:pt>
                <c:pt idx="113">
                  <c:v>0.79701492537313434</c:v>
                </c:pt>
                <c:pt idx="114">
                  <c:v>0.79701492537313434</c:v>
                </c:pt>
                <c:pt idx="115">
                  <c:v>0.79701492537313434</c:v>
                </c:pt>
                <c:pt idx="116">
                  <c:v>0.79701492537313434</c:v>
                </c:pt>
                <c:pt idx="117">
                  <c:v>0.79701492537313434</c:v>
                </c:pt>
                <c:pt idx="118">
                  <c:v>0.79701492537313434</c:v>
                </c:pt>
                <c:pt idx="119">
                  <c:v>0.79701492537313434</c:v>
                </c:pt>
                <c:pt idx="120">
                  <c:v>0.79701492537313434</c:v>
                </c:pt>
                <c:pt idx="121">
                  <c:v>0.79701492537313434</c:v>
                </c:pt>
                <c:pt idx="122">
                  <c:v>0.79701492537313434</c:v>
                </c:pt>
                <c:pt idx="123">
                  <c:v>0.79701492537313434</c:v>
                </c:pt>
                <c:pt idx="124">
                  <c:v>0.79701492537313434</c:v>
                </c:pt>
                <c:pt idx="125">
                  <c:v>0.79701492537313434</c:v>
                </c:pt>
                <c:pt idx="126">
                  <c:v>0.79701492537313434</c:v>
                </c:pt>
                <c:pt idx="127">
                  <c:v>0.79701492537313434</c:v>
                </c:pt>
                <c:pt idx="128">
                  <c:v>0.79701492537313434</c:v>
                </c:pt>
                <c:pt idx="129">
                  <c:v>0.79701492537313434</c:v>
                </c:pt>
                <c:pt idx="130">
                  <c:v>0.79701492537313434</c:v>
                </c:pt>
                <c:pt idx="131">
                  <c:v>0.79701492537313434</c:v>
                </c:pt>
                <c:pt idx="132">
                  <c:v>0.79701492537313434</c:v>
                </c:pt>
                <c:pt idx="133">
                  <c:v>0.79701492537313434</c:v>
                </c:pt>
                <c:pt idx="134">
                  <c:v>0.79701492537313434</c:v>
                </c:pt>
                <c:pt idx="135">
                  <c:v>0.79701492537313434</c:v>
                </c:pt>
                <c:pt idx="136">
                  <c:v>0.79701492537313434</c:v>
                </c:pt>
                <c:pt idx="137">
                  <c:v>0.79701492537313434</c:v>
                </c:pt>
                <c:pt idx="138">
                  <c:v>0.79701492537313434</c:v>
                </c:pt>
                <c:pt idx="139">
                  <c:v>0.79701492537313434</c:v>
                </c:pt>
                <c:pt idx="140">
                  <c:v>0.79701492537313434</c:v>
                </c:pt>
                <c:pt idx="141">
                  <c:v>0.79701492537313434</c:v>
                </c:pt>
                <c:pt idx="142">
                  <c:v>0.79701492537313434</c:v>
                </c:pt>
                <c:pt idx="143">
                  <c:v>0.79701492537313434</c:v>
                </c:pt>
                <c:pt idx="144">
                  <c:v>0.79701492537313434</c:v>
                </c:pt>
                <c:pt idx="145">
                  <c:v>0.79701492537313434</c:v>
                </c:pt>
                <c:pt idx="146">
                  <c:v>0.79701492537313434</c:v>
                </c:pt>
                <c:pt idx="147">
                  <c:v>0.79701492537313434</c:v>
                </c:pt>
                <c:pt idx="148">
                  <c:v>0.79701492537313434</c:v>
                </c:pt>
                <c:pt idx="149">
                  <c:v>0.79701492537313434</c:v>
                </c:pt>
                <c:pt idx="150">
                  <c:v>0.79701492537313434</c:v>
                </c:pt>
                <c:pt idx="151">
                  <c:v>0.79701492537313434</c:v>
                </c:pt>
                <c:pt idx="152">
                  <c:v>0.79701492537313434</c:v>
                </c:pt>
                <c:pt idx="153">
                  <c:v>0.79701492537313434</c:v>
                </c:pt>
                <c:pt idx="154">
                  <c:v>0.79701492537313434</c:v>
                </c:pt>
                <c:pt idx="155">
                  <c:v>0.79701492537313434</c:v>
                </c:pt>
                <c:pt idx="156">
                  <c:v>0.79701492537313434</c:v>
                </c:pt>
                <c:pt idx="157">
                  <c:v>0.79701492537313434</c:v>
                </c:pt>
                <c:pt idx="158">
                  <c:v>0.79701492537313434</c:v>
                </c:pt>
                <c:pt idx="159">
                  <c:v>0.79701492537313434</c:v>
                </c:pt>
                <c:pt idx="160">
                  <c:v>0.79701492537313434</c:v>
                </c:pt>
                <c:pt idx="161">
                  <c:v>0.79701492537313434</c:v>
                </c:pt>
                <c:pt idx="162">
                  <c:v>0.79701492537313434</c:v>
                </c:pt>
                <c:pt idx="163">
                  <c:v>0.79701492537313434</c:v>
                </c:pt>
                <c:pt idx="164">
                  <c:v>0.79701492537313434</c:v>
                </c:pt>
                <c:pt idx="165">
                  <c:v>0.79701492537313434</c:v>
                </c:pt>
                <c:pt idx="166">
                  <c:v>0.79701492537313434</c:v>
                </c:pt>
                <c:pt idx="167">
                  <c:v>0.79701492537313434</c:v>
                </c:pt>
                <c:pt idx="168">
                  <c:v>0.81194029850746263</c:v>
                </c:pt>
                <c:pt idx="169">
                  <c:v>0.81194029850746263</c:v>
                </c:pt>
                <c:pt idx="170">
                  <c:v>0.81194029850746263</c:v>
                </c:pt>
                <c:pt idx="171">
                  <c:v>0.81194029850746263</c:v>
                </c:pt>
                <c:pt idx="172">
                  <c:v>0.81194029850746263</c:v>
                </c:pt>
                <c:pt idx="173">
                  <c:v>0.81194029850746263</c:v>
                </c:pt>
                <c:pt idx="174">
                  <c:v>0.81194029850746263</c:v>
                </c:pt>
                <c:pt idx="175">
                  <c:v>0.81194029850746263</c:v>
                </c:pt>
                <c:pt idx="176">
                  <c:v>0.81194029850746263</c:v>
                </c:pt>
                <c:pt idx="177">
                  <c:v>0.81194029850746263</c:v>
                </c:pt>
                <c:pt idx="178">
                  <c:v>0.81194029850746263</c:v>
                </c:pt>
                <c:pt idx="179">
                  <c:v>0.81194029850746263</c:v>
                </c:pt>
                <c:pt idx="180">
                  <c:v>0.81194029850746263</c:v>
                </c:pt>
                <c:pt idx="181">
                  <c:v>0.81194029850746263</c:v>
                </c:pt>
                <c:pt idx="182">
                  <c:v>0.81194029850746263</c:v>
                </c:pt>
                <c:pt idx="183">
                  <c:v>0.81194029850746263</c:v>
                </c:pt>
                <c:pt idx="184">
                  <c:v>0.81194029850746263</c:v>
                </c:pt>
                <c:pt idx="185">
                  <c:v>0.81194029850746263</c:v>
                </c:pt>
                <c:pt idx="186">
                  <c:v>0.81194029850746263</c:v>
                </c:pt>
                <c:pt idx="187">
                  <c:v>0.81194029850746263</c:v>
                </c:pt>
                <c:pt idx="188">
                  <c:v>0.81194029850746263</c:v>
                </c:pt>
                <c:pt idx="189">
                  <c:v>0.81194029850746263</c:v>
                </c:pt>
                <c:pt idx="190">
                  <c:v>0.81194029850746263</c:v>
                </c:pt>
                <c:pt idx="191">
                  <c:v>0.81194029850746263</c:v>
                </c:pt>
                <c:pt idx="192">
                  <c:v>0.81194029850746263</c:v>
                </c:pt>
                <c:pt idx="193">
                  <c:v>0.81194029850746263</c:v>
                </c:pt>
                <c:pt idx="194">
                  <c:v>0.81194029850746263</c:v>
                </c:pt>
                <c:pt idx="195">
                  <c:v>0.81194029850746263</c:v>
                </c:pt>
                <c:pt idx="196">
                  <c:v>0.81194029850746263</c:v>
                </c:pt>
                <c:pt idx="197">
                  <c:v>0.81194029850746263</c:v>
                </c:pt>
                <c:pt idx="198">
                  <c:v>0.81194029850746263</c:v>
                </c:pt>
                <c:pt idx="199">
                  <c:v>0.81194029850746263</c:v>
                </c:pt>
                <c:pt idx="200">
                  <c:v>0.81194029850746263</c:v>
                </c:pt>
                <c:pt idx="201">
                  <c:v>0.81194029850746263</c:v>
                </c:pt>
                <c:pt idx="202">
                  <c:v>0.81194029850746263</c:v>
                </c:pt>
                <c:pt idx="203">
                  <c:v>0.81194029850746263</c:v>
                </c:pt>
                <c:pt idx="204">
                  <c:v>0.81194029850746263</c:v>
                </c:pt>
                <c:pt idx="205">
                  <c:v>0.81194029850746263</c:v>
                </c:pt>
                <c:pt idx="206">
                  <c:v>0.81194029850746263</c:v>
                </c:pt>
                <c:pt idx="207">
                  <c:v>0.81194029850746263</c:v>
                </c:pt>
                <c:pt idx="208">
                  <c:v>0.81194029850746263</c:v>
                </c:pt>
                <c:pt idx="209">
                  <c:v>0.81194029850746263</c:v>
                </c:pt>
                <c:pt idx="210">
                  <c:v>0.81194029850746263</c:v>
                </c:pt>
                <c:pt idx="211">
                  <c:v>0.81194029850746263</c:v>
                </c:pt>
                <c:pt idx="212">
                  <c:v>0.81194029850746263</c:v>
                </c:pt>
                <c:pt idx="213">
                  <c:v>0.81194029850746263</c:v>
                </c:pt>
                <c:pt idx="214">
                  <c:v>0.81194029850746263</c:v>
                </c:pt>
                <c:pt idx="215">
                  <c:v>0.81194029850746263</c:v>
                </c:pt>
                <c:pt idx="216">
                  <c:v>0.81194029850746263</c:v>
                </c:pt>
                <c:pt idx="217">
                  <c:v>0.81194029850746263</c:v>
                </c:pt>
                <c:pt idx="218">
                  <c:v>0.81194029850746263</c:v>
                </c:pt>
                <c:pt idx="219">
                  <c:v>0.81194029850746263</c:v>
                </c:pt>
                <c:pt idx="220">
                  <c:v>0.81194029850746263</c:v>
                </c:pt>
                <c:pt idx="221">
                  <c:v>0.81194029850746263</c:v>
                </c:pt>
                <c:pt idx="222">
                  <c:v>0.81194029850746263</c:v>
                </c:pt>
                <c:pt idx="223">
                  <c:v>0.81194029850746263</c:v>
                </c:pt>
                <c:pt idx="224">
                  <c:v>0.81194029850746263</c:v>
                </c:pt>
                <c:pt idx="225">
                  <c:v>0.81194029850746263</c:v>
                </c:pt>
                <c:pt idx="226">
                  <c:v>0.81194029850746263</c:v>
                </c:pt>
                <c:pt idx="227">
                  <c:v>0.81194029850746263</c:v>
                </c:pt>
                <c:pt idx="228">
                  <c:v>0.81194029850746263</c:v>
                </c:pt>
                <c:pt idx="229">
                  <c:v>0.81194029850746263</c:v>
                </c:pt>
                <c:pt idx="230">
                  <c:v>0.81194029850746263</c:v>
                </c:pt>
                <c:pt idx="231">
                  <c:v>0.81194029850746263</c:v>
                </c:pt>
                <c:pt idx="232">
                  <c:v>0.81194029850746263</c:v>
                </c:pt>
                <c:pt idx="233">
                  <c:v>0.81194029850746263</c:v>
                </c:pt>
                <c:pt idx="234">
                  <c:v>0.81194029850746263</c:v>
                </c:pt>
                <c:pt idx="235">
                  <c:v>0.81194029850746263</c:v>
                </c:pt>
                <c:pt idx="236">
                  <c:v>0.81194029850746263</c:v>
                </c:pt>
                <c:pt idx="237">
                  <c:v>0.81194029850746263</c:v>
                </c:pt>
                <c:pt idx="238">
                  <c:v>0.81194029850746263</c:v>
                </c:pt>
                <c:pt idx="239">
                  <c:v>0.81194029850746263</c:v>
                </c:pt>
                <c:pt idx="240">
                  <c:v>0.81194029850746263</c:v>
                </c:pt>
                <c:pt idx="241">
                  <c:v>0.81194029850746263</c:v>
                </c:pt>
                <c:pt idx="242">
                  <c:v>0.81194029850746263</c:v>
                </c:pt>
                <c:pt idx="243">
                  <c:v>0.81194029850746263</c:v>
                </c:pt>
                <c:pt idx="244">
                  <c:v>0.88656716417910453</c:v>
                </c:pt>
                <c:pt idx="245">
                  <c:v>0.88656716417910453</c:v>
                </c:pt>
                <c:pt idx="246">
                  <c:v>0.88656716417910453</c:v>
                </c:pt>
                <c:pt idx="247">
                  <c:v>0.88656716417910453</c:v>
                </c:pt>
                <c:pt idx="248">
                  <c:v>0.88656716417910453</c:v>
                </c:pt>
                <c:pt idx="249">
                  <c:v>0.88656716417910453</c:v>
                </c:pt>
                <c:pt idx="250">
                  <c:v>0.88656716417910453</c:v>
                </c:pt>
                <c:pt idx="251">
                  <c:v>0.88656716417910453</c:v>
                </c:pt>
                <c:pt idx="252">
                  <c:v>0.88656716417910453</c:v>
                </c:pt>
                <c:pt idx="253">
                  <c:v>0.88656716417910453</c:v>
                </c:pt>
                <c:pt idx="254">
                  <c:v>0.88656716417910453</c:v>
                </c:pt>
                <c:pt idx="255">
                  <c:v>0.88656716417910453</c:v>
                </c:pt>
                <c:pt idx="256">
                  <c:v>0.88656716417910453</c:v>
                </c:pt>
                <c:pt idx="257">
                  <c:v>0.88656716417910453</c:v>
                </c:pt>
                <c:pt idx="258">
                  <c:v>0.88656716417910453</c:v>
                </c:pt>
                <c:pt idx="259">
                  <c:v>0.88656716417910453</c:v>
                </c:pt>
                <c:pt idx="260">
                  <c:v>0.88656716417910453</c:v>
                </c:pt>
                <c:pt idx="261">
                  <c:v>0.88656716417910453</c:v>
                </c:pt>
                <c:pt idx="262">
                  <c:v>0.88656716417910453</c:v>
                </c:pt>
                <c:pt idx="263">
                  <c:v>0.88656716417910453</c:v>
                </c:pt>
                <c:pt idx="264">
                  <c:v>0.88656716417910453</c:v>
                </c:pt>
                <c:pt idx="265">
                  <c:v>0.88656716417910453</c:v>
                </c:pt>
                <c:pt idx="266">
                  <c:v>0.88656716417910453</c:v>
                </c:pt>
                <c:pt idx="267">
                  <c:v>0.88656716417910453</c:v>
                </c:pt>
                <c:pt idx="268">
                  <c:v>0.88656716417910453</c:v>
                </c:pt>
                <c:pt idx="269">
                  <c:v>0.88656716417910453</c:v>
                </c:pt>
                <c:pt idx="270">
                  <c:v>0.88656716417910453</c:v>
                </c:pt>
                <c:pt idx="271">
                  <c:v>0.88656716417910453</c:v>
                </c:pt>
                <c:pt idx="272">
                  <c:v>0.88656716417910453</c:v>
                </c:pt>
                <c:pt idx="273">
                  <c:v>0.88656716417910453</c:v>
                </c:pt>
                <c:pt idx="274">
                  <c:v>0.91044776119402981</c:v>
                </c:pt>
                <c:pt idx="275">
                  <c:v>0.91044776119402981</c:v>
                </c:pt>
                <c:pt idx="276">
                  <c:v>0.91044776119402981</c:v>
                </c:pt>
                <c:pt idx="277">
                  <c:v>0.91044776119402981</c:v>
                </c:pt>
                <c:pt idx="278">
                  <c:v>0.91044776119402981</c:v>
                </c:pt>
                <c:pt idx="279">
                  <c:v>0.91044776119402981</c:v>
                </c:pt>
                <c:pt idx="280">
                  <c:v>0.91044776119402981</c:v>
                </c:pt>
                <c:pt idx="281">
                  <c:v>0.91044776119402981</c:v>
                </c:pt>
                <c:pt idx="282">
                  <c:v>0.91044776119402981</c:v>
                </c:pt>
                <c:pt idx="283">
                  <c:v>0.91044776119402981</c:v>
                </c:pt>
                <c:pt idx="284">
                  <c:v>0.91044776119402981</c:v>
                </c:pt>
                <c:pt idx="285">
                  <c:v>0.91044776119402981</c:v>
                </c:pt>
                <c:pt idx="286">
                  <c:v>0.91044776119402981</c:v>
                </c:pt>
                <c:pt idx="287">
                  <c:v>0.91044776119402981</c:v>
                </c:pt>
                <c:pt idx="288">
                  <c:v>0.91044776119402981</c:v>
                </c:pt>
                <c:pt idx="289">
                  <c:v>0.91044776119402981</c:v>
                </c:pt>
                <c:pt idx="290">
                  <c:v>0.91044776119402981</c:v>
                </c:pt>
                <c:pt idx="291">
                  <c:v>0.91044776119402981</c:v>
                </c:pt>
                <c:pt idx="292">
                  <c:v>0.91044776119402981</c:v>
                </c:pt>
                <c:pt idx="293">
                  <c:v>0.91044776119402981</c:v>
                </c:pt>
                <c:pt idx="294">
                  <c:v>0.91044776119402981</c:v>
                </c:pt>
                <c:pt idx="295">
                  <c:v>0.91044776119402981</c:v>
                </c:pt>
                <c:pt idx="296">
                  <c:v>0.91044776119402981</c:v>
                </c:pt>
                <c:pt idx="297">
                  <c:v>0.91044776119402981</c:v>
                </c:pt>
                <c:pt idx="298">
                  <c:v>0.91044776119402981</c:v>
                </c:pt>
                <c:pt idx="299">
                  <c:v>0.91044776119402981</c:v>
                </c:pt>
                <c:pt idx="300">
                  <c:v>0.91044776119402981</c:v>
                </c:pt>
                <c:pt idx="301">
                  <c:v>0.91044776119402981</c:v>
                </c:pt>
                <c:pt idx="302">
                  <c:v>0.91044776119402981</c:v>
                </c:pt>
                <c:pt idx="303">
                  <c:v>0.91044776119402981</c:v>
                </c:pt>
                <c:pt idx="304">
                  <c:v>0.91044776119402981</c:v>
                </c:pt>
                <c:pt idx="305">
                  <c:v>0.91044776119402981</c:v>
                </c:pt>
                <c:pt idx="306">
                  <c:v>0.91044776119402981</c:v>
                </c:pt>
                <c:pt idx="307">
                  <c:v>0.91044776119402981</c:v>
                </c:pt>
                <c:pt idx="308">
                  <c:v>0.91044776119402981</c:v>
                </c:pt>
                <c:pt idx="309">
                  <c:v>0.91044776119402981</c:v>
                </c:pt>
                <c:pt idx="310">
                  <c:v>0.91044776119402981</c:v>
                </c:pt>
                <c:pt idx="311">
                  <c:v>0.91044776119402981</c:v>
                </c:pt>
                <c:pt idx="312">
                  <c:v>0.91044776119402981</c:v>
                </c:pt>
                <c:pt idx="313">
                  <c:v>0.91044776119402981</c:v>
                </c:pt>
                <c:pt idx="314">
                  <c:v>0.91044776119402981</c:v>
                </c:pt>
                <c:pt idx="315">
                  <c:v>0.91044776119402981</c:v>
                </c:pt>
                <c:pt idx="316">
                  <c:v>0.91044776119402981</c:v>
                </c:pt>
                <c:pt idx="317">
                  <c:v>0.91044776119402981</c:v>
                </c:pt>
                <c:pt idx="318">
                  <c:v>0.91044776119402981</c:v>
                </c:pt>
                <c:pt idx="319">
                  <c:v>0.91044776119402981</c:v>
                </c:pt>
                <c:pt idx="320">
                  <c:v>0.91044776119402981</c:v>
                </c:pt>
                <c:pt idx="321">
                  <c:v>0.91044776119402981</c:v>
                </c:pt>
                <c:pt idx="322">
                  <c:v>0.91044776119402981</c:v>
                </c:pt>
                <c:pt idx="323">
                  <c:v>0.91044776119402981</c:v>
                </c:pt>
                <c:pt idx="324">
                  <c:v>0.91044776119402981</c:v>
                </c:pt>
                <c:pt idx="325">
                  <c:v>0.91044776119402981</c:v>
                </c:pt>
                <c:pt idx="326">
                  <c:v>0.91044776119402981</c:v>
                </c:pt>
                <c:pt idx="327">
                  <c:v>0.91044776119402981</c:v>
                </c:pt>
                <c:pt idx="328">
                  <c:v>0.91044776119402981</c:v>
                </c:pt>
                <c:pt idx="329">
                  <c:v>0.91044776119402981</c:v>
                </c:pt>
                <c:pt idx="330">
                  <c:v>0.91044776119402981</c:v>
                </c:pt>
                <c:pt idx="331">
                  <c:v>0.91044776119402981</c:v>
                </c:pt>
                <c:pt idx="332">
                  <c:v>0.91044776119402981</c:v>
                </c:pt>
                <c:pt idx="333">
                  <c:v>0.91044776119402981</c:v>
                </c:pt>
                <c:pt idx="334">
                  <c:v>0.91044776119402981</c:v>
                </c:pt>
                <c:pt idx="335">
                  <c:v>0.91044776119402981</c:v>
                </c:pt>
                <c:pt idx="336">
                  <c:v>0.91044776119402981</c:v>
                </c:pt>
                <c:pt idx="337">
                  <c:v>0.91044776119402981</c:v>
                </c:pt>
                <c:pt idx="338">
                  <c:v>0.91044776119402981</c:v>
                </c:pt>
                <c:pt idx="339">
                  <c:v>0.91044776119402981</c:v>
                </c:pt>
                <c:pt idx="340">
                  <c:v>0.91044776119402981</c:v>
                </c:pt>
                <c:pt idx="341">
                  <c:v>0.91044776119402981</c:v>
                </c:pt>
                <c:pt idx="342">
                  <c:v>0.91044776119402981</c:v>
                </c:pt>
                <c:pt idx="343">
                  <c:v>0.91044776119402981</c:v>
                </c:pt>
                <c:pt idx="344">
                  <c:v>0.91044776119402981</c:v>
                </c:pt>
                <c:pt idx="345">
                  <c:v>0.91044776119402981</c:v>
                </c:pt>
                <c:pt idx="346">
                  <c:v>0.91044776119402981</c:v>
                </c:pt>
                <c:pt idx="347">
                  <c:v>0.91044776119402981</c:v>
                </c:pt>
                <c:pt idx="348">
                  <c:v>0.91044776119402981</c:v>
                </c:pt>
                <c:pt idx="349">
                  <c:v>0.91044776119402981</c:v>
                </c:pt>
                <c:pt idx="350">
                  <c:v>0.91044776119402981</c:v>
                </c:pt>
                <c:pt idx="351">
                  <c:v>0.91044776119402981</c:v>
                </c:pt>
                <c:pt idx="352">
                  <c:v>0.91044776119402981</c:v>
                </c:pt>
                <c:pt idx="353">
                  <c:v>0.91044776119402981</c:v>
                </c:pt>
                <c:pt idx="354">
                  <c:v>0.91044776119402981</c:v>
                </c:pt>
                <c:pt idx="355">
                  <c:v>0.91044776119402981</c:v>
                </c:pt>
                <c:pt idx="356">
                  <c:v>0.91044776119402981</c:v>
                </c:pt>
                <c:pt idx="357">
                  <c:v>0.91044776119402981</c:v>
                </c:pt>
                <c:pt idx="358">
                  <c:v>0.91044776119402981</c:v>
                </c:pt>
                <c:pt idx="359">
                  <c:v>0.91044776119402981</c:v>
                </c:pt>
                <c:pt idx="360">
                  <c:v>0.91044776119402981</c:v>
                </c:pt>
                <c:pt idx="361">
                  <c:v>0.91044776119402981</c:v>
                </c:pt>
                <c:pt idx="362">
                  <c:v>0.91044776119402981</c:v>
                </c:pt>
                <c:pt idx="363">
                  <c:v>0.91044776119402981</c:v>
                </c:pt>
                <c:pt idx="364">
                  <c:v>0.91044776119402981</c:v>
                </c:pt>
                <c:pt idx="365">
                  <c:v>0.91044776119402981</c:v>
                </c:pt>
                <c:pt idx="366">
                  <c:v>0.91044776119402981</c:v>
                </c:pt>
                <c:pt idx="367">
                  <c:v>0.91044776119402981</c:v>
                </c:pt>
                <c:pt idx="368">
                  <c:v>0.91044776119402981</c:v>
                </c:pt>
                <c:pt idx="369">
                  <c:v>0.91044776119402981</c:v>
                </c:pt>
                <c:pt idx="370">
                  <c:v>0.91044776119402981</c:v>
                </c:pt>
                <c:pt idx="371">
                  <c:v>0.91044776119402981</c:v>
                </c:pt>
                <c:pt idx="372">
                  <c:v>0.91044776119402981</c:v>
                </c:pt>
                <c:pt idx="373">
                  <c:v>0.91044776119402981</c:v>
                </c:pt>
                <c:pt idx="374">
                  <c:v>0.91044776119402981</c:v>
                </c:pt>
                <c:pt idx="375">
                  <c:v>0.91044776119402981</c:v>
                </c:pt>
                <c:pt idx="376">
                  <c:v>0.91044776119402981</c:v>
                </c:pt>
                <c:pt idx="377">
                  <c:v>0.91044776119402981</c:v>
                </c:pt>
                <c:pt idx="378">
                  <c:v>0.91044776119402981</c:v>
                </c:pt>
                <c:pt idx="379">
                  <c:v>0.91044776119402981</c:v>
                </c:pt>
                <c:pt idx="380">
                  <c:v>0.91044776119402981</c:v>
                </c:pt>
                <c:pt idx="381">
                  <c:v>0.91044776119402981</c:v>
                </c:pt>
                <c:pt idx="382">
                  <c:v>0.91044776119402981</c:v>
                </c:pt>
                <c:pt idx="383">
                  <c:v>0.91044776119402981</c:v>
                </c:pt>
                <c:pt idx="384">
                  <c:v>0.91044776119402981</c:v>
                </c:pt>
                <c:pt idx="385">
                  <c:v>0.91044776119402981</c:v>
                </c:pt>
                <c:pt idx="386">
                  <c:v>0.91044776119402981</c:v>
                </c:pt>
                <c:pt idx="387">
                  <c:v>0.91044776119402981</c:v>
                </c:pt>
                <c:pt idx="388">
                  <c:v>0.91044776119402981</c:v>
                </c:pt>
                <c:pt idx="389">
                  <c:v>0.91044776119402981</c:v>
                </c:pt>
                <c:pt idx="390">
                  <c:v>0.91044776119402981</c:v>
                </c:pt>
                <c:pt idx="391">
                  <c:v>0.91044776119402981</c:v>
                </c:pt>
                <c:pt idx="392">
                  <c:v>0.91044776119402981</c:v>
                </c:pt>
                <c:pt idx="393">
                  <c:v>0.91044776119402981</c:v>
                </c:pt>
                <c:pt idx="394">
                  <c:v>0.91044776119402981</c:v>
                </c:pt>
                <c:pt idx="395">
                  <c:v>0.91044776119402981</c:v>
                </c:pt>
                <c:pt idx="396">
                  <c:v>0.91044776119402981</c:v>
                </c:pt>
                <c:pt idx="397">
                  <c:v>0.91044776119402981</c:v>
                </c:pt>
                <c:pt idx="398">
                  <c:v>0.91044776119402981</c:v>
                </c:pt>
                <c:pt idx="399">
                  <c:v>0.91044776119402981</c:v>
                </c:pt>
                <c:pt idx="400">
                  <c:v>0.91044776119402981</c:v>
                </c:pt>
                <c:pt idx="401">
                  <c:v>0.91044776119402981</c:v>
                </c:pt>
                <c:pt idx="402">
                  <c:v>0.91044776119402981</c:v>
                </c:pt>
                <c:pt idx="403">
                  <c:v>0.91044776119402981</c:v>
                </c:pt>
                <c:pt idx="404">
                  <c:v>0.91044776119402981</c:v>
                </c:pt>
                <c:pt idx="405">
                  <c:v>0.91044776119402981</c:v>
                </c:pt>
                <c:pt idx="406">
                  <c:v>0.91044776119402981</c:v>
                </c:pt>
                <c:pt idx="407">
                  <c:v>0.91044776119402981</c:v>
                </c:pt>
                <c:pt idx="408">
                  <c:v>0.91044776119402981</c:v>
                </c:pt>
                <c:pt idx="409">
                  <c:v>0.91044776119402981</c:v>
                </c:pt>
                <c:pt idx="410">
                  <c:v>0.91044776119402981</c:v>
                </c:pt>
                <c:pt idx="411">
                  <c:v>0.91044776119402981</c:v>
                </c:pt>
                <c:pt idx="412">
                  <c:v>0.91044776119402981</c:v>
                </c:pt>
                <c:pt idx="413">
                  <c:v>0.91044776119402981</c:v>
                </c:pt>
                <c:pt idx="414">
                  <c:v>0.91044776119402981</c:v>
                </c:pt>
                <c:pt idx="415">
                  <c:v>0.91044776119402981</c:v>
                </c:pt>
                <c:pt idx="416">
                  <c:v>0.91044776119402981</c:v>
                </c:pt>
                <c:pt idx="417">
                  <c:v>0.91044776119402981</c:v>
                </c:pt>
                <c:pt idx="418">
                  <c:v>0.91044776119402981</c:v>
                </c:pt>
                <c:pt idx="419">
                  <c:v>0.91044776119402981</c:v>
                </c:pt>
                <c:pt idx="420">
                  <c:v>0.91044776119402981</c:v>
                </c:pt>
                <c:pt idx="421">
                  <c:v>0.91044776119402981</c:v>
                </c:pt>
                <c:pt idx="422">
                  <c:v>0.91044776119402981</c:v>
                </c:pt>
                <c:pt idx="423">
                  <c:v>0.91044776119402981</c:v>
                </c:pt>
                <c:pt idx="424">
                  <c:v>0.91044776119402981</c:v>
                </c:pt>
                <c:pt idx="425">
                  <c:v>0.91044776119402981</c:v>
                </c:pt>
                <c:pt idx="426">
                  <c:v>0.91044776119402981</c:v>
                </c:pt>
                <c:pt idx="427">
                  <c:v>0.91044776119402981</c:v>
                </c:pt>
                <c:pt idx="428">
                  <c:v>0.91044776119402981</c:v>
                </c:pt>
                <c:pt idx="429">
                  <c:v>0.91044776119402981</c:v>
                </c:pt>
                <c:pt idx="430">
                  <c:v>0.91044776119402981</c:v>
                </c:pt>
                <c:pt idx="431">
                  <c:v>0.91044776119402981</c:v>
                </c:pt>
                <c:pt idx="432">
                  <c:v>0.91044776119402981</c:v>
                </c:pt>
                <c:pt idx="433">
                  <c:v>0.91044776119402981</c:v>
                </c:pt>
                <c:pt idx="434">
                  <c:v>0.91044776119402981</c:v>
                </c:pt>
                <c:pt idx="435">
                  <c:v>0.91044776119402981</c:v>
                </c:pt>
                <c:pt idx="436">
                  <c:v>0.91044776119402981</c:v>
                </c:pt>
                <c:pt idx="437">
                  <c:v>0.91044776119402981</c:v>
                </c:pt>
                <c:pt idx="438">
                  <c:v>0.91044776119402981</c:v>
                </c:pt>
                <c:pt idx="439">
                  <c:v>0.91044776119402981</c:v>
                </c:pt>
                <c:pt idx="440">
                  <c:v>0.91044776119402981</c:v>
                </c:pt>
                <c:pt idx="441">
                  <c:v>0.91044776119402981</c:v>
                </c:pt>
                <c:pt idx="442">
                  <c:v>0.91044776119402981</c:v>
                </c:pt>
                <c:pt idx="443">
                  <c:v>0.91044776119402981</c:v>
                </c:pt>
                <c:pt idx="444">
                  <c:v>0.91044776119402981</c:v>
                </c:pt>
                <c:pt idx="445">
                  <c:v>0.91044776119402981</c:v>
                </c:pt>
                <c:pt idx="446">
                  <c:v>0.91044776119402981</c:v>
                </c:pt>
                <c:pt idx="447">
                  <c:v>0.91044776119402981</c:v>
                </c:pt>
                <c:pt idx="448">
                  <c:v>0.91044776119402981</c:v>
                </c:pt>
                <c:pt idx="449">
                  <c:v>0.91044776119402981</c:v>
                </c:pt>
                <c:pt idx="450">
                  <c:v>0.91044776119402981</c:v>
                </c:pt>
                <c:pt idx="451">
                  <c:v>0.91044776119402981</c:v>
                </c:pt>
                <c:pt idx="452">
                  <c:v>0.91044776119402981</c:v>
                </c:pt>
                <c:pt idx="453">
                  <c:v>0.91044776119402981</c:v>
                </c:pt>
                <c:pt idx="454">
                  <c:v>0.91044776119402981</c:v>
                </c:pt>
                <c:pt idx="455">
                  <c:v>0.91044776119402981</c:v>
                </c:pt>
                <c:pt idx="456">
                  <c:v>0.91044776119402981</c:v>
                </c:pt>
                <c:pt idx="457">
                  <c:v>0.91044776119402981</c:v>
                </c:pt>
                <c:pt idx="458">
                  <c:v>0.91044776119402981</c:v>
                </c:pt>
                <c:pt idx="459">
                  <c:v>0.91044776119402981</c:v>
                </c:pt>
                <c:pt idx="460">
                  <c:v>0.91044776119402981</c:v>
                </c:pt>
                <c:pt idx="461">
                  <c:v>0.91044776119402981</c:v>
                </c:pt>
                <c:pt idx="462">
                  <c:v>0.91044776119402981</c:v>
                </c:pt>
                <c:pt idx="463">
                  <c:v>0.91044776119402981</c:v>
                </c:pt>
                <c:pt idx="464">
                  <c:v>0.91044776119402981</c:v>
                </c:pt>
                <c:pt idx="465">
                  <c:v>0.91044776119402981</c:v>
                </c:pt>
                <c:pt idx="466">
                  <c:v>0.91044776119402981</c:v>
                </c:pt>
                <c:pt idx="467">
                  <c:v>0.91044776119402981</c:v>
                </c:pt>
                <c:pt idx="468">
                  <c:v>0.91044776119402981</c:v>
                </c:pt>
                <c:pt idx="469">
                  <c:v>0.91044776119402981</c:v>
                </c:pt>
                <c:pt idx="470">
                  <c:v>0.91044776119402981</c:v>
                </c:pt>
                <c:pt idx="471">
                  <c:v>0.91044776119402981</c:v>
                </c:pt>
                <c:pt idx="472">
                  <c:v>0.91044776119402981</c:v>
                </c:pt>
                <c:pt idx="473">
                  <c:v>0.91044776119402981</c:v>
                </c:pt>
                <c:pt idx="474">
                  <c:v>0.91044776119402981</c:v>
                </c:pt>
                <c:pt idx="475">
                  <c:v>0.91044776119402981</c:v>
                </c:pt>
                <c:pt idx="476">
                  <c:v>0.91044776119402981</c:v>
                </c:pt>
                <c:pt idx="477">
                  <c:v>0.91044776119402981</c:v>
                </c:pt>
                <c:pt idx="478">
                  <c:v>0.91044776119402981</c:v>
                </c:pt>
                <c:pt idx="479">
                  <c:v>0.91044776119402981</c:v>
                </c:pt>
                <c:pt idx="480">
                  <c:v>0.91044776119402981</c:v>
                </c:pt>
                <c:pt idx="481">
                  <c:v>0.91044776119402981</c:v>
                </c:pt>
                <c:pt idx="482">
                  <c:v>0.91044776119402981</c:v>
                </c:pt>
                <c:pt idx="483">
                  <c:v>0.91044776119402981</c:v>
                </c:pt>
                <c:pt idx="484">
                  <c:v>0.91044776119402981</c:v>
                </c:pt>
                <c:pt idx="485">
                  <c:v>0.91044776119402981</c:v>
                </c:pt>
                <c:pt idx="486">
                  <c:v>0.91044776119402981</c:v>
                </c:pt>
                <c:pt idx="487">
                  <c:v>0.91044776119402981</c:v>
                </c:pt>
                <c:pt idx="488">
                  <c:v>0.91044776119402981</c:v>
                </c:pt>
                <c:pt idx="489">
                  <c:v>0.91044776119402981</c:v>
                </c:pt>
                <c:pt idx="490">
                  <c:v>0.91044776119402981</c:v>
                </c:pt>
                <c:pt idx="491">
                  <c:v>0.91044776119402981</c:v>
                </c:pt>
                <c:pt idx="492">
                  <c:v>0.91044776119402981</c:v>
                </c:pt>
                <c:pt idx="493">
                  <c:v>0.91044776119402981</c:v>
                </c:pt>
                <c:pt idx="494">
                  <c:v>0.91044776119402981</c:v>
                </c:pt>
                <c:pt idx="495">
                  <c:v>0.91044776119402981</c:v>
                </c:pt>
                <c:pt idx="496">
                  <c:v>0.91044776119402981</c:v>
                </c:pt>
                <c:pt idx="497">
                  <c:v>0.91044776119402981</c:v>
                </c:pt>
                <c:pt idx="498">
                  <c:v>0.91044776119402981</c:v>
                </c:pt>
                <c:pt idx="499">
                  <c:v>0.91044776119402981</c:v>
                </c:pt>
                <c:pt idx="500">
                  <c:v>0.91044776119402981</c:v>
                </c:pt>
                <c:pt idx="501">
                  <c:v>0.92537313432835822</c:v>
                </c:pt>
                <c:pt idx="502">
                  <c:v>0.92537313432835822</c:v>
                </c:pt>
                <c:pt idx="503">
                  <c:v>0.92537313432835822</c:v>
                </c:pt>
                <c:pt idx="504">
                  <c:v>0.92537313432835822</c:v>
                </c:pt>
                <c:pt idx="505">
                  <c:v>0.92537313432835822</c:v>
                </c:pt>
                <c:pt idx="506">
                  <c:v>0.92537313432835822</c:v>
                </c:pt>
                <c:pt idx="507">
                  <c:v>0.92537313432835822</c:v>
                </c:pt>
                <c:pt idx="508">
                  <c:v>0.92537313432835822</c:v>
                </c:pt>
                <c:pt idx="509">
                  <c:v>0.92537313432835822</c:v>
                </c:pt>
                <c:pt idx="510">
                  <c:v>0.92537313432835822</c:v>
                </c:pt>
                <c:pt idx="511">
                  <c:v>0.92537313432835822</c:v>
                </c:pt>
                <c:pt idx="512">
                  <c:v>0.92537313432835822</c:v>
                </c:pt>
                <c:pt idx="513">
                  <c:v>0.92537313432835822</c:v>
                </c:pt>
                <c:pt idx="514">
                  <c:v>0.92537313432835822</c:v>
                </c:pt>
                <c:pt idx="515">
                  <c:v>0.92537313432835822</c:v>
                </c:pt>
                <c:pt idx="516">
                  <c:v>0.92537313432835822</c:v>
                </c:pt>
                <c:pt idx="517">
                  <c:v>0.92537313432835822</c:v>
                </c:pt>
                <c:pt idx="518">
                  <c:v>0.92537313432835822</c:v>
                </c:pt>
                <c:pt idx="519">
                  <c:v>0.92537313432835822</c:v>
                </c:pt>
                <c:pt idx="520">
                  <c:v>0.92537313432835822</c:v>
                </c:pt>
                <c:pt idx="521">
                  <c:v>0.92537313432835822</c:v>
                </c:pt>
                <c:pt idx="522">
                  <c:v>0.92537313432835822</c:v>
                </c:pt>
                <c:pt idx="523">
                  <c:v>0.92537313432835822</c:v>
                </c:pt>
                <c:pt idx="524">
                  <c:v>0.92537313432835822</c:v>
                </c:pt>
                <c:pt idx="525">
                  <c:v>0.92537313432835822</c:v>
                </c:pt>
                <c:pt idx="526">
                  <c:v>0.92537313432835822</c:v>
                </c:pt>
                <c:pt idx="527">
                  <c:v>0.92537313432835822</c:v>
                </c:pt>
                <c:pt idx="528">
                  <c:v>0.92537313432835822</c:v>
                </c:pt>
                <c:pt idx="529">
                  <c:v>0.92537313432835822</c:v>
                </c:pt>
                <c:pt idx="530">
                  <c:v>0.92537313432835822</c:v>
                </c:pt>
                <c:pt idx="531">
                  <c:v>0.92537313432835822</c:v>
                </c:pt>
                <c:pt idx="532">
                  <c:v>0.92537313432835822</c:v>
                </c:pt>
                <c:pt idx="533">
                  <c:v>0.92537313432835822</c:v>
                </c:pt>
                <c:pt idx="534">
                  <c:v>0.92537313432835822</c:v>
                </c:pt>
                <c:pt idx="535">
                  <c:v>0.92537313432835822</c:v>
                </c:pt>
                <c:pt idx="536">
                  <c:v>0.92537313432835822</c:v>
                </c:pt>
                <c:pt idx="537">
                  <c:v>0.92537313432835822</c:v>
                </c:pt>
                <c:pt idx="538">
                  <c:v>0.92537313432835822</c:v>
                </c:pt>
                <c:pt idx="539">
                  <c:v>0.92537313432835822</c:v>
                </c:pt>
                <c:pt idx="540">
                  <c:v>0.92537313432835822</c:v>
                </c:pt>
                <c:pt idx="541">
                  <c:v>0.92537313432835822</c:v>
                </c:pt>
                <c:pt idx="542">
                  <c:v>0.92537313432835822</c:v>
                </c:pt>
                <c:pt idx="543">
                  <c:v>0.92537313432835822</c:v>
                </c:pt>
                <c:pt idx="544">
                  <c:v>0.92537313432835822</c:v>
                </c:pt>
                <c:pt idx="545">
                  <c:v>0.92537313432835822</c:v>
                </c:pt>
                <c:pt idx="546">
                  <c:v>0.92537313432835822</c:v>
                </c:pt>
                <c:pt idx="547">
                  <c:v>0.92537313432835822</c:v>
                </c:pt>
                <c:pt idx="548">
                  <c:v>0.92537313432835822</c:v>
                </c:pt>
                <c:pt idx="549">
                  <c:v>0.92537313432835822</c:v>
                </c:pt>
                <c:pt idx="550">
                  <c:v>0.92537313432835822</c:v>
                </c:pt>
                <c:pt idx="551">
                  <c:v>0.92537313432835822</c:v>
                </c:pt>
                <c:pt idx="552">
                  <c:v>0.92537313432835822</c:v>
                </c:pt>
                <c:pt idx="553">
                  <c:v>0.92537313432835822</c:v>
                </c:pt>
                <c:pt idx="554">
                  <c:v>0.92537313432835822</c:v>
                </c:pt>
                <c:pt idx="555">
                  <c:v>0.92537313432835822</c:v>
                </c:pt>
                <c:pt idx="556">
                  <c:v>0.92537313432835822</c:v>
                </c:pt>
                <c:pt idx="557">
                  <c:v>0.92537313432835822</c:v>
                </c:pt>
                <c:pt idx="558">
                  <c:v>0.92537313432835822</c:v>
                </c:pt>
                <c:pt idx="559">
                  <c:v>0.92537313432835822</c:v>
                </c:pt>
                <c:pt idx="560">
                  <c:v>0.92537313432835822</c:v>
                </c:pt>
                <c:pt idx="561">
                  <c:v>0.92537313432835822</c:v>
                </c:pt>
                <c:pt idx="562">
                  <c:v>0.92537313432835822</c:v>
                </c:pt>
                <c:pt idx="563">
                  <c:v>0.92537313432835822</c:v>
                </c:pt>
                <c:pt idx="564">
                  <c:v>0.92537313432835822</c:v>
                </c:pt>
                <c:pt idx="565">
                  <c:v>0.92537313432835822</c:v>
                </c:pt>
                <c:pt idx="566">
                  <c:v>0.92537313432835822</c:v>
                </c:pt>
                <c:pt idx="567">
                  <c:v>0.92537313432835822</c:v>
                </c:pt>
                <c:pt idx="568">
                  <c:v>0.92537313432835822</c:v>
                </c:pt>
                <c:pt idx="569">
                  <c:v>0.92537313432835822</c:v>
                </c:pt>
                <c:pt idx="570">
                  <c:v>0.92537313432835822</c:v>
                </c:pt>
                <c:pt idx="571">
                  <c:v>0.92537313432835822</c:v>
                </c:pt>
                <c:pt idx="572">
                  <c:v>0.92537313432835822</c:v>
                </c:pt>
                <c:pt idx="573">
                  <c:v>0.92537313432835822</c:v>
                </c:pt>
                <c:pt idx="574">
                  <c:v>0.92537313432835822</c:v>
                </c:pt>
                <c:pt idx="575">
                  <c:v>0.92537313432835822</c:v>
                </c:pt>
                <c:pt idx="576">
                  <c:v>0.92537313432835822</c:v>
                </c:pt>
                <c:pt idx="577">
                  <c:v>0.92537313432835822</c:v>
                </c:pt>
                <c:pt idx="578">
                  <c:v>0.92537313432835822</c:v>
                </c:pt>
                <c:pt idx="579">
                  <c:v>0.92537313432835822</c:v>
                </c:pt>
                <c:pt idx="580">
                  <c:v>0.92537313432835822</c:v>
                </c:pt>
                <c:pt idx="581">
                  <c:v>0.92537313432835822</c:v>
                </c:pt>
                <c:pt idx="582">
                  <c:v>0.92537313432835822</c:v>
                </c:pt>
                <c:pt idx="583">
                  <c:v>0.92537313432835822</c:v>
                </c:pt>
                <c:pt idx="584">
                  <c:v>0.92537313432835822</c:v>
                </c:pt>
                <c:pt idx="585">
                  <c:v>0.94029850746268662</c:v>
                </c:pt>
                <c:pt idx="586">
                  <c:v>0.94029850746268662</c:v>
                </c:pt>
                <c:pt idx="587">
                  <c:v>0.94029850746268662</c:v>
                </c:pt>
                <c:pt idx="588">
                  <c:v>0.94029850746268662</c:v>
                </c:pt>
                <c:pt idx="589">
                  <c:v>0.94029850746268662</c:v>
                </c:pt>
                <c:pt idx="590">
                  <c:v>0.94029850746268662</c:v>
                </c:pt>
                <c:pt idx="591">
                  <c:v>0.94029850746268662</c:v>
                </c:pt>
                <c:pt idx="592">
                  <c:v>0.94029850746268662</c:v>
                </c:pt>
                <c:pt idx="593">
                  <c:v>0.94029850746268662</c:v>
                </c:pt>
                <c:pt idx="594">
                  <c:v>0.94029850746268662</c:v>
                </c:pt>
                <c:pt idx="595">
                  <c:v>0.94029850746268662</c:v>
                </c:pt>
                <c:pt idx="596">
                  <c:v>0.94029850746268662</c:v>
                </c:pt>
                <c:pt idx="597">
                  <c:v>0.94029850746268662</c:v>
                </c:pt>
                <c:pt idx="598">
                  <c:v>0.94029850746268662</c:v>
                </c:pt>
                <c:pt idx="599">
                  <c:v>0.94029850746268662</c:v>
                </c:pt>
                <c:pt idx="600">
                  <c:v>0.94029850746268662</c:v>
                </c:pt>
                <c:pt idx="601">
                  <c:v>0.94029850746268662</c:v>
                </c:pt>
                <c:pt idx="602">
                  <c:v>0.94029850746268662</c:v>
                </c:pt>
                <c:pt idx="603">
                  <c:v>0.94029850746268662</c:v>
                </c:pt>
                <c:pt idx="604">
                  <c:v>0.94029850746268662</c:v>
                </c:pt>
                <c:pt idx="605">
                  <c:v>0.94029850746268662</c:v>
                </c:pt>
                <c:pt idx="606">
                  <c:v>0.94029850746268662</c:v>
                </c:pt>
                <c:pt idx="607">
                  <c:v>0.94029850746268662</c:v>
                </c:pt>
                <c:pt idx="608">
                  <c:v>0.94029850746268662</c:v>
                </c:pt>
                <c:pt idx="609">
                  <c:v>0.94029850746268662</c:v>
                </c:pt>
                <c:pt idx="610">
                  <c:v>0.94029850746268662</c:v>
                </c:pt>
                <c:pt idx="611">
                  <c:v>0.94029850746268662</c:v>
                </c:pt>
                <c:pt idx="612">
                  <c:v>0.94029850746268662</c:v>
                </c:pt>
                <c:pt idx="613">
                  <c:v>0.94029850746268662</c:v>
                </c:pt>
                <c:pt idx="614">
                  <c:v>0.94029850746268662</c:v>
                </c:pt>
                <c:pt idx="615">
                  <c:v>0.94029850746268662</c:v>
                </c:pt>
                <c:pt idx="616">
                  <c:v>0.94029850746268662</c:v>
                </c:pt>
                <c:pt idx="617">
                  <c:v>0.94029850746268662</c:v>
                </c:pt>
                <c:pt idx="618">
                  <c:v>0.94029850746268662</c:v>
                </c:pt>
                <c:pt idx="619">
                  <c:v>0.94029850746268662</c:v>
                </c:pt>
                <c:pt idx="620">
                  <c:v>0.94029850746268662</c:v>
                </c:pt>
                <c:pt idx="621">
                  <c:v>0.94029850746268662</c:v>
                </c:pt>
                <c:pt idx="622">
                  <c:v>0.94029850746268662</c:v>
                </c:pt>
                <c:pt idx="623">
                  <c:v>0.94029850746268662</c:v>
                </c:pt>
                <c:pt idx="624">
                  <c:v>0.94029850746268662</c:v>
                </c:pt>
                <c:pt idx="625">
                  <c:v>0.94029850746268662</c:v>
                </c:pt>
                <c:pt idx="626">
                  <c:v>0.94029850746268662</c:v>
                </c:pt>
                <c:pt idx="627">
                  <c:v>0.94029850746268662</c:v>
                </c:pt>
                <c:pt idx="628">
                  <c:v>0.94029850746268662</c:v>
                </c:pt>
                <c:pt idx="629">
                  <c:v>0.94029850746268662</c:v>
                </c:pt>
                <c:pt idx="630">
                  <c:v>0.94029850746268662</c:v>
                </c:pt>
                <c:pt idx="631">
                  <c:v>0.94029850746268662</c:v>
                </c:pt>
                <c:pt idx="632">
                  <c:v>0.94029850746268662</c:v>
                </c:pt>
                <c:pt idx="633">
                  <c:v>0.94029850746268662</c:v>
                </c:pt>
                <c:pt idx="634">
                  <c:v>0.94029850746268662</c:v>
                </c:pt>
                <c:pt idx="635">
                  <c:v>0.94029850746268662</c:v>
                </c:pt>
                <c:pt idx="636">
                  <c:v>0.94029850746268662</c:v>
                </c:pt>
                <c:pt idx="637">
                  <c:v>0.94029850746268662</c:v>
                </c:pt>
                <c:pt idx="638">
                  <c:v>0.94029850746268662</c:v>
                </c:pt>
                <c:pt idx="639">
                  <c:v>0.94029850746268662</c:v>
                </c:pt>
                <c:pt idx="640">
                  <c:v>0.94029850746268662</c:v>
                </c:pt>
                <c:pt idx="641">
                  <c:v>0.94029850746268662</c:v>
                </c:pt>
                <c:pt idx="642">
                  <c:v>0.94029850746268662</c:v>
                </c:pt>
                <c:pt idx="643">
                  <c:v>0.94029850746268662</c:v>
                </c:pt>
                <c:pt idx="644">
                  <c:v>0.94029850746268662</c:v>
                </c:pt>
                <c:pt idx="645">
                  <c:v>0.94029850746268662</c:v>
                </c:pt>
                <c:pt idx="646">
                  <c:v>0.94029850746268662</c:v>
                </c:pt>
                <c:pt idx="647">
                  <c:v>0.94029850746268662</c:v>
                </c:pt>
                <c:pt idx="648">
                  <c:v>0.94029850746268662</c:v>
                </c:pt>
                <c:pt idx="649">
                  <c:v>0.94029850746268662</c:v>
                </c:pt>
                <c:pt idx="650">
                  <c:v>0.94029850746268662</c:v>
                </c:pt>
                <c:pt idx="651">
                  <c:v>0.94029850746268662</c:v>
                </c:pt>
                <c:pt idx="652">
                  <c:v>0.94029850746268662</c:v>
                </c:pt>
                <c:pt idx="653">
                  <c:v>0.94029850746268662</c:v>
                </c:pt>
                <c:pt idx="654">
                  <c:v>0.94029850746268662</c:v>
                </c:pt>
                <c:pt idx="655">
                  <c:v>0.94029850746268662</c:v>
                </c:pt>
                <c:pt idx="656">
                  <c:v>0.94029850746268662</c:v>
                </c:pt>
                <c:pt idx="657">
                  <c:v>0.94029850746268662</c:v>
                </c:pt>
                <c:pt idx="658">
                  <c:v>0.94029850746268662</c:v>
                </c:pt>
                <c:pt idx="659">
                  <c:v>0.94029850746268662</c:v>
                </c:pt>
                <c:pt idx="660">
                  <c:v>0.94029850746268662</c:v>
                </c:pt>
                <c:pt idx="661">
                  <c:v>0.94029850746268662</c:v>
                </c:pt>
                <c:pt idx="662">
                  <c:v>0.94029850746268662</c:v>
                </c:pt>
                <c:pt idx="663">
                  <c:v>0.94029850746268662</c:v>
                </c:pt>
                <c:pt idx="664">
                  <c:v>0.94029850746268662</c:v>
                </c:pt>
                <c:pt idx="665">
                  <c:v>0.94029850746268662</c:v>
                </c:pt>
                <c:pt idx="666">
                  <c:v>0.94029850746268662</c:v>
                </c:pt>
                <c:pt idx="667">
                  <c:v>0.94029850746268662</c:v>
                </c:pt>
                <c:pt idx="668">
                  <c:v>0.94029850746268662</c:v>
                </c:pt>
                <c:pt idx="669">
                  <c:v>0.94029850746268662</c:v>
                </c:pt>
                <c:pt idx="670">
                  <c:v>0.94029850746268662</c:v>
                </c:pt>
                <c:pt idx="671">
                  <c:v>0.94029850746268662</c:v>
                </c:pt>
                <c:pt idx="672">
                  <c:v>0.94029850746268662</c:v>
                </c:pt>
                <c:pt idx="673">
                  <c:v>0.94029850746268662</c:v>
                </c:pt>
                <c:pt idx="674">
                  <c:v>0.94029850746268662</c:v>
                </c:pt>
                <c:pt idx="675">
                  <c:v>0.94029850746268662</c:v>
                </c:pt>
                <c:pt idx="676">
                  <c:v>0.94029850746268662</c:v>
                </c:pt>
                <c:pt idx="677">
                  <c:v>0.94029850746268662</c:v>
                </c:pt>
                <c:pt idx="678">
                  <c:v>0.94029850746268662</c:v>
                </c:pt>
                <c:pt idx="679">
                  <c:v>0.94029850746268662</c:v>
                </c:pt>
                <c:pt idx="680">
                  <c:v>0.94029850746268662</c:v>
                </c:pt>
                <c:pt idx="681">
                  <c:v>0.94029850746268662</c:v>
                </c:pt>
                <c:pt idx="682">
                  <c:v>0.94029850746268662</c:v>
                </c:pt>
                <c:pt idx="683">
                  <c:v>0.94029850746268662</c:v>
                </c:pt>
                <c:pt idx="684">
                  <c:v>0.94029850746268662</c:v>
                </c:pt>
                <c:pt idx="685">
                  <c:v>0.94029850746268662</c:v>
                </c:pt>
                <c:pt idx="686">
                  <c:v>0.94029850746268662</c:v>
                </c:pt>
                <c:pt idx="687">
                  <c:v>0.94029850746268662</c:v>
                </c:pt>
                <c:pt idx="688">
                  <c:v>0.94029850746268662</c:v>
                </c:pt>
                <c:pt idx="689">
                  <c:v>0.94029850746268662</c:v>
                </c:pt>
                <c:pt idx="690">
                  <c:v>0.94029850746268662</c:v>
                </c:pt>
                <c:pt idx="691">
                  <c:v>0.94029850746268662</c:v>
                </c:pt>
                <c:pt idx="692">
                  <c:v>0.94029850746268662</c:v>
                </c:pt>
                <c:pt idx="693">
                  <c:v>0.94029850746268662</c:v>
                </c:pt>
                <c:pt idx="694">
                  <c:v>0.94029850746268662</c:v>
                </c:pt>
                <c:pt idx="695">
                  <c:v>0.94029850746268662</c:v>
                </c:pt>
                <c:pt idx="696">
                  <c:v>0.94029850746268662</c:v>
                </c:pt>
                <c:pt idx="697">
                  <c:v>0.94029850746268662</c:v>
                </c:pt>
                <c:pt idx="698">
                  <c:v>0.94029850746268662</c:v>
                </c:pt>
                <c:pt idx="699">
                  <c:v>0.94029850746268662</c:v>
                </c:pt>
                <c:pt idx="700">
                  <c:v>0.94029850746268662</c:v>
                </c:pt>
                <c:pt idx="701">
                  <c:v>0.94029850746268662</c:v>
                </c:pt>
                <c:pt idx="702">
                  <c:v>0.94029850746268662</c:v>
                </c:pt>
                <c:pt idx="703">
                  <c:v>0.94029850746268662</c:v>
                </c:pt>
                <c:pt idx="704">
                  <c:v>0.94029850746268662</c:v>
                </c:pt>
                <c:pt idx="705">
                  <c:v>0.94029850746268662</c:v>
                </c:pt>
                <c:pt idx="706">
                  <c:v>0.94029850746268662</c:v>
                </c:pt>
                <c:pt idx="707">
                  <c:v>0.94029850746268662</c:v>
                </c:pt>
                <c:pt idx="708">
                  <c:v>0.94029850746268662</c:v>
                </c:pt>
                <c:pt idx="709">
                  <c:v>0.94029850746268662</c:v>
                </c:pt>
                <c:pt idx="710">
                  <c:v>0.94029850746268662</c:v>
                </c:pt>
                <c:pt idx="711">
                  <c:v>0.94029850746268662</c:v>
                </c:pt>
                <c:pt idx="712">
                  <c:v>0.94029850746268662</c:v>
                </c:pt>
                <c:pt idx="713">
                  <c:v>0.94029850746268662</c:v>
                </c:pt>
                <c:pt idx="714">
                  <c:v>0.94029850746268662</c:v>
                </c:pt>
                <c:pt idx="715">
                  <c:v>0.94029850746268662</c:v>
                </c:pt>
                <c:pt idx="716">
                  <c:v>0.94029850746268662</c:v>
                </c:pt>
                <c:pt idx="717">
                  <c:v>0.94029850746268662</c:v>
                </c:pt>
                <c:pt idx="718">
                  <c:v>0.94029850746268662</c:v>
                </c:pt>
                <c:pt idx="719">
                  <c:v>0.94029850746268662</c:v>
                </c:pt>
                <c:pt idx="720">
                  <c:v>0.94029850746268662</c:v>
                </c:pt>
                <c:pt idx="721">
                  <c:v>0.94029850746268662</c:v>
                </c:pt>
                <c:pt idx="722">
                  <c:v>0.94029850746268662</c:v>
                </c:pt>
                <c:pt idx="723">
                  <c:v>0.94029850746268662</c:v>
                </c:pt>
                <c:pt idx="724">
                  <c:v>0.94029850746268662</c:v>
                </c:pt>
                <c:pt idx="725">
                  <c:v>0.94029850746268662</c:v>
                </c:pt>
                <c:pt idx="726">
                  <c:v>0.94029850746268662</c:v>
                </c:pt>
                <c:pt idx="727">
                  <c:v>0.94029850746268662</c:v>
                </c:pt>
                <c:pt idx="728">
                  <c:v>0.94029850746268662</c:v>
                </c:pt>
                <c:pt idx="729">
                  <c:v>0.94029850746268662</c:v>
                </c:pt>
                <c:pt idx="730">
                  <c:v>0.94029850746268662</c:v>
                </c:pt>
                <c:pt idx="731">
                  <c:v>0.94029850746268662</c:v>
                </c:pt>
                <c:pt idx="732">
                  <c:v>0.94029850746268662</c:v>
                </c:pt>
                <c:pt idx="733">
                  <c:v>0.94029850746268662</c:v>
                </c:pt>
                <c:pt idx="734">
                  <c:v>0.94029850746268662</c:v>
                </c:pt>
                <c:pt idx="735">
                  <c:v>0.94029850746268662</c:v>
                </c:pt>
                <c:pt idx="736">
                  <c:v>0.94029850746268662</c:v>
                </c:pt>
                <c:pt idx="737">
                  <c:v>0.94029850746268662</c:v>
                </c:pt>
                <c:pt idx="738">
                  <c:v>0.94029850746268662</c:v>
                </c:pt>
                <c:pt idx="739">
                  <c:v>0.94029850746268662</c:v>
                </c:pt>
                <c:pt idx="740">
                  <c:v>0.94029850746268662</c:v>
                </c:pt>
                <c:pt idx="741">
                  <c:v>0.94029850746268662</c:v>
                </c:pt>
                <c:pt idx="742">
                  <c:v>0.94029850746268662</c:v>
                </c:pt>
                <c:pt idx="743">
                  <c:v>0.94029850746268662</c:v>
                </c:pt>
                <c:pt idx="744">
                  <c:v>0.94029850746268662</c:v>
                </c:pt>
                <c:pt idx="745">
                  <c:v>0.94029850746268662</c:v>
                </c:pt>
                <c:pt idx="746">
                  <c:v>0.94029850746268662</c:v>
                </c:pt>
                <c:pt idx="747">
                  <c:v>0.94029850746268662</c:v>
                </c:pt>
                <c:pt idx="748">
                  <c:v>0.94029850746268662</c:v>
                </c:pt>
                <c:pt idx="749">
                  <c:v>0.94029850746268662</c:v>
                </c:pt>
                <c:pt idx="750">
                  <c:v>0.94029850746268662</c:v>
                </c:pt>
                <c:pt idx="751">
                  <c:v>0.94029850746268662</c:v>
                </c:pt>
                <c:pt idx="752">
                  <c:v>0.94029850746268662</c:v>
                </c:pt>
                <c:pt idx="753">
                  <c:v>0.94029850746268662</c:v>
                </c:pt>
                <c:pt idx="754">
                  <c:v>0.94029850746268662</c:v>
                </c:pt>
                <c:pt idx="755">
                  <c:v>0.94029850746268662</c:v>
                </c:pt>
                <c:pt idx="756">
                  <c:v>0.94029850746268662</c:v>
                </c:pt>
                <c:pt idx="757">
                  <c:v>0.94029850746268662</c:v>
                </c:pt>
                <c:pt idx="758">
                  <c:v>0.94029850746268662</c:v>
                </c:pt>
                <c:pt idx="759">
                  <c:v>0.94029850746268662</c:v>
                </c:pt>
                <c:pt idx="760">
                  <c:v>0.94029850746268662</c:v>
                </c:pt>
                <c:pt idx="761">
                  <c:v>0.94029850746268662</c:v>
                </c:pt>
                <c:pt idx="762">
                  <c:v>0.94029850746268662</c:v>
                </c:pt>
                <c:pt idx="763">
                  <c:v>0.94029850746268662</c:v>
                </c:pt>
                <c:pt idx="764">
                  <c:v>0.94029850746268662</c:v>
                </c:pt>
                <c:pt idx="765">
                  <c:v>0.94029850746268662</c:v>
                </c:pt>
                <c:pt idx="766">
                  <c:v>0.94029850746268662</c:v>
                </c:pt>
                <c:pt idx="767">
                  <c:v>0.94029850746268662</c:v>
                </c:pt>
                <c:pt idx="768">
                  <c:v>0.94029850746268662</c:v>
                </c:pt>
                <c:pt idx="769">
                  <c:v>0.94029850746268662</c:v>
                </c:pt>
                <c:pt idx="770">
                  <c:v>0.94029850746268662</c:v>
                </c:pt>
                <c:pt idx="771">
                  <c:v>0.94029850746268662</c:v>
                </c:pt>
                <c:pt idx="772">
                  <c:v>0.94029850746268662</c:v>
                </c:pt>
                <c:pt idx="773">
                  <c:v>0.94029850746268662</c:v>
                </c:pt>
                <c:pt idx="774">
                  <c:v>0.94029850746268662</c:v>
                </c:pt>
                <c:pt idx="775">
                  <c:v>0.94029850746268662</c:v>
                </c:pt>
                <c:pt idx="776">
                  <c:v>0.94029850746268662</c:v>
                </c:pt>
                <c:pt idx="777">
                  <c:v>0.94029850746268662</c:v>
                </c:pt>
                <c:pt idx="778">
                  <c:v>0.94029850746268662</c:v>
                </c:pt>
                <c:pt idx="779">
                  <c:v>0.94029850746268662</c:v>
                </c:pt>
                <c:pt idx="780">
                  <c:v>0.94029850746268662</c:v>
                </c:pt>
                <c:pt idx="781">
                  <c:v>0.94029850746268662</c:v>
                </c:pt>
                <c:pt idx="782">
                  <c:v>0.94029850746268662</c:v>
                </c:pt>
                <c:pt idx="783">
                  <c:v>0.94029850746268662</c:v>
                </c:pt>
                <c:pt idx="784">
                  <c:v>0.94029850746268662</c:v>
                </c:pt>
                <c:pt idx="785">
                  <c:v>0.94029850746268662</c:v>
                </c:pt>
                <c:pt idx="786">
                  <c:v>0.94029850746268662</c:v>
                </c:pt>
                <c:pt idx="787">
                  <c:v>0.94029850746268662</c:v>
                </c:pt>
                <c:pt idx="788">
                  <c:v>0.94029850746268662</c:v>
                </c:pt>
                <c:pt idx="789">
                  <c:v>0.94029850746268662</c:v>
                </c:pt>
                <c:pt idx="790">
                  <c:v>0.94029850746268662</c:v>
                </c:pt>
                <c:pt idx="791">
                  <c:v>0.94029850746268662</c:v>
                </c:pt>
                <c:pt idx="792">
                  <c:v>0.94029850746268662</c:v>
                </c:pt>
                <c:pt idx="793">
                  <c:v>0.94029850746268662</c:v>
                </c:pt>
                <c:pt idx="794">
                  <c:v>0.94029850746268662</c:v>
                </c:pt>
                <c:pt idx="795">
                  <c:v>0.94029850746268662</c:v>
                </c:pt>
                <c:pt idx="796">
                  <c:v>0.94029850746268662</c:v>
                </c:pt>
                <c:pt idx="797">
                  <c:v>0.94029850746268662</c:v>
                </c:pt>
                <c:pt idx="798">
                  <c:v>0.94029850746268662</c:v>
                </c:pt>
                <c:pt idx="799">
                  <c:v>0.94029850746268662</c:v>
                </c:pt>
                <c:pt idx="800">
                  <c:v>0.94029850746268662</c:v>
                </c:pt>
                <c:pt idx="801">
                  <c:v>0.94029850746268662</c:v>
                </c:pt>
                <c:pt idx="802">
                  <c:v>0.94029850746268662</c:v>
                </c:pt>
                <c:pt idx="803">
                  <c:v>0.94029850746268662</c:v>
                </c:pt>
                <c:pt idx="804">
                  <c:v>0.94029850746268662</c:v>
                </c:pt>
                <c:pt idx="805">
                  <c:v>0.94029850746268662</c:v>
                </c:pt>
                <c:pt idx="806">
                  <c:v>0.94029850746268662</c:v>
                </c:pt>
                <c:pt idx="807">
                  <c:v>0.94029850746268662</c:v>
                </c:pt>
                <c:pt idx="808">
                  <c:v>0.94029850746268662</c:v>
                </c:pt>
                <c:pt idx="809">
                  <c:v>0.94029850746268662</c:v>
                </c:pt>
                <c:pt idx="810">
                  <c:v>0.94029850746268662</c:v>
                </c:pt>
                <c:pt idx="811">
                  <c:v>0.94029850746268662</c:v>
                </c:pt>
                <c:pt idx="812">
                  <c:v>0.94029850746268662</c:v>
                </c:pt>
                <c:pt idx="813">
                  <c:v>0.94029850746268662</c:v>
                </c:pt>
                <c:pt idx="814">
                  <c:v>0.94029850746268662</c:v>
                </c:pt>
                <c:pt idx="815">
                  <c:v>0.94029850746268662</c:v>
                </c:pt>
                <c:pt idx="816">
                  <c:v>0.94029850746268662</c:v>
                </c:pt>
                <c:pt idx="817">
                  <c:v>0.94029850746268662</c:v>
                </c:pt>
                <c:pt idx="818">
                  <c:v>0.94029850746268662</c:v>
                </c:pt>
                <c:pt idx="819">
                  <c:v>0.94029850746268662</c:v>
                </c:pt>
                <c:pt idx="820">
                  <c:v>0.94029850746268662</c:v>
                </c:pt>
                <c:pt idx="821">
                  <c:v>0.94029850746268662</c:v>
                </c:pt>
                <c:pt idx="822">
                  <c:v>0.94029850746268662</c:v>
                </c:pt>
                <c:pt idx="823">
                  <c:v>0.94029850746268662</c:v>
                </c:pt>
                <c:pt idx="824">
                  <c:v>0.94029850746268662</c:v>
                </c:pt>
                <c:pt idx="825">
                  <c:v>0.94029850746268662</c:v>
                </c:pt>
                <c:pt idx="826">
                  <c:v>0.94029850746268662</c:v>
                </c:pt>
                <c:pt idx="827">
                  <c:v>0.94029850746268662</c:v>
                </c:pt>
                <c:pt idx="828">
                  <c:v>0.94029850746268662</c:v>
                </c:pt>
                <c:pt idx="829">
                  <c:v>0.94029850746268662</c:v>
                </c:pt>
                <c:pt idx="830">
                  <c:v>0.94029850746268662</c:v>
                </c:pt>
                <c:pt idx="831">
                  <c:v>0.94029850746268662</c:v>
                </c:pt>
                <c:pt idx="832">
                  <c:v>0.94029850746268662</c:v>
                </c:pt>
                <c:pt idx="833">
                  <c:v>0.94029850746268662</c:v>
                </c:pt>
                <c:pt idx="834">
                  <c:v>0.94029850746268662</c:v>
                </c:pt>
                <c:pt idx="835">
                  <c:v>0.94029850746268662</c:v>
                </c:pt>
                <c:pt idx="836">
                  <c:v>0.94029850746268662</c:v>
                </c:pt>
                <c:pt idx="837">
                  <c:v>0.94029850746268662</c:v>
                </c:pt>
                <c:pt idx="838">
                  <c:v>0.94029850746268662</c:v>
                </c:pt>
                <c:pt idx="839">
                  <c:v>0.94029850746268662</c:v>
                </c:pt>
                <c:pt idx="840">
                  <c:v>0.94029850746268662</c:v>
                </c:pt>
                <c:pt idx="841">
                  <c:v>0.94029850746268662</c:v>
                </c:pt>
                <c:pt idx="842">
                  <c:v>0.94029850746268662</c:v>
                </c:pt>
                <c:pt idx="843">
                  <c:v>0.94029850746268662</c:v>
                </c:pt>
                <c:pt idx="844">
                  <c:v>0.94029850746268662</c:v>
                </c:pt>
                <c:pt idx="845">
                  <c:v>0.94029850746268662</c:v>
                </c:pt>
                <c:pt idx="846">
                  <c:v>0.94029850746268662</c:v>
                </c:pt>
                <c:pt idx="847">
                  <c:v>0.94029850746268662</c:v>
                </c:pt>
                <c:pt idx="848">
                  <c:v>0.94029850746268662</c:v>
                </c:pt>
                <c:pt idx="849">
                  <c:v>0.94029850746268662</c:v>
                </c:pt>
                <c:pt idx="850">
                  <c:v>0.94029850746268662</c:v>
                </c:pt>
                <c:pt idx="851">
                  <c:v>0.94029850746268662</c:v>
                </c:pt>
                <c:pt idx="852">
                  <c:v>0.94029850746268662</c:v>
                </c:pt>
                <c:pt idx="853">
                  <c:v>0.94029850746268662</c:v>
                </c:pt>
                <c:pt idx="854">
                  <c:v>0.94029850746268662</c:v>
                </c:pt>
                <c:pt idx="855">
                  <c:v>0.94029850746268662</c:v>
                </c:pt>
                <c:pt idx="856">
                  <c:v>0.94029850746268662</c:v>
                </c:pt>
                <c:pt idx="857">
                  <c:v>0.94029850746268662</c:v>
                </c:pt>
                <c:pt idx="858">
                  <c:v>0.94029850746268662</c:v>
                </c:pt>
                <c:pt idx="859">
                  <c:v>0.94029850746268662</c:v>
                </c:pt>
                <c:pt idx="860">
                  <c:v>0.94029850746268662</c:v>
                </c:pt>
                <c:pt idx="861">
                  <c:v>0.94029850746268662</c:v>
                </c:pt>
                <c:pt idx="862">
                  <c:v>0.94029850746268662</c:v>
                </c:pt>
                <c:pt idx="863">
                  <c:v>0.94029850746268662</c:v>
                </c:pt>
                <c:pt idx="864">
                  <c:v>0.94029850746268662</c:v>
                </c:pt>
                <c:pt idx="865">
                  <c:v>0.94029850746268662</c:v>
                </c:pt>
                <c:pt idx="866">
                  <c:v>0.94029850746268662</c:v>
                </c:pt>
                <c:pt idx="867">
                  <c:v>0.94029850746268662</c:v>
                </c:pt>
                <c:pt idx="868">
                  <c:v>0.94029850746268662</c:v>
                </c:pt>
                <c:pt idx="869">
                  <c:v>0.94029850746268662</c:v>
                </c:pt>
                <c:pt idx="870">
                  <c:v>0.94029850746268662</c:v>
                </c:pt>
                <c:pt idx="871">
                  <c:v>0.94029850746268662</c:v>
                </c:pt>
                <c:pt idx="872">
                  <c:v>0.94029850746268662</c:v>
                </c:pt>
                <c:pt idx="873">
                  <c:v>0.94029850746268662</c:v>
                </c:pt>
                <c:pt idx="874">
                  <c:v>0.94029850746268662</c:v>
                </c:pt>
                <c:pt idx="875">
                  <c:v>0.94029850746268662</c:v>
                </c:pt>
                <c:pt idx="876">
                  <c:v>0.94029850746268662</c:v>
                </c:pt>
                <c:pt idx="877">
                  <c:v>0.94029850746268662</c:v>
                </c:pt>
                <c:pt idx="878">
                  <c:v>0.94029850746268662</c:v>
                </c:pt>
                <c:pt idx="879">
                  <c:v>0.94029850746268662</c:v>
                </c:pt>
                <c:pt idx="880">
                  <c:v>0.94029850746268662</c:v>
                </c:pt>
                <c:pt idx="881">
                  <c:v>0.94029850746268662</c:v>
                </c:pt>
                <c:pt idx="882">
                  <c:v>0.94029850746268662</c:v>
                </c:pt>
                <c:pt idx="883">
                  <c:v>0.94029850746268662</c:v>
                </c:pt>
                <c:pt idx="884">
                  <c:v>0.94029850746268662</c:v>
                </c:pt>
                <c:pt idx="885">
                  <c:v>0.94029850746268662</c:v>
                </c:pt>
                <c:pt idx="886">
                  <c:v>0.94029850746268662</c:v>
                </c:pt>
                <c:pt idx="887">
                  <c:v>0.94029850746268662</c:v>
                </c:pt>
                <c:pt idx="888">
                  <c:v>0.96716417910447761</c:v>
                </c:pt>
                <c:pt idx="889">
                  <c:v>0.96716417910447761</c:v>
                </c:pt>
                <c:pt idx="890">
                  <c:v>0.96716417910447761</c:v>
                </c:pt>
                <c:pt idx="891">
                  <c:v>0.96716417910447761</c:v>
                </c:pt>
                <c:pt idx="892">
                  <c:v>0.96716417910447761</c:v>
                </c:pt>
                <c:pt idx="893">
                  <c:v>0.96716417910447761</c:v>
                </c:pt>
                <c:pt idx="894">
                  <c:v>0.96716417910447761</c:v>
                </c:pt>
                <c:pt idx="895">
                  <c:v>0.96716417910447761</c:v>
                </c:pt>
                <c:pt idx="896">
                  <c:v>0.96716417910447761</c:v>
                </c:pt>
                <c:pt idx="897">
                  <c:v>0.96716417910447761</c:v>
                </c:pt>
                <c:pt idx="898">
                  <c:v>0.96716417910447761</c:v>
                </c:pt>
                <c:pt idx="899">
                  <c:v>0.96716417910447761</c:v>
                </c:pt>
                <c:pt idx="900">
                  <c:v>0.96716417910447761</c:v>
                </c:pt>
                <c:pt idx="901">
                  <c:v>0.96716417910447761</c:v>
                </c:pt>
                <c:pt idx="902">
                  <c:v>0.96716417910447761</c:v>
                </c:pt>
                <c:pt idx="903">
                  <c:v>0.96716417910447761</c:v>
                </c:pt>
                <c:pt idx="904">
                  <c:v>0.96716417910447761</c:v>
                </c:pt>
                <c:pt idx="905">
                  <c:v>0.96716417910447761</c:v>
                </c:pt>
                <c:pt idx="906">
                  <c:v>0.96716417910447761</c:v>
                </c:pt>
                <c:pt idx="907">
                  <c:v>0.96716417910447761</c:v>
                </c:pt>
                <c:pt idx="908">
                  <c:v>0.96716417910447761</c:v>
                </c:pt>
                <c:pt idx="909">
                  <c:v>0.96716417910447761</c:v>
                </c:pt>
                <c:pt idx="910">
                  <c:v>0.96716417910447761</c:v>
                </c:pt>
                <c:pt idx="911">
                  <c:v>0.96716417910447761</c:v>
                </c:pt>
                <c:pt idx="912">
                  <c:v>0.96716417910447761</c:v>
                </c:pt>
                <c:pt idx="913">
                  <c:v>0.96716417910447761</c:v>
                </c:pt>
                <c:pt idx="914">
                  <c:v>0.96716417910447761</c:v>
                </c:pt>
                <c:pt idx="915">
                  <c:v>0.96716417910447761</c:v>
                </c:pt>
                <c:pt idx="916">
                  <c:v>0.96716417910447761</c:v>
                </c:pt>
                <c:pt idx="917">
                  <c:v>0.96716417910447761</c:v>
                </c:pt>
                <c:pt idx="918">
                  <c:v>0.96716417910447761</c:v>
                </c:pt>
                <c:pt idx="919">
                  <c:v>0.96716417910447761</c:v>
                </c:pt>
                <c:pt idx="920">
                  <c:v>0.96716417910447761</c:v>
                </c:pt>
                <c:pt idx="921">
                  <c:v>0.9970149253731343</c:v>
                </c:pt>
                <c:pt idx="922">
                  <c:v>0.9970149253731343</c:v>
                </c:pt>
                <c:pt idx="923">
                  <c:v>0.9970149253731343</c:v>
                </c:pt>
                <c:pt idx="924">
                  <c:v>0.9970149253731343</c:v>
                </c:pt>
                <c:pt idx="925">
                  <c:v>0.9970149253731343</c:v>
                </c:pt>
                <c:pt idx="926">
                  <c:v>0.9970149253731343</c:v>
                </c:pt>
                <c:pt idx="927">
                  <c:v>0.9970149253731343</c:v>
                </c:pt>
                <c:pt idx="928">
                  <c:v>0.9970149253731343</c:v>
                </c:pt>
                <c:pt idx="929">
                  <c:v>0.9970149253731343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</c:numCache>
            </c:numRef>
          </c:cat>
          <c:val>
            <c:numRef>
              <c:f>ROC!$Y$2:$Y$1002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3.1615554852992833E-4</c:v>
                </c:pt>
                <c:pt idx="169">
                  <c:v>3.1615554852992833E-4</c:v>
                </c:pt>
                <c:pt idx="170">
                  <c:v>3.1615554852992833E-4</c:v>
                </c:pt>
                <c:pt idx="171">
                  <c:v>3.1615554852992833E-4</c:v>
                </c:pt>
                <c:pt idx="172">
                  <c:v>3.1615554852992833E-4</c:v>
                </c:pt>
                <c:pt idx="173">
                  <c:v>3.1615554852992833E-4</c:v>
                </c:pt>
                <c:pt idx="174">
                  <c:v>3.1615554852992833E-4</c:v>
                </c:pt>
                <c:pt idx="175">
                  <c:v>3.1615554852992833E-4</c:v>
                </c:pt>
                <c:pt idx="176">
                  <c:v>3.1615554852992833E-4</c:v>
                </c:pt>
                <c:pt idx="177">
                  <c:v>3.1615554852992833E-4</c:v>
                </c:pt>
                <c:pt idx="178">
                  <c:v>3.1615554852992833E-4</c:v>
                </c:pt>
                <c:pt idx="179">
                  <c:v>3.1615554852992833E-4</c:v>
                </c:pt>
                <c:pt idx="180">
                  <c:v>3.1615554852992833E-4</c:v>
                </c:pt>
                <c:pt idx="181">
                  <c:v>3.1615554852992833E-4</c:v>
                </c:pt>
                <c:pt idx="182">
                  <c:v>3.1615554852992833E-4</c:v>
                </c:pt>
                <c:pt idx="183">
                  <c:v>3.1615554852992833E-4</c:v>
                </c:pt>
                <c:pt idx="184">
                  <c:v>3.1615554852992833E-4</c:v>
                </c:pt>
                <c:pt idx="185">
                  <c:v>3.1615554852992833E-4</c:v>
                </c:pt>
                <c:pt idx="186">
                  <c:v>3.1615554852992833E-4</c:v>
                </c:pt>
                <c:pt idx="187">
                  <c:v>3.1615554852992833E-4</c:v>
                </c:pt>
                <c:pt idx="188">
                  <c:v>3.1615554852992833E-4</c:v>
                </c:pt>
                <c:pt idx="189">
                  <c:v>3.1615554852992833E-4</c:v>
                </c:pt>
                <c:pt idx="190">
                  <c:v>3.1615554852992833E-4</c:v>
                </c:pt>
                <c:pt idx="191">
                  <c:v>3.1615554852992833E-4</c:v>
                </c:pt>
                <c:pt idx="192">
                  <c:v>3.1615554852992833E-4</c:v>
                </c:pt>
                <c:pt idx="193">
                  <c:v>3.1615554852992833E-4</c:v>
                </c:pt>
                <c:pt idx="194">
                  <c:v>3.1615554852992833E-4</c:v>
                </c:pt>
                <c:pt idx="195">
                  <c:v>3.1615554852992833E-4</c:v>
                </c:pt>
                <c:pt idx="196">
                  <c:v>3.1615554852992833E-4</c:v>
                </c:pt>
                <c:pt idx="197">
                  <c:v>3.1615554852992833E-4</c:v>
                </c:pt>
                <c:pt idx="198">
                  <c:v>3.1615554852992833E-4</c:v>
                </c:pt>
                <c:pt idx="199">
                  <c:v>3.1615554852992833E-4</c:v>
                </c:pt>
                <c:pt idx="200">
                  <c:v>3.1615554852992833E-4</c:v>
                </c:pt>
                <c:pt idx="201">
                  <c:v>3.1615554852992833E-4</c:v>
                </c:pt>
                <c:pt idx="202">
                  <c:v>3.1615554852992833E-4</c:v>
                </c:pt>
                <c:pt idx="203">
                  <c:v>3.1615554852992833E-4</c:v>
                </c:pt>
                <c:pt idx="204">
                  <c:v>3.1615554852992833E-4</c:v>
                </c:pt>
                <c:pt idx="205">
                  <c:v>3.1615554852992833E-4</c:v>
                </c:pt>
                <c:pt idx="206">
                  <c:v>3.1615554852992833E-4</c:v>
                </c:pt>
                <c:pt idx="207">
                  <c:v>3.1615554852992833E-4</c:v>
                </c:pt>
                <c:pt idx="208">
                  <c:v>3.1615554852992833E-4</c:v>
                </c:pt>
                <c:pt idx="209">
                  <c:v>3.1615554852992833E-4</c:v>
                </c:pt>
                <c:pt idx="210">
                  <c:v>3.1615554852992833E-4</c:v>
                </c:pt>
                <c:pt idx="211">
                  <c:v>3.1615554852992833E-4</c:v>
                </c:pt>
                <c:pt idx="212">
                  <c:v>3.1615554852992833E-4</c:v>
                </c:pt>
                <c:pt idx="213">
                  <c:v>3.1615554852992833E-4</c:v>
                </c:pt>
                <c:pt idx="214">
                  <c:v>3.1615554852992833E-4</c:v>
                </c:pt>
                <c:pt idx="215">
                  <c:v>3.1615554852992833E-4</c:v>
                </c:pt>
                <c:pt idx="216">
                  <c:v>3.1615554852992833E-4</c:v>
                </c:pt>
                <c:pt idx="217">
                  <c:v>3.1615554852992833E-4</c:v>
                </c:pt>
                <c:pt idx="218">
                  <c:v>3.1615554852992833E-4</c:v>
                </c:pt>
                <c:pt idx="219">
                  <c:v>3.1615554852992833E-4</c:v>
                </c:pt>
                <c:pt idx="220">
                  <c:v>3.1615554852992833E-4</c:v>
                </c:pt>
                <c:pt idx="221">
                  <c:v>3.1615554852992833E-4</c:v>
                </c:pt>
                <c:pt idx="222">
                  <c:v>3.1615554852992833E-4</c:v>
                </c:pt>
                <c:pt idx="223">
                  <c:v>3.1615554852992833E-4</c:v>
                </c:pt>
                <c:pt idx="224">
                  <c:v>3.1615554852992833E-4</c:v>
                </c:pt>
                <c:pt idx="225">
                  <c:v>3.1615554852992833E-4</c:v>
                </c:pt>
                <c:pt idx="226">
                  <c:v>3.1615554852992833E-4</c:v>
                </c:pt>
                <c:pt idx="227">
                  <c:v>3.1615554852992833E-4</c:v>
                </c:pt>
                <c:pt idx="228">
                  <c:v>3.1615554852992833E-4</c:v>
                </c:pt>
                <c:pt idx="229">
                  <c:v>3.1615554852992833E-4</c:v>
                </c:pt>
                <c:pt idx="230">
                  <c:v>3.1615554852992833E-4</c:v>
                </c:pt>
                <c:pt idx="231">
                  <c:v>3.1615554852992833E-4</c:v>
                </c:pt>
                <c:pt idx="232">
                  <c:v>3.1615554852992833E-4</c:v>
                </c:pt>
                <c:pt idx="233">
                  <c:v>3.1615554852992833E-4</c:v>
                </c:pt>
                <c:pt idx="234">
                  <c:v>3.1615554852992833E-4</c:v>
                </c:pt>
                <c:pt idx="235">
                  <c:v>3.1615554852992833E-4</c:v>
                </c:pt>
                <c:pt idx="236">
                  <c:v>3.1615554852992833E-4</c:v>
                </c:pt>
                <c:pt idx="237">
                  <c:v>3.1615554852992833E-4</c:v>
                </c:pt>
                <c:pt idx="238">
                  <c:v>3.1615554852992833E-4</c:v>
                </c:pt>
                <c:pt idx="239">
                  <c:v>3.1615554852992833E-4</c:v>
                </c:pt>
                <c:pt idx="240">
                  <c:v>3.1615554852992833E-4</c:v>
                </c:pt>
                <c:pt idx="241">
                  <c:v>3.1615554852992833E-4</c:v>
                </c:pt>
                <c:pt idx="242">
                  <c:v>3.1615554852992833E-4</c:v>
                </c:pt>
                <c:pt idx="243">
                  <c:v>3.1615554852992833E-4</c:v>
                </c:pt>
                <c:pt idx="244">
                  <c:v>2.8453999367689109E-3</c:v>
                </c:pt>
                <c:pt idx="245">
                  <c:v>2.8453999367689109E-3</c:v>
                </c:pt>
                <c:pt idx="246">
                  <c:v>2.8453999367689109E-3</c:v>
                </c:pt>
                <c:pt idx="247">
                  <c:v>2.8453999367689109E-3</c:v>
                </c:pt>
                <c:pt idx="248">
                  <c:v>2.8453999367689109E-3</c:v>
                </c:pt>
                <c:pt idx="249">
                  <c:v>2.8453999367689109E-3</c:v>
                </c:pt>
                <c:pt idx="250">
                  <c:v>2.8453999367689109E-3</c:v>
                </c:pt>
                <c:pt idx="251">
                  <c:v>2.8453999367689109E-3</c:v>
                </c:pt>
                <c:pt idx="252">
                  <c:v>2.8453999367689109E-3</c:v>
                </c:pt>
                <c:pt idx="253">
                  <c:v>2.8453999367689109E-3</c:v>
                </c:pt>
                <c:pt idx="254">
                  <c:v>2.8453999367689109E-3</c:v>
                </c:pt>
                <c:pt idx="255">
                  <c:v>2.8453999367689109E-3</c:v>
                </c:pt>
                <c:pt idx="256">
                  <c:v>2.8453999367689109E-3</c:v>
                </c:pt>
                <c:pt idx="257">
                  <c:v>2.8453999367689109E-3</c:v>
                </c:pt>
                <c:pt idx="258">
                  <c:v>2.8453999367689109E-3</c:v>
                </c:pt>
                <c:pt idx="259">
                  <c:v>2.8453999367689109E-3</c:v>
                </c:pt>
                <c:pt idx="260">
                  <c:v>2.8453999367689109E-3</c:v>
                </c:pt>
                <c:pt idx="261">
                  <c:v>2.8453999367689109E-3</c:v>
                </c:pt>
                <c:pt idx="262">
                  <c:v>2.8453999367689109E-3</c:v>
                </c:pt>
                <c:pt idx="263">
                  <c:v>2.8453999367689109E-3</c:v>
                </c:pt>
                <c:pt idx="264">
                  <c:v>2.8453999367689109E-3</c:v>
                </c:pt>
                <c:pt idx="265">
                  <c:v>2.8453999367689109E-3</c:v>
                </c:pt>
                <c:pt idx="266">
                  <c:v>2.8453999367689109E-3</c:v>
                </c:pt>
                <c:pt idx="267">
                  <c:v>2.8453999367689109E-3</c:v>
                </c:pt>
                <c:pt idx="268">
                  <c:v>2.8453999367689109E-3</c:v>
                </c:pt>
                <c:pt idx="269">
                  <c:v>2.8453999367689109E-3</c:v>
                </c:pt>
                <c:pt idx="270">
                  <c:v>2.8453999367689109E-3</c:v>
                </c:pt>
                <c:pt idx="271">
                  <c:v>2.8453999367689109E-3</c:v>
                </c:pt>
                <c:pt idx="272">
                  <c:v>2.8453999367689109E-3</c:v>
                </c:pt>
                <c:pt idx="273">
                  <c:v>2.8453999367689109E-3</c:v>
                </c:pt>
                <c:pt idx="274">
                  <c:v>3.7938665823584738E-3</c:v>
                </c:pt>
                <c:pt idx="275">
                  <c:v>3.7938665823584738E-3</c:v>
                </c:pt>
                <c:pt idx="276">
                  <c:v>3.7938665823584738E-3</c:v>
                </c:pt>
                <c:pt idx="277">
                  <c:v>3.7938665823584738E-3</c:v>
                </c:pt>
                <c:pt idx="278">
                  <c:v>3.7938665823584738E-3</c:v>
                </c:pt>
                <c:pt idx="279">
                  <c:v>3.7938665823584738E-3</c:v>
                </c:pt>
                <c:pt idx="280">
                  <c:v>3.7938665823584738E-3</c:v>
                </c:pt>
                <c:pt idx="281">
                  <c:v>3.7938665823584738E-3</c:v>
                </c:pt>
                <c:pt idx="282">
                  <c:v>3.7938665823584738E-3</c:v>
                </c:pt>
                <c:pt idx="283">
                  <c:v>3.7938665823584738E-3</c:v>
                </c:pt>
                <c:pt idx="284">
                  <c:v>3.7938665823584738E-3</c:v>
                </c:pt>
                <c:pt idx="285">
                  <c:v>3.7938665823584738E-3</c:v>
                </c:pt>
                <c:pt idx="286">
                  <c:v>3.7938665823584738E-3</c:v>
                </c:pt>
                <c:pt idx="287">
                  <c:v>3.7938665823584738E-3</c:v>
                </c:pt>
                <c:pt idx="288">
                  <c:v>3.7938665823584738E-3</c:v>
                </c:pt>
                <c:pt idx="289">
                  <c:v>3.7938665823584738E-3</c:v>
                </c:pt>
                <c:pt idx="290">
                  <c:v>3.7938665823584738E-3</c:v>
                </c:pt>
                <c:pt idx="291">
                  <c:v>3.7938665823584738E-3</c:v>
                </c:pt>
                <c:pt idx="292">
                  <c:v>3.7938665823584738E-3</c:v>
                </c:pt>
                <c:pt idx="293">
                  <c:v>3.7938665823584738E-3</c:v>
                </c:pt>
                <c:pt idx="294">
                  <c:v>3.7938665823584738E-3</c:v>
                </c:pt>
                <c:pt idx="295">
                  <c:v>3.7938665823584738E-3</c:v>
                </c:pt>
                <c:pt idx="296">
                  <c:v>3.7938665823584738E-3</c:v>
                </c:pt>
                <c:pt idx="297">
                  <c:v>3.7938665823584738E-3</c:v>
                </c:pt>
                <c:pt idx="298">
                  <c:v>3.7938665823584738E-3</c:v>
                </c:pt>
                <c:pt idx="299">
                  <c:v>3.7938665823584738E-3</c:v>
                </c:pt>
                <c:pt idx="300">
                  <c:v>3.7938665823584738E-3</c:v>
                </c:pt>
                <c:pt idx="301">
                  <c:v>3.7938665823584738E-3</c:v>
                </c:pt>
                <c:pt idx="302">
                  <c:v>3.7938665823584738E-3</c:v>
                </c:pt>
                <c:pt idx="303">
                  <c:v>3.7938665823584738E-3</c:v>
                </c:pt>
                <c:pt idx="304">
                  <c:v>3.7938665823584738E-3</c:v>
                </c:pt>
                <c:pt idx="305">
                  <c:v>3.7938665823584738E-3</c:v>
                </c:pt>
                <c:pt idx="306">
                  <c:v>3.7938665823584738E-3</c:v>
                </c:pt>
                <c:pt idx="307">
                  <c:v>3.7938665823584738E-3</c:v>
                </c:pt>
                <c:pt idx="308">
                  <c:v>3.7938665823584738E-3</c:v>
                </c:pt>
                <c:pt idx="309">
                  <c:v>3.7938665823584738E-3</c:v>
                </c:pt>
                <c:pt idx="310">
                  <c:v>3.7938665823584738E-3</c:v>
                </c:pt>
                <c:pt idx="311">
                  <c:v>3.7938665823584738E-3</c:v>
                </c:pt>
                <c:pt idx="312">
                  <c:v>3.7938665823584738E-3</c:v>
                </c:pt>
                <c:pt idx="313">
                  <c:v>3.7938665823584738E-3</c:v>
                </c:pt>
                <c:pt idx="314">
                  <c:v>3.7938665823584738E-3</c:v>
                </c:pt>
                <c:pt idx="315">
                  <c:v>3.7938665823584738E-3</c:v>
                </c:pt>
                <c:pt idx="316">
                  <c:v>3.7938665823584738E-3</c:v>
                </c:pt>
                <c:pt idx="317">
                  <c:v>3.7938665823584738E-3</c:v>
                </c:pt>
                <c:pt idx="318">
                  <c:v>3.7938665823584738E-3</c:v>
                </c:pt>
                <c:pt idx="319">
                  <c:v>3.7938665823584738E-3</c:v>
                </c:pt>
                <c:pt idx="320">
                  <c:v>3.7938665823584738E-3</c:v>
                </c:pt>
                <c:pt idx="321">
                  <c:v>3.7938665823584738E-3</c:v>
                </c:pt>
                <c:pt idx="322">
                  <c:v>3.7938665823584738E-3</c:v>
                </c:pt>
                <c:pt idx="323">
                  <c:v>3.7938665823584738E-3</c:v>
                </c:pt>
                <c:pt idx="324">
                  <c:v>3.7938665823584738E-3</c:v>
                </c:pt>
                <c:pt idx="325">
                  <c:v>3.7938665823584738E-3</c:v>
                </c:pt>
                <c:pt idx="326">
                  <c:v>3.7938665823584738E-3</c:v>
                </c:pt>
                <c:pt idx="327">
                  <c:v>3.7938665823584738E-3</c:v>
                </c:pt>
                <c:pt idx="328">
                  <c:v>3.7938665823584738E-3</c:v>
                </c:pt>
                <c:pt idx="329">
                  <c:v>3.7938665823584738E-3</c:v>
                </c:pt>
                <c:pt idx="330">
                  <c:v>3.7938665823584738E-3</c:v>
                </c:pt>
                <c:pt idx="331">
                  <c:v>3.7938665823584738E-3</c:v>
                </c:pt>
                <c:pt idx="332">
                  <c:v>3.7938665823584738E-3</c:v>
                </c:pt>
                <c:pt idx="333">
                  <c:v>3.7938665823584738E-3</c:v>
                </c:pt>
                <c:pt idx="334">
                  <c:v>3.7938665823584738E-3</c:v>
                </c:pt>
                <c:pt idx="335">
                  <c:v>3.7938665823584738E-3</c:v>
                </c:pt>
                <c:pt idx="336">
                  <c:v>3.7938665823584738E-3</c:v>
                </c:pt>
                <c:pt idx="337">
                  <c:v>3.7938665823584738E-3</c:v>
                </c:pt>
                <c:pt idx="338">
                  <c:v>3.7938665823584738E-3</c:v>
                </c:pt>
                <c:pt idx="339">
                  <c:v>3.7938665823584738E-3</c:v>
                </c:pt>
                <c:pt idx="340">
                  <c:v>3.7938665823584738E-3</c:v>
                </c:pt>
                <c:pt idx="341">
                  <c:v>3.7938665823584738E-3</c:v>
                </c:pt>
                <c:pt idx="342">
                  <c:v>3.7938665823584738E-3</c:v>
                </c:pt>
                <c:pt idx="343">
                  <c:v>3.7938665823584738E-3</c:v>
                </c:pt>
                <c:pt idx="344">
                  <c:v>3.7938665823584738E-3</c:v>
                </c:pt>
                <c:pt idx="345">
                  <c:v>3.7938665823584738E-3</c:v>
                </c:pt>
                <c:pt idx="346">
                  <c:v>3.7938665823584738E-3</c:v>
                </c:pt>
                <c:pt idx="347">
                  <c:v>3.7938665823584738E-3</c:v>
                </c:pt>
                <c:pt idx="348">
                  <c:v>3.7938665823584738E-3</c:v>
                </c:pt>
                <c:pt idx="349">
                  <c:v>3.7938665823584738E-3</c:v>
                </c:pt>
                <c:pt idx="350">
                  <c:v>3.7938665823584738E-3</c:v>
                </c:pt>
                <c:pt idx="351">
                  <c:v>3.7938665823584738E-3</c:v>
                </c:pt>
                <c:pt idx="352">
                  <c:v>3.7938665823584738E-3</c:v>
                </c:pt>
                <c:pt idx="353">
                  <c:v>3.7938665823584738E-3</c:v>
                </c:pt>
                <c:pt idx="354">
                  <c:v>3.7938665823584738E-3</c:v>
                </c:pt>
                <c:pt idx="355">
                  <c:v>3.7938665823584738E-3</c:v>
                </c:pt>
                <c:pt idx="356">
                  <c:v>3.7938665823584738E-3</c:v>
                </c:pt>
                <c:pt idx="357">
                  <c:v>3.7938665823584738E-3</c:v>
                </c:pt>
                <c:pt idx="358">
                  <c:v>3.7938665823584738E-3</c:v>
                </c:pt>
                <c:pt idx="359">
                  <c:v>3.7938665823584738E-3</c:v>
                </c:pt>
                <c:pt idx="360">
                  <c:v>3.7938665823584738E-3</c:v>
                </c:pt>
                <c:pt idx="361">
                  <c:v>3.7938665823584738E-3</c:v>
                </c:pt>
                <c:pt idx="362">
                  <c:v>3.7938665823584738E-3</c:v>
                </c:pt>
                <c:pt idx="363">
                  <c:v>3.7938665823584738E-3</c:v>
                </c:pt>
                <c:pt idx="364">
                  <c:v>3.7938665823584738E-3</c:v>
                </c:pt>
                <c:pt idx="365">
                  <c:v>3.7938665823584738E-3</c:v>
                </c:pt>
                <c:pt idx="366">
                  <c:v>3.7938665823584738E-3</c:v>
                </c:pt>
                <c:pt idx="367">
                  <c:v>3.7938665823584738E-3</c:v>
                </c:pt>
                <c:pt idx="368">
                  <c:v>3.7938665823584738E-3</c:v>
                </c:pt>
                <c:pt idx="369">
                  <c:v>3.7938665823584738E-3</c:v>
                </c:pt>
                <c:pt idx="370">
                  <c:v>3.7938665823584738E-3</c:v>
                </c:pt>
                <c:pt idx="371">
                  <c:v>3.7938665823584738E-3</c:v>
                </c:pt>
                <c:pt idx="372">
                  <c:v>3.7938665823584738E-3</c:v>
                </c:pt>
                <c:pt idx="373">
                  <c:v>3.7938665823584738E-3</c:v>
                </c:pt>
                <c:pt idx="374">
                  <c:v>3.7938665823584738E-3</c:v>
                </c:pt>
                <c:pt idx="375">
                  <c:v>3.7938665823584738E-3</c:v>
                </c:pt>
                <c:pt idx="376">
                  <c:v>3.7938665823584738E-3</c:v>
                </c:pt>
                <c:pt idx="377">
                  <c:v>3.7938665823584738E-3</c:v>
                </c:pt>
                <c:pt idx="378">
                  <c:v>3.7938665823584738E-3</c:v>
                </c:pt>
                <c:pt idx="379">
                  <c:v>3.7938665823584738E-3</c:v>
                </c:pt>
                <c:pt idx="380">
                  <c:v>3.7938665823584738E-3</c:v>
                </c:pt>
                <c:pt idx="381">
                  <c:v>3.7938665823584738E-3</c:v>
                </c:pt>
                <c:pt idx="382">
                  <c:v>3.7938665823584738E-3</c:v>
                </c:pt>
                <c:pt idx="383">
                  <c:v>3.7938665823584738E-3</c:v>
                </c:pt>
                <c:pt idx="384">
                  <c:v>3.7938665823584738E-3</c:v>
                </c:pt>
                <c:pt idx="385">
                  <c:v>3.7938665823584738E-3</c:v>
                </c:pt>
                <c:pt idx="386">
                  <c:v>3.7938665823584738E-3</c:v>
                </c:pt>
                <c:pt idx="387">
                  <c:v>3.7938665823584738E-3</c:v>
                </c:pt>
                <c:pt idx="388">
                  <c:v>3.7938665823584738E-3</c:v>
                </c:pt>
                <c:pt idx="389">
                  <c:v>3.7938665823584738E-3</c:v>
                </c:pt>
                <c:pt idx="390">
                  <c:v>3.7938665823584738E-3</c:v>
                </c:pt>
                <c:pt idx="391">
                  <c:v>3.7938665823584738E-3</c:v>
                </c:pt>
                <c:pt idx="392">
                  <c:v>3.7938665823584738E-3</c:v>
                </c:pt>
                <c:pt idx="393">
                  <c:v>3.7938665823584738E-3</c:v>
                </c:pt>
                <c:pt idx="394">
                  <c:v>3.7938665823584738E-3</c:v>
                </c:pt>
                <c:pt idx="395">
                  <c:v>3.7938665823584738E-3</c:v>
                </c:pt>
                <c:pt idx="396">
                  <c:v>3.7938665823584738E-3</c:v>
                </c:pt>
                <c:pt idx="397">
                  <c:v>3.7938665823584738E-3</c:v>
                </c:pt>
                <c:pt idx="398">
                  <c:v>3.7938665823584738E-3</c:v>
                </c:pt>
                <c:pt idx="399">
                  <c:v>3.7938665823584738E-3</c:v>
                </c:pt>
                <c:pt idx="400">
                  <c:v>3.7938665823584738E-3</c:v>
                </c:pt>
                <c:pt idx="401">
                  <c:v>3.7938665823584738E-3</c:v>
                </c:pt>
                <c:pt idx="402">
                  <c:v>3.7938665823584738E-3</c:v>
                </c:pt>
                <c:pt idx="403">
                  <c:v>3.7938665823584738E-3</c:v>
                </c:pt>
                <c:pt idx="404">
                  <c:v>3.7938665823584738E-3</c:v>
                </c:pt>
                <c:pt idx="405">
                  <c:v>3.7938665823584738E-3</c:v>
                </c:pt>
                <c:pt idx="406">
                  <c:v>3.7938665823584738E-3</c:v>
                </c:pt>
                <c:pt idx="407">
                  <c:v>3.7938665823584738E-3</c:v>
                </c:pt>
                <c:pt idx="408">
                  <c:v>3.7938665823584738E-3</c:v>
                </c:pt>
                <c:pt idx="409">
                  <c:v>3.7938665823584738E-3</c:v>
                </c:pt>
                <c:pt idx="410">
                  <c:v>3.7938665823584738E-3</c:v>
                </c:pt>
                <c:pt idx="411">
                  <c:v>3.7938665823584738E-3</c:v>
                </c:pt>
                <c:pt idx="412">
                  <c:v>3.7938665823584738E-3</c:v>
                </c:pt>
                <c:pt idx="413">
                  <c:v>3.7938665823584738E-3</c:v>
                </c:pt>
                <c:pt idx="414">
                  <c:v>3.7938665823584738E-3</c:v>
                </c:pt>
                <c:pt idx="415">
                  <c:v>3.7938665823584738E-3</c:v>
                </c:pt>
                <c:pt idx="416">
                  <c:v>3.7938665823584738E-3</c:v>
                </c:pt>
                <c:pt idx="417">
                  <c:v>3.7938665823584738E-3</c:v>
                </c:pt>
                <c:pt idx="418">
                  <c:v>3.7938665823584738E-3</c:v>
                </c:pt>
                <c:pt idx="419">
                  <c:v>3.7938665823584738E-3</c:v>
                </c:pt>
                <c:pt idx="420">
                  <c:v>3.7938665823584738E-3</c:v>
                </c:pt>
                <c:pt idx="421">
                  <c:v>3.7938665823584738E-3</c:v>
                </c:pt>
                <c:pt idx="422">
                  <c:v>3.7938665823584738E-3</c:v>
                </c:pt>
                <c:pt idx="423">
                  <c:v>3.7938665823584738E-3</c:v>
                </c:pt>
                <c:pt idx="424">
                  <c:v>3.7938665823584738E-3</c:v>
                </c:pt>
                <c:pt idx="425">
                  <c:v>3.7938665823584738E-3</c:v>
                </c:pt>
                <c:pt idx="426">
                  <c:v>3.7938665823584738E-3</c:v>
                </c:pt>
                <c:pt idx="427">
                  <c:v>3.7938665823584738E-3</c:v>
                </c:pt>
                <c:pt idx="428">
                  <c:v>3.7938665823584738E-3</c:v>
                </c:pt>
                <c:pt idx="429">
                  <c:v>3.7938665823584738E-3</c:v>
                </c:pt>
                <c:pt idx="430">
                  <c:v>3.7938665823584738E-3</c:v>
                </c:pt>
                <c:pt idx="431">
                  <c:v>3.7938665823584738E-3</c:v>
                </c:pt>
                <c:pt idx="432">
                  <c:v>3.7938665823584738E-3</c:v>
                </c:pt>
                <c:pt idx="433">
                  <c:v>3.7938665823584738E-3</c:v>
                </c:pt>
                <c:pt idx="434">
                  <c:v>3.7938665823584738E-3</c:v>
                </c:pt>
                <c:pt idx="435">
                  <c:v>3.7938665823584738E-3</c:v>
                </c:pt>
                <c:pt idx="436">
                  <c:v>3.7938665823584738E-3</c:v>
                </c:pt>
                <c:pt idx="437">
                  <c:v>3.7938665823584738E-3</c:v>
                </c:pt>
                <c:pt idx="438">
                  <c:v>3.7938665823584738E-3</c:v>
                </c:pt>
                <c:pt idx="439">
                  <c:v>3.7938665823584738E-3</c:v>
                </c:pt>
                <c:pt idx="440">
                  <c:v>3.7938665823584738E-3</c:v>
                </c:pt>
                <c:pt idx="441">
                  <c:v>3.7938665823584738E-3</c:v>
                </c:pt>
                <c:pt idx="442">
                  <c:v>3.7938665823584738E-3</c:v>
                </c:pt>
                <c:pt idx="443">
                  <c:v>3.7938665823584738E-3</c:v>
                </c:pt>
                <c:pt idx="444">
                  <c:v>3.7938665823584738E-3</c:v>
                </c:pt>
                <c:pt idx="445">
                  <c:v>3.7938665823584738E-3</c:v>
                </c:pt>
                <c:pt idx="446">
                  <c:v>3.7938665823584738E-3</c:v>
                </c:pt>
                <c:pt idx="447">
                  <c:v>3.7938665823584738E-3</c:v>
                </c:pt>
                <c:pt idx="448">
                  <c:v>3.7938665823584738E-3</c:v>
                </c:pt>
                <c:pt idx="449">
                  <c:v>3.7938665823584738E-3</c:v>
                </c:pt>
                <c:pt idx="450">
                  <c:v>3.7938665823584738E-3</c:v>
                </c:pt>
                <c:pt idx="451">
                  <c:v>3.7938665823584738E-3</c:v>
                </c:pt>
                <c:pt idx="452">
                  <c:v>3.7938665823584738E-3</c:v>
                </c:pt>
                <c:pt idx="453">
                  <c:v>3.7938665823584738E-3</c:v>
                </c:pt>
                <c:pt idx="454">
                  <c:v>3.7938665823584738E-3</c:v>
                </c:pt>
                <c:pt idx="455">
                  <c:v>3.7938665823584738E-3</c:v>
                </c:pt>
                <c:pt idx="456">
                  <c:v>3.7938665823584738E-3</c:v>
                </c:pt>
                <c:pt idx="457">
                  <c:v>3.7938665823584738E-3</c:v>
                </c:pt>
                <c:pt idx="458">
                  <c:v>3.7938665823584738E-3</c:v>
                </c:pt>
                <c:pt idx="459">
                  <c:v>3.7938665823584738E-3</c:v>
                </c:pt>
                <c:pt idx="460">
                  <c:v>3.7938665823584738E-3</c:v>
                </c:pt>
                <c:pt idx="461">
                  <c:v>3.7938665823584738E-3</c:v>
                </c:pt>
                <c:pt idx="462">
                  <c:v>3.7938665823584738E-3</c:v>
                </c:pt>
                <c:pt idx="463">
                  <c:v>3.7938665823584738E-3</c:v>
                </c:pt>
                <c:pt idx="464">
                  <c:v>3.7938665823584738E-3</c:v>
                </c:pt>
                <c:pt idx="465">
                  <c:v>3.7938665823584738E-3</c:v>
                </c:pt>
                <c:pt idx="466">
                  <c:v>3.7938665823584738E-3</c:v>
                </c:pt>
                <c:pt idx="467">
                  <c:v>3.7938665823584738E-3</c:v>
                </c:pt>
                <c:pt idx="468">
                  <c:v>3.7938665823584738E-3</c:v>
                </c:pt>
                <c:pt idx="469">
                  <c:v>3.7938665823584738E-3</c:v>
                </c:pt>
                <c:pt idx="470">
                  <c:v>3.7938665823584738E-3</c:v>
                </c:pt>
                <c:pt idx="471">
                  <c:v>3.7938665823584738E-3</c:v>
                </c:pt>
                <c:pt idx="472">
                  <c:v>3.7938665823584738E-3</c:v>
                </c:pt>
                <c:pt idx="473">
                  <c:v>3.7938665823584738E-3</c:v>
                </c:pt>
                <c:pt idx="474">
                  <c:v>3.7938665823584738E-3</c:v>
                </c:pt>
                <c:pt idx="475">
                  <c:v>3.7938665823584738E-3</c:v>
                </c:pt>
                <c:pt idx="476">
                  <c:v>3.7938665823584738E-3</c:v>
                </c:pt>
                <c:pt idx="477">
                  <c:v>3.7938665823584738E-3</c:v>
                </c:pt>
                <c:pt idx="478">
                  <c:v>3.7938665823584738E-3</c:v>
                </c:pt>
                <c:pt idx="479">
                  <c:v>3.7938665823584738E-3</c:v>
                </c:pt>
                <c:pt idx="480">
                  <c:v>3.7938665823584738E-3</c:v>
                </c:pt>
                <c:pt idx="481">
                  <c:v>3.7938665823584738E-3</c:v>
                </c:pt>
                <c:pt idx="482">
                  <c:v>3.7938665823584738E-3</c:v>
                </c:pt>
                <c:pt idx="483">
                  <c:v>3.7938665823584738E-3</c:v>
                </c:pt>
                <c:pt idx="484">
                  <c:v>3.7938665823584738E-3</c:v>
                </c:pt>
                <c:pt idx="485">
                  <c:v>3.7938665823584738E-3</c:v>
                </c:pt>
                <c:pt idx="486">
                  <c:v>3.7938665823584738E-3</c:v>
                </c:pt>
                <c:pt idx="487">
                  <c:v>3.7938665823584738E-3</c:v>
                </c:pt>
                <c:pt idx="488">
                  <c:v>3.7938665823584738E-3</c:v>
                </c:pt>
                <c:pt idx="489">
                  <c:v>3.7938665823584738E-3</c:v>
                </c:pt>
                <c:pt idx="490">
                  <c:v>3.7938665823584738E-3</c:v>
                </c:pt>
                <c:pt idx="491">
                  <c:v>3.7938665823584738E-3</c:v>
                </c:pt>
                <c:pt idx="492">
                  <c:v>3.7938665823584738E-3</c:v>
                </c:pt>
                <c:pt idx="493">
                  <c:v>3.7938665823584738E-3</c:v>
                </c:pt>
                <c:pt idx="494">
                  <c:v>3.7938665823584738E-3</c:v>
                </c:pt>
                <c:pt idx="495">
                  <c:v>3.7938665823584738E-3</c:v>
                </c:pt>
                <c:pt idx="496">
                  <c:v>3.7938665823584738E-3</c:v>
                </c:pt>
                <c:pt idx="497">
                  <c:v>3.7938665823584738E-3</c:v>
                </c:pt>
                <c:pt idx="498">
                  <c:v>3.7938665823584738E-3</c:v>
                </c:pt>
                <c:pt idx="499">
                  <c:v>3.7938665823584738E-3</c:v>
                </c:pt>
                <c:pt idx="500">
                  <c:v>3.7938665823584738E-3</c:v>
                </c:pt>
                <c:pt idx="501">
                  <c:v>5.3746443250078935E-3</c:v>
                </c:pt>
                <c:pt idx="502">
                  <c:v>5.3746443250078935E-3</c:v>
                </c:pt>
                <c:pt idx="503">
                  <c:v>5.3746443250078935E-3</c:v>
                </c:pt>
                <c:pt idx="504">
                  <c:v>5.3746443250078935E-3</c:v>
                </c:pt>
                <c:pt idx="505">
                  <c:v>5.3746443250078935E-3</c:v>
                </c:pt>
                <c:pt idx="506">
                  <c:v>5.3746443250078935E-3</c:v>
                </c:pt>
                <c:pt idx="507">
                  <c:v>5.3746443250078935E-3</c:v>
                </c:pt>
                <c:pt idx="508">
                  <c:v>5.3746443250078935E-3</c:v>
                </c:pt>
                <c:pt idx="509">
                  <c:v>5.3746443250078935E-3</c:v>
                </c:pt>
                <c:pt idx="510">
                  <c:v>5.3746443250078935E-3</c:v>
                </c:pt>
                <c:pt idx="511">
                  <c:v>5.3746443250078935E-3</c:v>
                </c:pt>
                <c:pt idx="512">
                  <c:v>5.3746443250078935E-3</c:v>
                </c:pt>
                <c:pt idx="513">
                  <c:v>5.3746443250078935E-3</c:v>
                </c:pt>
                <c:pt idx="514">
                  <c:v>5.3746443250078935E-3</c:v>
                </c:pt>
                <c:pt idx="515">
                  <c:v>5.3746443250078935E-3</c:v>
                </c:pt>
                <c:pt idx="516">
                  <c:v>5.3746443250078935E-3</c:v>
                </c:pt>
                <c:pt idx="517">
                  <c:v>5.3746443250078935E-3</c:v>
                </c:pt>
                <c:pt idx="518">
                  <c:v>5.3746443250078935E-3</c:v>
                </c:pt>
                <c:pt idx="519">
                  <c:v>5.3746443250078935E-3</c:v>
                </c:pt>
                <c:pt idx="520">
                  <c:v>5.3746443250078935E-3</c:v>
                </c:pt>
                <c:pt idx="521">
                  <c:v>5.3746443250078935E-3</c:v>
                </c:pt>
                <c:pt idx="522">
                  <c:v>5.3746443250078935E-3</c:v>
                </c:pt>
                <c:pt idx="523">
                  <c:v>5.3746443250078935E-3</c:v>
                </c:pt>
                <c:pt idx="524">
                  <c:v>5.3746443250078935E-3</c:v>
                </c:pt>
                <c:pt idx="525">
                  <c:v>5.3746443250078935E-3</c:v>
                </c:pt>
                <c:pt idx="526">
                  <c:v>5.3746443250078935E-3</c:v>
                </c:pt>
                <c:pt idx="527">
                  <c:v>5.3746443250078935E-3</c:v>
                </c:pt>
                <c:pt idx="528">
                  <c:v>5.3746443250078935E-3</c:v>
                </c:pt>
                <c:pt idx="529">
                  <c:v>5.3746443250078935E-3</c:v>
                </c:pt>
                <c:pt idx="530">
                  <c:v>5.3746443250078935E-3</c:v>
                </c:pt>
                <c:pt idx="531">
                  <c:v>5.3746443250078935E-3</c:v>
                </c:pt>
                <c:pt idx="532">
                  <c:v>5.3746443250078935E-3</c:v>
                </c:pt>
                <c:pt idx="533">
                  <c:v>5.3746443250078935E-3</c:v>
                </c:pt>
                <c:pt idx="534">
                  <c:v>5.3746443250078935E-3</c:v>
                </c:pt>
                <c:pt idx="535">
                  <c:v>5.3746443250078935E-3</c:v>
                </c:pt>
                <c:pt idx="536">
                  <c:v>5.3746443250078935E-3</c:v>
                </c:pt>
                <c:pt idx="537">
                  <c:v>5.3746443250078935E-3</c:v>
                </c:pt>
                <c:pt idx="538">
                  <c:v>5.3746443250078935E-3</c:v>
                </c:pt>
                <c:pt idx="539">
                  <c:v>5.3746443250078935E-3</c:v>
                </c:pt>
                <c:pt idx="540">
                  <c:v>5.3746443250078935E-3</c:v>
                </c:pt>
                <c:pt idx="541">
                  <c:v>5.3746443250078935E-3</c:v>
                </c:pt>
                <c:pt idx="542">
                  <c:v>5.3746443250078935E-3</c:v>
                </c:pt>
                <c:pt idx="543">
                  <c:v>5.3746443250078935E-3</c:v>
                </c:pt>
                <c:pt idx="544">
                  <c:v>5.3746443250078935E-3</c:v>
                </c:pt>
                <c:pt idx="545">
                  <c:v>5.3746443250078935E-3</c:v>
                </c:pt>
                <c:pt idx="546">
                  <c:v>5.3746443250078935E-3</c:v>
                </c:pt>
                <c:pt idx="547">
                  <c:v>5.3746443250078935E-3</c:v>
                </c:pt>
                <c:pt idx="548">
                  <c:v>5.3746443250078935E-3</c:v>
                </c:pt>
                <c:pt idx="549">
                  <c:v>5.3746443250078935E-3</c:v>
                </c:pt>
                <c:pt idx="550">
                  <c:v>5.3746443250078935E-3</c:v>
                </c:pt>
                <c:pt idx="551">
                  <c:v>5.3746443250078935E-3</c:v>
                </c:pt>
                <c:pt idx="552">
                  <c:v>5.3746443250078935E-3</c:v>
                </c:pt>
                <c:pt idx="553">
                  <c:v>5.3746443250078935E-3</c:v>
                </c:pt>
                <c:pt idx="554">
                  <c:v>5.3746443250078935E-3</c:v>
                </c:pt>
                <c:pt idx="555">
                  <c:v>5.3746443250078935E-3</c:v>
                </c:pt>
                <c:pt idx="556">
                  <c:v>5.3746443250078935E-3</c:v>
                </c:pt>
                <c:pt idx="557">
                  <c:v>5.3746443250078935E-3</c:v>
                </c:pt>
                <c:pt idx="558">
                  <c:v>5.3746443250078935E-3</c:v>
                </c:pt>
                <c:pt idx="559">
                  <c:v>5.3746443250078935E-3</c:v>
                </c:pt>
                <c:pt idx="560">
                  <c:v>5.3746443250078935E-3</c:v>
                </c:pt>
                <c:pt idx="561">
                  <c:v>5.3746443250078935E-3</c:v>
                </c:pt>
                <c:pt idx="562">
                  <c:v>5.3746443250078935E-3</c:v>
                </c:pt>
                <c:pt idx="563">
                  <c:v>5.3746443250078935E-3</c:v>
                </c:pt>
                <c:pt idx="564">
                  <c:v>5.3746443250078935E-3</c:v>
                </c:pt>
                <c:pt idx="565">
                  <c:v>5.3746443250078935E-3</c:v>
                </c:pt>
                <c:pt idx="566">
                  <c:v>5.3746443250078935E-3</c:v>
                </c:pt>
                <c:pt idx="567">
                  <c:v>5.3746443250078935E-3</c:v>
                </c:pt>
                <c:pt idx="568">
                  <c:v>5.3746443250078935E-3</c:v>
                </c:pt>
                <c:pt idx="569">
                  <c:v>5.3746443250078935E-3</c:v>
                </c:pt>
                <c:pt idx="570">
                  <c:v>5.3746443250078935E-3</c:v>
                </c:pt>
                <c:pt idx="571">
                  <c:v>5.3746443250078935E-3</c:v>
                </c:pt>
                <c:pt idx="572">
                  <c:v>5.3746443250078935E-3</c:v>
                </c:pt>
                <c:pt idx="573">
                  <c:v>5.3746443250078935E-3</c:v>
                </c:pt>
                <c:pt idx="574">
                  <c:v>5.3746443250078935E-3</c:v>
                </c:pt>
                <c:pt idx="575">
                  <c:v>5.3746443250078935E-3</c:v>
                </c:pt>
                <c:pt idx="576">
                  <c:v>5.3746443250078935E-3</c:v>
                </c:pt>
                <c:pt idx="577">
                  <c:v>5.3746443250078935E-3</c:v>
                </c:pt>
                <c:pt idx="578">
                  <c:v>5.3746443250078935E-3</c:v>
                </c:pt>
                <c:pt idx="579">
                  <c:v>5.3746443250078935E-3</c:v>
                </c:pt>
                <c:pt idx="580">
                  <c:v>5.3746443250078935E-3</c:v>
                </c:pt>
                <c:pt idx="581">
                  <c:v>5.3746443250078935E-3</c:v>
                </c:pt>
                <c:pt idx="582">
                  <c:v>5.3746443250078935E-3</c:v>
                </c:pt>
                <c:pt idx="583">
                  <c:v>5.3746443250078935E-3</c:v>
                </c:pt>
                <c:pt idx="584">
                  <c:v>5.3746443250078935E-3</c:v>
                </c:pt>
                <c:pt idx="585">
                  <c:v>7.5877331647170587E-3</c:v>
                </c:pt>
                <c:pt idx="586">
                  <c:v>7.5877331647170587E-3</c:v>
                </c:pt>
                <c:pt idx="587">
                  <c:v>7.5877331647170587E-3</c:v>
                </c:pt>
                <c:pt idx="588">
                  <c:v>7.5877331647170587E-3</c:v>
                </c:pt>
                <c:pt idx="589">
                  <c:v>7.5877331647170587E-3</c:v>
                </c:pt>
                <c:pt idx="590">
                  <c:v>7.5877331647170587E-3</c:v>
                </c:pt>
                <c:pt idx="591">
                  <c:v>7.5877331647170587E-3</c:v>
                </c:pt>
                <c:pt idx="592">
                  <c:v>7.5877331647170587E-3</c:v>
                </c:pt>
                <c:pt idx="593">
                  <c:v>7.5877331647170587E-3</c:v>
                </c:pt>
                <c:pt idx="594">
                  <c:v>7.5877331647170587E-3</c:v>
                </c:pt>
                <c:pt idx="595">
                  <c:v>7.5877331647170587E-3</c:v>
                </c:pt>
                <c:pt idx="596">
                  <c:v>7.5877331647170587E-3</c:v>
                </c:pt>
                <c:pt idx="597">
                  <c:v>7.5877331647170587E-3</c:v>
                </c:pt>
                <c:pt idx="598">
                  <c:v>7.5877331647170587E-3</c:v>
                </c:pt>
                <c:pt idx="599">
                  <c:v>7.5877331647170587E-3</c:v>
                </c:pt>
                <c:pt idx="600">
                  <c:v>7.5877331647170587E-3</c:v>
                </c:pt>
                <c:pt idx="601">
                  <c:v>7.5877331647170587E-3</c:v>
                </c:pt>
                <c:pt idx="602">
                  <c:v>7.5877331647170587E-3</c:v>
                </c:pt>
                <c:pt idx="603">
                  <c:v>7.5877331647170587E-3</c:v>
                </c:pt>
                <c:pt idx="604">
                  <c:v>7.5877331647170587E-3</c:v>
                </c:pt>
                <c:pt idx="605">
                  <c:v>7.5877331647170587E-3</c:v>
                </c:pt>
                <c:pt idx="606">
                  <c:v>7.5877331647170587E-3</c:v>
                </c:pt>
                <c:pt idx="607">
                  <c:v>7.5877331647170587E-3</c:v>
                </c:pt>
                <c:pt idx="608">
                  <c:v>7.5877331647170587E-3</c:v>
                </c:pt>
                <c:pt idx="609">
                  <c:v>7.5877331647170587E-3</c:v>
                </c:pt>
                <c:pt idx="610">
                  <c:v>7.5877331647170587E-3</c:v>
                </c:pt>
                <c:pt idx="611">
                  <c:v>7.5877331647170587E-3</c:v>
                </c:pt>
                <c:pt idx="612">
                  <c:v>7.5877331647170587E-3</c:v>
                </c:pt>
                <c:pt idx="613">
                  <c:v>7.5877331647170587E-3</c:v>
                </c:pt>
                <c:pt idx="614">
                  <c:v>7.5877331647170587E-3</c:v>
                </c:pt>
                <c:pt idx="615">
                  <c:v>7.5877331647170587E-3</c:v>
                </c:pt>
                <c:pt idx="616">
                  <c:v>7.5877331647170587E-3</c:v>
                </c:pt>
                <c:pt idx="617">
                  <c:v>7.5877331647170587E-3</c:v>
                </c:pt>
                <c:pt idx="618">
                  <c:v>7.5877331647170587E-3</c:v>
                </c:pt>
                <c:pt idx="619">
                  <c:v>7.5877331647170587E-3</c:v>
                </c:pt>
                <c:pt idx="620">
                  <c:v>7.5877331647170587E-3</c:v>
                </c:pt>
                <c:pt idx="621">
                  <c:v>7.5877331647170587E-3</c:v>
                </c:pt>
                <c:pt idx="622">
                  <c:v>7.5877331647170587E-3</c:v>
                </c:pt>
                <c:pt idx="623">
                  <c:v>7.5877331647170587E-3</c:v>
                </c:pt>
                <c:pt idx="624">
                  <c:v>7.5877331647170587E-3</c:v>
                </c:pt>
                <c:pt idx="625">
                  <c:v>7.5877331647170587E-3</c:v>
                </c:pt>
                <c:pt idx="626">
                  <c:v>7.5877331647170587E-3</c:v>
                </c:pt>
                <c:pt idx="627">
                  <c:v>7.5877331647170587E-3</c:v>
                </c:pt>
                <c:pt idx="628">
                  <c:v>7.5877331647170587E-3</c:v>
                </c:pt>
                <c:pt idx="629">
                  <c:v>7.5877331647170587E-3</c:v>
                </c:pt>
                <c:pt idx="630">
                  <c:v>7.5877331647170587E-3</c:v>
                </c:pt>
                <c:pt idx="631">
                  <c:v>7.5877331647170587E-3</c:v>
                </c:pt>
                <c:pt idx="632">
                  <c:v>7.5877331647170587E-3</c:v>
                </c:pt>
                <c:pt idx="633">
                  <c:v>7.5877331647170587E-3</c:v>
                </c:pt>
                <c:pt idx="634">
                  <c:v>7.5877331647170587E-3</c:v>
                </c:pt>
                <c:pt idx="635">
                  <c:v>7.5877331647170587E-3</c:v>
                </c:pt>
                <c:pt idx="636">
                  <c:v>7.5877331647170587E-3</c:v>
                </c:pt>
                <c:pt idx="637">
                  <c:v>7.5877331647170587E-3</c:v>
                </c:pt>
                <c:pt idx="638">
                  <c:v>7.5877331647170587E-3</c:v>
                </c:pt>
                <c:pt idx="639">
                  <c:v>7.5877331647170587E-3</c:v>
                </c:pt>
                <c:pt idx="640">
                  <c:v>7.5877331647170587E-3</c:v>
                </c:pt>
                <c:pt idx="641">
                  <c:v>7.5877331647170587E-3</c:v>
                </c:pt>
                <c:pt idx="642">
                  <c:v>7.5877331647170587E-3</c:v>
                </c:pt>
                <c:pt idx="643">
                  <c:v>7.5877331647170587E-3</c:v>
                </c:pt>
                <c:pt idx="644">
                  <c:v>7.5877331647170587E-3</c:v>
                </c:pt>
                <c:pt idx="645">
                  <c:v>7.5877331647170587E-3</c:v>
                </c:pt>
                <c:pt idx="646">
                  <c:v>7.5877331647170587E-3</c:v>
                </c:pt>
                <c:pt idx="647">
                  <c:v>7.5877331647170587E-3</c:v>
                </c:pt>
                <c:pt idx="648">
                  <c:v>7.5877331647170587E-3</c:v>
                </c:pt>
                <c:pt idx="649">
                  <c:v>7.5877331647170587E-3</c:v>
                </c:pt>
                <c:pt idx="650">
                  <c:v>7.5877331647170587E-3</c:v>
                </c:pt>
                <c:pt idx="651">
                  <c:v>7.5877331647170587E-3</c:v>
                </c:pt>
                <c:pt idx="652">
                  <c:v>7.5877331647170587E-3</c:v>
                </c:pt>
                <c:pt idx="653">
                  <c:v>7.5877331647170587E-3</c:v>
                </c:pt>
                <c:pt idx="654">
                  <c:v>7.5877331647170587E-3</c:v>
                </c:pt>
                <c:pt idx="655">
                  <c:v>7.5877331647170587E-3</c:v>
                </c:pt>
                <c:pt idx="656">
                  <c:v>7.5877331647170587E-3</c:v>
                </c:pt>
                <c:pt idx="657">
                  <c:v>7.5877331647170587E-3</c:v>
                </c:pt>
                <c:pt idx="658">
                  <c:v>7.5877331647170587E-3</c:v>
                </c:pt>
                <c:pt idx="659">
                  <c:v>7.5877331647170587E-3</c:v>
                </c:pt>
                <c:pt idx="660">
                  <c:v>7.5877331647170587E-3</c:v>
                </c:pt>
                <c:pt idx="661">
                  <c:v>7.5877331647170587E-3</c:v>
                </c:pt>
                <c:pt idx="662">
                  <c:v>7.5877331647170587E-3</c:v>
                </c:pt>
                <c:pt idx="663">
                  <c:v>7.5877331647170587E-3</c:v>
                </c:pt>
                <c:pt idx="664">
                  <c:v>7.5877331647170587E-3</c:v>
                </c:pt>
                <c:pt idx="665">
                  <c:v>7.5877331647170587E-3</c:v>
                </c:pt>
                <c:pt idx="666">
                  <c:v>7.5877331647170587E-3</c:v>
                </c:pt>
                <c:pt idx="667">
                  <c:v>7.5877331647170587E-3</c:v>
                </c:pt>
                <c:pt idx="668">
                  <c:v>7.5877331647170587E-3</c:v>
                </c:pt>
                <c:pt idx="669">
                  <c:v>7.5877331647170587E-3</c:v>
                </c:pt>
                <c:pt idx="670">
                  <c:v>7.5877331647170587E-3</c:v>
                </c:pt>
                <c:pt idx="671">
                  <c:v>7.5877331647170587E-3</c:v>
                </c:pt>
                <c:pt idx="672">
                  <c:v>7.5877331647170587E-3</c:v>
                </c:pt>
                <c:pt idx="673">
                  <c:v>7.5877331647170587E-3</c:v>
                </c:pt>
                <c:pt idx="674">
                  <c:v>7.5877331647170587E-3</c:v>
                </c:pt>
                <c:pt idx="675">
                  <c:v>7.5877331647170587E-3</c:v>
                </c:pt>
                <c:pt idx="676">
                  <c:v>7.5877331647170587E-3</c:v>
                </c:pt>
                <c:pt idx="677">
                  <c:v>7.5877331647170587E-3</c:v>
                </c:pt>
                <c:pt idx="678">
                  <c:v>7.5877331647170587E-3</c:v>
                </c:pt>
                <c:pt idx="679">
                  <c:v>7.5877331647170587E-3</c:v>
                </c:pt>
                <c:pt idx="680">
                  <c:v>7.5877331647170587E-3</c:v>
                </c:pt>
                <c:pt idx="681">
                  <c:v>7.5877331647170587E-3</c:v>
                </c:pt>
                <c:pt idx="682">
                  <c:v>7.5877331647170587E-3</c:v>
                </c:pt>
                <c:pt idx="683">
                  <c:v>7.5877331647170587E-3</c:v>
                </c:pt>
                <c:pt idx="684">
                  <c:v>7.5877331647170587E-3</c:v>
                </c:pt>
                <c:pt idx="685">
                  <c:v>7.5877331647170587E-3</c:v>
                </c:pt>
                <c:pt idx="686">
                  <c:v>7.5877331647170587E-3</c:v>
                </c:pt>
                <c:pt idx="687">
                  <c:v>7.5877331647170587E-3</c:v>
                </c:pt>
                <c:pt idx="688">
                  <c:v>7.5877331647170587E-3</c:v>
                </c:pt>
                <c:pt idx="689">
                  <c:v>7.5877331647170587E-3</c:v>
                </c:pt>
                <c:pt idx="690">
                  <c:v>7.5877331647170587E-3</c:v>
                </c:pt>
                <c:pt idx="691">
                  <c:v>7.5877331647170587E-3</c:v>
                </c:pt>
                <c:pt idx="692">
                  <c:v>7.5877331647170587E-3</c:v>
                </c:pt>
                <c:pt idx="693">
                  <c:v>7.5877331647170587E-3</c:v>
                </c:pt>
                <c:pt idx="694">
                  <c:v>7.5877331647170587E-3</c:v>
                </c:pt>
                <c:pt idx="695">
                  <c:v>7.5877331647170587E-3</c:v>
                </c:pt>
                <c:pt idx="696">
                  <c:v>7.5877331647170587E-3</c:v>
                </c:pt>
                <c:pt idx="697">
                  <c:v>7.5877331647170587E-3</c:v>
                </c:pt>
                <c:pt idx="698">
                  <c:v>7.5877331647170587E-3</c:v>
                </c:pt>
                <c:pt idx="699">
                  <c:v>7.5877331647170587E-3</c:v>
                </c:pt>
                <c:pt idx="700">
                  <c:v>7.5877331647170587E-3</c:v>
                </c:pt>
                <c:pt idx="701">
                  <c:v>7.5877331647170587E-3</c:v>
                </c:pt>
                <c:pt idx="702">
                  <c:v>7.5877331647170587E-3</c:v>
                </c:pt>
                <c:pt idx="703">
                  <c:v>7.5877331647170587E-3</c:v>
                </c:pt>
                <c:pt idx="704">
                  <c:v>7.5877331647170587E-3</c:v>
                </c:pt>
                <c:pt idx="705">
                  <c:v>7.5877331647170587E-3</c:v>
                </c:pt>
                <c:pt idx="706">
                  <c:v>7.5877331647170587E-3</c:v>
                </c:pt>
                <c:pt idx="707">
                  <c:v>7.5877331647170587E-3</c:v>
                </c:pt>
                <c:pt idx="708">
                  <c:v>7.5877331647170587E-3</c:v>
                </c:pt>
                <c:pt idx="709">
                  <c:v>7.5877331647170587E-3</c:v>
                </c:pt>
                <c:pt idx="710">
                  <c:v>7.5877331647170587E-3</c:v>
                </c:pt>
                <c:pt idx="711">
                  <c:v>7.5877331647170587E-3</c:v>
                </c:pt>
                <c:pt idx="712">
                  <c:v>7.5877331647170587E-3</c:v>
                </c:pt>
                <c:pt idx="713">
                  <c:v>7.5877331647170587E-3</c:v>
                </c:pt>
                <c:pt idx="714">
                  <c:v>7.5877331647170587E-3</c:v>
                </c:pt>
                <c:pt idx="715">
                  <c:v>7.5877331647170587E-3</c:v>
                </c:pt>
                <c:pt idx="716">
                  <c:v>7.5877331647170587E-3</c:v>
                </c:pt>
                <c:pt idx="717">
                  <c:v>7.5877331647170587E-3</c:v>
                </c:pt>
                <c:pt idx="718">
                  <c:v>7.5877331647170587E-3</c:v>
                </c:pt>
                <c:pt idx="719">
                  <c:v>7.5877331647170587E-3</c:v>
                </c:pt>
                <c:pt idx="720">
                  <c:v>7.5877331647170587E-3</c:v>
                </c:pt>
                <c:pt idx="721">
                  <c:v>7.5877331647170587E-3</c:v>
                </c:pt>
                <c:pt idx="722">
                  <c:v>7.5877331647170587E-3</c:v>
                </c:pt>
                <c:pt idx="723">
                  <c:v>7.5877331647170587E-3</c:v>
                </c:pt>
                <c:pt idx="724">
                  <c:v>7.5877331647170587E-3</c:v>
                </c:pt>
                <c:pt idx="725">
                  <c:v>7.5877331647170587E-3</c:v>
                </c:pt>
                <c:pt idx="726">
                  <c:v>7.5877331647170587E-3</c:v>
                </c:pt>
                <c:pt idx="727">
                  <c:v>7.5877331647170587E-3</c:v>
                </c:pt>
                <c:pt idx="728">
                  <c:v>7.5877331647170587E-3</c:v>
                </c:pt>
                <c:pt idx="729">
                  <c:v>7.5877331647170587E-3</c:v>
                </c:pt>
                <c:pt idx="730">
                  <c:v>7.5877331647170587E-3</c:v>
                </c:pt>
                <c:pt idx="731">
                  <c:v>7.5877331647170587E-3</c:v>
                </c:pt>
                <c:pt idx="732">
                  <c:v>7.5877331647170587E-3</c:v>
                </c:pt>
                <c:pt idx="733">
                  <c:v>7.5877331647170587E-3</c:v>
                </c:pt>
                <c:pt idx="734">
                  <c:v>7.5877331647170587E-3</c:v>
                </c:pt>
                <c:pt idx="735">
                  <c:v>7.5877331647170587E-3</c:v>
                </c:pt>
                <c:pt idx="736">
                  <c:v>7.5877331647170587E-3</c:v>
                </c:pt>
                <c:pt idx="737">
                  <c:v>7.5877331647170587E-3</c:v>
                </c:pt>
                <c:pt idx="738">
                  <c:v>7.5877331647170587E-3</c:v>
                </c:pt>
                <c:pt idx="739">
                  <c:v>7.5877331647170587E-3</c:v>
                </c:pt>
                <c:pt idx="740">
                  <c:v>7.5877331647170587E-3</c:v>
                </c:pt>
                <c:pt idx="741">
                  <c:v>7.5877331647170587E-3</c:v>
                </c:pt>
                <c:pt idx="742">
                  <c:v>7.5877331647170587E-3</c:v>
                </c:pt>
                <c:pt idx="743">
                  <c:v>7.5877331647170587E-3</c:v>
                </c:pt>
                <c:pt idx="744">
                  <c:v>7.5877331647170587E-3</c:v>
                </c:pt>
                <c:pt idx="745">
                  <c:v>7.5877331647170587E-3</c:v>
                </c:pt>
                <c:pt idx="746">
                  <c:v>7.5877331647170587E-3</c:v>
                </c:pt>
                <c:pt idx="747">
                  <c:v>7.5877331647170587E-3</c:v>
                </c:pt>
                <c:pt idx="748">
                  <c:v>7.5877331647170587E-3</c:v>
                </c:pt>
                <c:pt idx="749">
                  <c:v>7.5877331647170587E-3</c:v>
                </c:pt>
                <c:pt idx="750">
                  <c:v>7.5877331647170587E-3</c:v>
                </c:pt>
                <c:pt idx="751">
                  <c:v>7.5877331647170587E-3</c:v>
                </c:pt>
                <c:pt idx="752">
                  <c:v>7.5877331647170587E-3</c:v>
                </c:pt>
                <c:pt idx="753">
                  <c:v>7.5877331647170587E-3</c:v>
                </c:pt>
                <c:pt idx="754">
                  <c:v>7.5877331647170587E-3</c:v>
                </c:pt>
                <c:pt idx="755">
                  <c:v>7.5877331647170587E-3</c:v>
                </c:pt>
                <c:pt idx="756">
                  <c:v>7.5877331647170587E-3</c:v>
                </c:pt>
                <c:pt idx="757">
                  <c:v>7.5877331647170587E-3</c:v>
                </c:pt>
                <c:pt idx="758">
                  <c:v>7.5877331647170587E-3</c:v>
                </c:pt>
                <c:pt idx="759">
                  <c:v>7.5877331647170587E-3</c:v>
                </c:pt>
                <c:pt idx="760">
                  <c:v>7.5877331647170587E-3</c:v>
                </c:pt>
                <c:pt idx="761">
                  <c:v>7.5877331647170587E-3</c:v>
                </c:pt>
                <c:pt idx="762">
                  <c:v>7.5877331647170587E-3</c:v>
                </c:pt>
                <c:pt idx="763">
                  <c:v>7.5877331647170587E-3</c:v>
                </c:pt>
                <c:pt idx="764">
                  <c:v>7.5877331647170587E-3</c:v>
                </c:pt>
                <c:pt idx="765">
                  <c:v>7.5877331647170587E-3</c:v>
                </c:pt>
                <c:pt idx="766">
                  <c:v>7.5877331647170587E-3</c:v>
                </c:pt>
                <c:pt idx="767">
                  <c:v>7.5877331647170587E-3</c:v>
                </c:pt>
                <c:pt idx="768">
                  <c:v>7.5877331647170587E-3</c:v>
                </c:pt>
                <c:pt idx="769">
                  <c:v>7.5877331647170587E-3</c:v>
                </c:pt>
                <c:pt idx="770">
                  <c:v>7.5877331647170587E-3</c:v>
                </c:pt>
                <c:pt idx="771">
                  <c:v>7.5877331647170587E-3</c:v>
                </c:pt>
                <c:pt idx="772">
                  <c:v>7.5877331647170587E-3</c:v>
                </c:pt>
                <c:pt idx="773">
                  <c:v>7.5877331647170587E-3</c:v>
                </c:pt>
                <c:pt idx="774">
                  <c:v>7.5877331647170587E-3</c:v>
                </c:pt>
                <c:pt idx="775">
                  <c:v>7.5877331647170587E-3</c:v>
                </c:pt>
                <c:pt idx="776">
                  <c:v>7.5877331647170587E-3</c:v>
                </c:pt>
                <c:pt idx="777">
                  <c:v>7.5877331647170587E-3</c:v>
                </c:pt>
                <c:pt idx="778">
                  <c:v>7.5877331647170587E-3</c:v>
                </c:pt>
                <c:pt idx="779">
                  <c:v>7.5877331647170587E-3</c:v>
                </c:pt>
                <c:pt idx="780">
                  <c:v>7.5877331647170587E-3</c:v>
                </c:pt>
                <c:pt idx="781">
                  <c:v>7.5877331647170587E-3</c:v>
                </c:pt>
                <c:pt idx="782">
                  <c:v>7.5877331647170587E-3</c:v>
                </c:pt>
                <c:pt idx="783">
                  <c:v>7.5877331647170587E-3</c:v>
                </c:pt>
                <c:pt idx="784">
                  <c:v>7.5877331647170587E-3</c:v>
                </c:pt>
                <c:pt idx="785">
                  <c:v>7.5877331647170587E-3</c:v>
                </c:pt>
                <c:pt idx="786">
                  <c:v>7.5877331647170587E-3</c:v>
                </c:pt>
                <c:pt idx="787">
                  <c:v>7.5877331647170587E-3</c:v>
                </c:pt>
                <c:pt idx="788">
                  <c:v>7.5877331647170587E-3</c:v>
                </c:pt>
                <c:pt idx="789">
                  <c:v>7.5877331647170587E-3</c:v>
                </c:pt>
                <c:pt idx="790">
                  <c:v>7.5877331647170587E-3</c:v>
                </c:pt>
                <c:pt idx="791">
                  <c:v>7.5877331647170587E-3</c:v>
                </c:pt>
                <c:pt idx="792">
                  <c:v>7.5877331647170587E-3</c:v>
                </c:pt>
                <c:pt idx="793">
                  <c:v>7.5877331647170587E-3</c:v>
                </c:pt>
                <c:pt idx="794">
                  <c:v>7.5877331647170587E-3</c:v>
                </c:pt>
                <c:pt idx="795">
                  <c:v>7.5877331647170587E-3</c:v>
                </c:pt>
                <c:pt idx="796">
                  <c:v>7.5877331647170587E-3</c:v>
                </c:pt>
                <c:pt idx="797">
                  <c:v>7.5877331647170587E-3</c:v>
                </c:pt>
                <c:pt idx="798">
                  <c:v>7.5877331647170587E-3</c:v>
                </c:pt>
                <c:pt idx="799">
                  <c:v>7.5877331647170587E-3</c:v>
                </c:pt>
                <c:pt idx="800">
                  <c:v>7.5877331647170587E-3</c:v>
                </c:pt>
                <c:pt idx="801">
                  <c:v>7.5877331647170587E-3</c:v>
                </c:pt>
                <c:pt idx="802">
                  <c:v>7.5877331647170587E-3</c:v>
                </c:pt>
                <c:pt idx="803">
                  <c:v>7.5877331647170587E-3</c:v>
                </c:pt>
                <c:pt idx="804">
                  <c:v>7.5877331647170587E-3</c:v>
                </c:pt>
                <c:pt idx="805">
                  <c:v>7.5877331647170587E-3</c:v>
                </c:pt>
                <c:pt idx="806">
                  <c:v>7.5877331647170587E-3</c:v>
                </c:pt>
                <c:pt idx="807">
                  <c:v>7.5877331647170587E-3</c:v>
                </c:pt>
                <c:pt idx="808">
                  <c:v>7.5877331647170587E-3</c:v>
                </c:pt>
                <c:pt idx="809">
                  <c:v>7.5877331647170587E-3</c:v>
                </c:pt>
                <c:pt idx="810">
                  <c:v>7.5877331647170587E-3</c:v>
                </c:pt>
                <c:pt idx="811">
                  <c:v>7.5877331647170587E-3</c:v>
                </c:pt>
                <c:pt idx="812">
                  <c:v>7.5877331647170587E-3</c:v>
                </c:pt>
                <c:pt idx="813">
                  <c:v>7.5877331647170587E-3</c:v>
                </c:pt>
                <c:pt idx="814">
                  <c:v>7.5877331647170587E-3</c:v>
                </c:pt>
                <c:pt idx="815">
                  <c:v>7.5877331647170587E-3</c:v>
                </c:pt>
                <c:pt idx="816">
                  <c:v>7.5877331647170587E-3</c:v>
                </c:pt>
                <c:pt idx="817">
                  <c:v>7.5877331647170587E-3</c:v>
                </c:pt>
                <c:pt idx="818">
                  <c:v>7.5877331647170587E-3</c:v>
                </c:pt>
                <c:pt idx="819">
                  <c:v>7.5877331647170587E-3</c:v>
                </c:pt>
                <c:pt idx="820">
                  <c:v>7.5877331647170587E-3</c:v>
                </c:pt>
                <c:pt idx="821">
                  <c:v>7.5877331647170587E-3</c:v>
                </c:pt>
                <c:pt idx="822">
                  <c:v>7.5877331647170587E-3</c:v>
                </c:pt>
                <c:pt idx="823">
                  <c:v>7.5877331647170587E-3</c:v>
                </c:pt>
                <c:pt idx="824">
                  <c:v>7.5877331647170587E-3</c:v>
                </c:pt>
                <c:pt idx="825">
                  <c:v>7.5877331647170587E-3</c:v>
                </c:pt>
                <c:pt idx="826">
                  <c:v>7.5877331647170587E-3</c:v>
                </c:pt>
                <c:pt idx="827">
                  <c:v>7.5877331647170587E-3</c:v>
                </c:pt>
                <c:pt idx="828">
                  <c:v>7.5877331647170587E-3</c:v>
                </c:pt>
                <c:pt idx="829">
                  <c:v>7.5877331647170587E-3</c:v>
                </c:pt>
                <c:pt idx="830">
                  <c:v>7.5877331647170587E-3</c:v>
                </c:pt>
                <c:pt idx="831">
                  <c:v>7.5877331647170587E-3</c:v>
                </c:pt>
                <c:pt idx="832">
                  <c:v>7.5877331647170587E-3</c:v>
                </c:pt>
                <c:pt idx="833">
                  <c:v>7.5877331647170587E-3</c:v>
                </c:pt>
                <c:pt idx="834">
                  <c:v>7.5877331647170587E-3</c:v>
                </c:pt>
                <c:pt idx="835">
                  <c:v>7.5877331647170587E-3</c:v>
                </c:pt>
                <c:pt idx="836">
                  <c:v>7.5877331647170587E-3</c:v>
                </c:pt>
                <c:pt idx="837">
                  <c:v>7.5877331647170587E-3</c:v>
                </c:pt>
                <c:pt idx="838">
                  <c:v>7.5877331647170587E-3</c:v>
                </c:pt>
                <c:pt idx="839">
                  <c:v>7.5877331647170587E-3</c:v>
                </c:pt>
                <c:pt idx="840">
                  <c:v>7.5877331647170587E-3</c:v>
                </c:pt>
                <c:pt idx="841">
                  <c:v>7.5877331647170587E-3</c:v>
                </c:pt>
                <c:pt idx="842">
                  <c:v>7.5877331647170587E-3</c:v>
                </c:pt>
                <c:pt idx="843">
                  <c:v>7.5877331647170587E-3</c:v>
                </c:pt>
                <c:pt idx="844">
                  <c:v>7.5877331647170587E-3</c:v>
                </c:pt>
                <c:pt idx="845">
                  <c:v>7.5877331647170587E-3</c:v>
                </c:pt>
                <c:pt idx="846">
                  <c:v>7.5877331647170587E-3</c:v>
                </c:pt>
                <c:pt idx="847">
                  <c:v>7.5877331647170587E-3</c:v>
                </c:pt>
                <c:pt idx="848">
                  <c:v>7.5877331647170587E-3</c:v>
                </c:pt>
                <c:pt idx="849">
                  <c:v>7.5877331647170587E-3</c:v>
                </c:pt>
                <c:pt idx="850">
                  <c:v>7.5877331647170587E-3</c:v>
                </c:pt>
                <c:pt idx="851">
                  <c:v>7.5877331647170587E-3</c:v>
                </c:pt>
                <c:pt idx="852">
                  <c:v>7.5877331647170587E-3</c:v>
                </c:pt>
                <c:pt idx="853">
                  <c:v>7.5877331647170587E-3</c:v>
                </c:pt>
                <c:pt idx="854">
                  <c:v>7.5877331647170587E-3</c:v>
                </c:pt>
                <c:pt idx="855">
                  <c:v>7.5877331647170587E-3</c:v>
                </c:pt>
                <c:pt idx="856">
                  <c:v>7.5877331647170587E-3</c:v>
                </c:pt>
                <c:pt idx="857">
                  <c:v>7.5877331647170587E-3</c:v>
                </c:pt>
                <c:pt idx="858">
                  <c:v>7.5877331647170587E-3</c:v>
                </c:pt>
                <c:pt idx="859">
                  <c:v>7.5877331647170587E-3</c:v>
                </c:pt>
                <c:pt idx="860">
                  <c:v>7.5877331647170587E-3</c:v>
                </c:pt>
                <c:pt idx="861">
                  <c:v>7.5877331647170587E-3</c:v>
                </c:pt>
                <c:pt idx="862">
                  <c:v>7.5877331647170587E-3</c:v>
                </c:pt>
                <c:pt idx="863">
                  <c:v>7.5877331647170587E-3</c:v>
                </c:pt>
                <c:pt idx="864">
                  <c:v>7.5877331647170587E-3</c:v>
                </c:pt>
                <c:pt idx="865">
                  <c:v>7.5877331647170587E-3</c:v>
                </c:pt>
                <c:pt idx="866">
                  <c:v>7.5877331647170587E-3</c:v>
                </c:pt>
                <c:pt idx="867">
                  <c:v>7.5877331647170587E-3</c:v>
                </c:pt>
                <c:pt idx="868">
                  <c:v>7.5877331647170587E-3</c:v>
                </c:pt>
                <c:pt idx="869">
                  <c:v>7.5877331647170587E-3</c:v>
                </c:pt>
                <c:pt idx="870">
                  <c:v>7.5877331647170587E-3</c:v>
                </c:pt>
                <c:pt idx="871">
                  <c:v>7.5877331647170587E-3</c:v>
                </c:pt>
                <c:pt idx="872">
                  <c:v>7.5877331647170587E-3</c:v>
                </c:pt>
                <c:pt idx="873">
                  <c:v>7.5877331647170587E-3</c:v>
                </c:pt>
                <c:pt idx="874">
                  <c:v>7.5877331647170587E-3</c:v>
                </c:pt>
                <c:pt idx="875">
                  <c:v>7.5877331647170587E-3</c:v>
                </c:pt>
                <c:pt idx="876">
                  <c:v>7.5877331647170587E-3</c:v>
                </c:pt>
                <c:pt idx="877">
                  <c:v>7.5877331647170587E-3</c:v>
                </c:pt>
                <c:pt idx="878">
                  <c:v>7.5877331647170587E-3</c:v>
                </c:pt>
                <c:pt idx="879">
                  <c:v>7.5877331647170587E-3</c:v>
                </c:pt>
                <c:pt idx="880">
                  <c:v>7.5877331647170587E-3</c:v>
                </c:pt>
                <c:pt idx="881">
                  <c:v>7.5877331647170587E-3</c:v>
                </c:pt>
                <c:pt idx="882">
                  <c:v>7.5877331647170587E-3</c:v>
                </c:pt>
                <c:pt idx="883">
                  <c:v>7.5877331647170587E-3</c:v>
                </c:pt>
                <c:pt idx="884">
                  <c:v>7.5877331647170587E-3</c:v>
                </c:pt>
                <c:pt idx="885">
                  <c:v>7.5877331647170587E-3</c:v>
                </c:pt>
                <c:pt idx="886">
                  <c:v>7.5877331647170587E-3</c:v>
                </c:pt>
                <c:pt idx="887">
                  <c:v>7.5877331647170587E-3</c:v>
                </c:pt>
                <c:pt idx="888">
                  <c:v>2.9718621561808378E-2</c:v>
                </c:pt>
                <c:pt idx="889">
                  <c:v>2.9718621561808378E-2</c:v>
                </c:pt>
                <c:pt idx="890">
                  <c:v>2.9718621561808378E-2</c:v>
                </c:pt>
                <c:pt idx="891">
                  <c:v>2.9718621561808378E-2</c:v>
                </c:pt>
                <c:pt idx="892">
                  <c:v>2.9718621561808378E-2</c:v>
                </c:pt>
                <c:pt idx="893">
                  <c:v>2.9718621561808378E-2</c:v>
                </c:pt>
                <c:pt idx="894">
                  <c:v>2.9718621561808378E-2</c:v>
                </c:pt>
                <c:pt idx="895">
                  <c:v>2.9718621561808378E-2</c:v>
                </c:pt>
                <c:pt idx="896">
                  <c:v>2.9718621561808378E-2</c:v>
                </c:pt>
                <c:pt idx="897">
                  <c:v>2.9718621561808378E-2</c:v>
                </c:pt>
                <c:pt idx="898">
                  <c:v>2.9718621561808378E-2</c:v>
                </c:pt>
                <c:pt idx="899">
                  <c:v>2.9718621561808378E-2</c:v>
                </c:pt>
                <c:pt idx="900">
                  <c:v>2.9718621561808378E-2</c:v>
                </c:pt>
                <c:pt idx="901">
                  <c:v>2.9718621561808378E-2</c:v>
                </c:pt>
                <c:pt idx="902">
                  <c:v>2.9718621561808378E-2</c:v>
                </c:pt>
                <c:pt idx="903">
                  <c:v>2.9718621561808378E-2</c:v>
                </c:pt>
                <c:pt idx="904">
                  <c:v>2.9718621561808378E-2</c:v>
                </c:pt>
                <c:pt idx="905">
                  <c:v>2.9718621561808378E-2</c:v>
                </c:pt>
                <c:pt idx="906">
                  <c:v>2.9718621561808378E-2</c:v>
                </c:pt>
                <c:pt idx="907">
                  <c:v>2.9718621561808378E-2</c:v>
                </c:pt>
                <c:pt idx="908">
                  <c:v>2.9718621561808378E-2</c:v>
                </c:pt>
                <c:pt idx="909">
                  <c:v>2.9718621561808378E-2</c:v>
                </c:pt>
                <c:pt idx="910">
                  <c:v>2.9718621561808378E-2</c:v>
                </c:pt>
                <c:pt idx="911">
                  <c:v>2.9718621561808378E-2</c:v>
                </c:pt>
                <c:pt idx="912">
                  <c:v>2.9718621561808378E-2</c:v>
                </c:pt>
                <c:pt idx="913">
                  <c:v>2.9718621561808378E-2</c:v>
                </c:pt>
                <c:pt idx="914">
                  <c:v>2.9718621561808378E-2</c:v>
                </c:pt>
                <c:pt idx="915">
                  <c:v>2.9718621561808378E-2</c:v>
                </c:pt>
                <c:pt idx="916">
                  <c:v>2.9718621561808378E-2</c:v>
                </c:pt>
                <c:pt idx="917">
                  <c:v>2.9718621561808378E-2</c:v>
                </c:pt>
                <c:pt idx="918">
                  <c:v>2.9718621561808378E-2</c:v>
                </c:pt>
                <c:pt idx="919">
                  <c:v>2.9718621561808378E-2</c:v>
                </c:pt>
                <c:pt idx="920">
                  <c:v>2.9718621561808378E-2</c:v>
                </c:pt>
                <c:pt idx="921">
                  <c:v>6.5760354094214324E-2</c:v>
                </c:pt>
                <c:pt idx="922">
                  <c:v>6.5760354094214324E-2</c:v>
                </c:pt>
                <c:pt idx="923">
                  <c:v>6.5760354094214324E-2</c:v>
                </c:pt>
                <c:pt idx="924">
                  <c:v>6.5760354094214324E-2</c:v>
                </c:pt>
                <c:pt idx="925">
                  <c:v>6.5760354094214324E-2</c:v>
                </c:pt>
                <c:pt idx="926">
                  <c:v>6.5760354094214324E-2</c:v>
                </c:pt>
                <c:pt idx="927">
                  <c:v>6.5760354094214324E-2</c:v>
                </c:pt>
                <c:pt idx="928">
                  <c:v>6.5760354094214324E-2</c:v>
                </c:pt>
                <c:pt idx="929">
                  <c:v>6.5760354094214324E-2</c:v>
                </c:pt>
                <c:pt idx="930">
                  <c:v>6.9870376225102726E-2</c:v>
                </c:pt>
                <c:pt idx="931">
                  <c:v>6.9870376225102726E-2</c:v>
                </c:pt>
                <c:pt idx="932">
                  <c:v>6.9870376225102726E-2</c:v>
                </c:pt>
                <c:pt idx="933">
                  <c:v>6.9870376225102726E-2</c:v>
                </c:pt>
                <c:pt idx="934">
                  <c:v>6.9870376225102726E-2</c:v>
                </c:pt>
                <c:pt idx="935">
                  <c:v>6.9870376225102726E-2</c:v>
                </c:pt>
                <c:pt idx="936">
                  <c:v>6.9870376225102726E-2</c:v>
                </c:pt>
                <c:pt idx="937">
                  <c:v>6.9870376225102726E-2</c:v>
                </c:pt>
                <c:pt idx="938">
                  <c:v>6.9870376225102726E-2</c:v>
                </c:pt>
                <c:pt idx="939">
                  <c:v>6.9870376225102726E-2</c:v>
                </c:pt>
                <c:pt idx="940">
                  <c:v>6.9870376225102726E-2</c:v>
                </c:pt>
                <c:pt idx="941">
                  <c:v>6.9870376225102726E-2</c:v>
                </c:pt>
                <c:pt idx="942">
                  <c:v>6.9870376225102726E-2</c:v>
                </c:pt>
                <c:pt idx="943">
                  <c:v>6.9870376225102726E-2</c:v>
                </c:pt>
                <c:pt idx="944">
                  <c:v>6.9870376225102726E-2</c:v>
                </c:pt>
                <c:pt idx="945">
                  <c:v>6.9870376225102726E-2</c:v>
                </c:pt>
                <c:pt idx="946">
                  <c:v>6.9870376225102726E-2</c:v>
                </c:pt>
                <c:pt idx="947">
                  <c:v>6.9870376225102726E-2</c:v>
                </c:pt>
                <c:pt idx="948">
                  <c:v>6.9870376225102726E-2</c:v>
                </c:pt>
                <c:pt idx="949">
                  <c:v>6.9870376225102726E-2</c:v>
                </c:pt>
                <c:pt idx="950">
                  <c:v>6.9870376225102726E-2</c:v>
                </c:pt>
                <c:pt idx="951">
                  <c:v>6.9870376225102726E-2</c:v>
                </c:pt>
                <c:pt idx="952">
                  <c:v>6.9870376225102726E-2</c:v>
                </c:pt>
                <c:pt idx="953">
                  <c:v>6.9870376225102726E-2</c:v>
                </c:pt>
                <c:pt idx="954">
                  <c:v>6.9870376225102726E-2</c:v>
                </c:pt>
                <c:pt idx="955">
                  <c:v>6.9870376225102726E-2</c:v>
                </c:pt>
                <c:pt idx="956">
                  <c:v>6.9870376225102726E-2</c:v>
                </c:pt>
                <c:pt idx="957">
                  <c:v>6.9870376225102726E-2</c:v>
                </c:pt>
                <c:pt idx="958">
                  <c:v>6.9870376225102726E-2</c:v>
                </c:pt>
                <c:pt idx="959">
                  <c:v>6.9870376225102726E-2</c:v>
                </c:pt>
                <c:pt idx="960">
                  <c:v>6.9870376225102726E-2</c:v>
                </c:pt>
                <c:pt idx="961">
                  <c:v>6.9870376225102726E-2</c:v>
                </c:pt>
                <c:pt idx="962">
                  <c:v>6.9870376225102726E-2</c:v>
                </c:pt>
                <c:pt idx="963">
                  <c:v>6.9870376225102726E-2</c:v>
                </c:pt>
                <c:pt idx="964">
                  <c:v>6.9870376225102726E-2</c:v>
                </c:pt>
                <c:pt idx="965">
                  <c:v>6.9870376225102726E-2</c:v>
                </c:pt>
                <c:pt idx="966">
                  <c:v>6.9870376225102726E-2</c:v>
                </c:pt>
                <c:pt idx="967">
                  <c:v>6.9870376225102726E-2</c:v>
                </c:pt>
                <c:pt idx="968">
                  <c:v>6.9870376225102726E-2</c:v>
                </c:pt>
                <c:pt idx="969">
                  <c:v>6.9870376225102726E-2</c:v>
                </c:pt>
                <c:pt idx="970">
                  <c:v>6.9870376225102726E-2</c:v>
                </c:pt>
                <c:pt idx="971">
                  <c:v>6.9870376225102726E-2</c:v>
                </c:pt>
                <c:pt idx="972">
                  <c:v>6.9870376225102726E-2</c:v>
                </c:pt>
                <c:pt idx="973">
                  <c:v>6.9870376225102726E-2</c:v>
                </c:pt>
                <c:pt idx="974">
                  <c:v>6.9870376225102726E-2</c:v>
                </c:pt>
                <c:pt idx="975">
                  <c:v>6.9870376225102726E-2</c:v>
                </c:pt>
                <c:pt idx="976">
                  <c:v>6.9870376225102726E-2</c:v>
                </c:pt>
                <c:pt idx="977">
                  <c:v>6.9870376225102726E-2</c:v>
                </c:pt>
                <c:pt idx="978">
                  <c:v>6.9870376225102726E-2</c:v>
                </c:pt>
                <c:pt idx="979">
                  <c:v>6.9870376225102726E-2</c:v>
                </c:pt>
                <c:pt idx="980">
                  <c:v>6.9870376225102726E-2</c:v>
                </c:pt>
                <c:pt idx="981">
                  <c:v>6.9870376225102726E-2</c:v>
                </c:pt>
                <c:pt idx="982">
                  <c:v>6.9870376225102726E-2</c:v>
                </c:pt>
                <c:pt idx="983">
                  <c:v>6.9870376225102726E-2</c:v>
                </c:pt>
                <c:pt idx="984">
                  <c:v>6.9870376225102726E-2</c:v>
                </c:pt>
                <c:pt idx="985">
                  <c:v>6.9870376225102726E-2</c:v>
                </c:pt>
                <c:pt idx="986">
                  <c:v>6.9870376225102726E-2</c:v>
                </c:pt>
                <c:pt idx="987">
                  <c:v>6.9870376225102726E-2</c:v>
                </c:pt>
                <c:pt idx="988">
                  <c:v>6.9870376225102726E-2</c:v>
                </c:pt>
                <c:pt idx="989">
                  <c:v>6.9870376225102726E-2</c:v>
                </c:pt>
                <c:pt idx="990">
                  <c:v>6.9870376225102726E-2</c:v>
                </c:pt>
                <c:pt idx="991">
                  <c:v>6.9870376225102726E-2</c:v>
                </c:pt>
                <c:pt idx="992">
                  <c:v>6.9870376225102726E-2</c:v>
                </c:pt>
                <c:pt idx="993">
                  <c:v>6.9870376225102726E-2</c:v>
                </c:pt>
                <c:pt idx="994">
                  <c:v>6.9870376225102726E-2</c:v>
                </c:pt>
                <c:pt idx="995">
                  <c:v>6.9870376225102726E-2</c:v>
                </c:pt>
                <c:pt idx="996">
                  <c:v>6.9870376225102726E-2</c:v>
                </c:pt>
                <c:pt idx="997">
                  <c:v>6.9870376225102726E-2</c:v>
                </c:pt>
                <c:pt idx="998">
                  <c:v>6.9870376225102726E-2</c:v>
                </c:pt>
                <c:pt idx="999">
                  <c:v>6.9870376225102726E-2</c:v>
                </c:pt>
                <c:pt idx="1000">
                  <c:v>6.9870376225102726E-2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4-4729-BD6B-F02E32912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4491503"/>
        <c:axId val="714065487"/>
      </c:barChart>
      <c:catAx>
        <c:axId val="113449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065487"/>
        <c:crosses val="autoZero"/>
        <c:auto val="1"/>
        <c:lblAlgn val="ctr"/>
        <c:lblOffset val="100"/>
        <c:noMultiLvlLbl val="0"/>
      </c:catAx>
      <c:valAx>
        <c:axId val="7140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49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9</xdr:col>
      <xdr:colOff>374873</xdr:colOff>
      <xdr:row>29</xdr:row>
      <xdr:rowOff>152540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F1D24-F94E-8314-1344-F29E3057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150" y="2933700"/>
          <a:ext cx="4330923" cy="27306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18</xdr:col>
      <xdr:colOff>178107</xdr:colOff>
      <xdr:row>52</xdr:row>
      <xdr:rowOff>25676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8DAEE-A389-D58D-ACE4-27DEBC41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00" y="4406900"/>
          <a:ext cx="5969307" cy="5366026"/>
        </a:xfrm>
        <a:prstGeom prst="rect">
          <a:avLst/>
        </a:prstGeom>
      </xdr:spPr>
    </xdr:pic>
    <xdr:clientData/>
  </xdr:twoCellAnchor>
  <xdr:twoCellAnchor editAs="oneCell">
    <xdr:from>
      <xdr:col>0</xdr:col>
      <xdr:colOff>2016958</xdr:colOff>
      <xdr:row>30</xdr:row>
      <xdr:rowOff>44450</xdr:rowOff>
    </xdr:from>
    <xdr:to>
      <xdr:col>9</xdr:col>
      <xdr:colOff>83168</xdr:colOff>
      <xdr:row>49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857EF5-9905-622B-A75E-DD524B58B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6958" y="5740400"/>
          <a:ext cx="7381660" cy="35115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18</xdr:col>
      <xdr:colOff>260457</xdr:colOff>
      <xdr:row>5</xdr:row>
      <xdr:rowOff>25442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A9A4B1-4B97-7713-8AA5-CCE4ACCD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6950" y="184150"/>
          <a:ext cx="2089257" cy="81284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18</xdr:col>
      <xdr:colOff>311260</xdr:colOff>
      <xdr:row>10</xdr:row>
      <xdr:rowOff>6391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59C8BB-580B-EB72-148E-9FF78AF72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96950" y="1174750"/>
          <a:ext cx="2140060" cy="7937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18</xdr:col>
      <xdr:colOff>285859</xdr:colOff>
      <xdr:row>15</xdr:row>
      <xdr:rowOff>12740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46A250-8674-7665-7625-0F56AE47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96950" y="2159000"/>
          <a:ext cx="2114659" cy="78744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18</xdr:col>
      <xdr:colOff>260457</xdr:colOff>
      <xdr:row>20</xdr:row>
      <xdr:rowOff>50840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AF15F7-4162-A6D3-2F3A-9D09CB2C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96950" y="3117850"/>
          <a:ext cx="2089257" cy="787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346075</xdr:colOff>
      <xdr:row>7</xdr:row>
      <xdr:rowOff>44450</xdr:rowOff>
    </xdr:from>
    <xdr:to>
      <xdr:col>35</xdr:col>
      <xdr:colOff>41275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9CF77-890B-B7C2-88F2-3A7FB2F1B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371475</xdr:colOff>
      <xdr:row>7</xdr:row>
      <xdr:rowOff>31750</xdr:rowOff>
    </xdr:from>
    <xdr:to>
      <xdr:col>43</xdr:col>
      <xdr:colOff>66675</xdr:colOff>
      <xdr:row>22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95812B-7A80-EEAB-3297-F128E381C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60325</xdr:colOff>
      <xdr:row>11</xdr:row>
      <xdr:rowOff>120650</xdr:rowOff>
    </xdr:from>
    <xdr:to>
      <xdr:col>45</xdr:col>
      <xdr:colOff>365125</xdr:colOff>
      <xdr:row>26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DF50D-898B-E209-09F3-7B04841E7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244475</xdr:colOff>
      <xdr:row>10</xdr:row>
      <xdr:rowOff>63500</xdr:rowOff>
    </xdr:from>
    <xdr:to>
      <xdr:col>31</xdr:col>
      <xdr:colOff>549275</xdr:colOff>
      <xdr:row>25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B34A8D-E63F-921C-6739-97885E442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501650</xdr:colOff>
      <xdr:row>986</xdr:row>
      <xdr:rowOff>82550</xdr:rowOff>
    </xdr:from>
    <xdr:to>
      <xdr:col>21</xdr:col>
      <xdr:colOff>196850</xdr:colOff>
      <xdr:row>1001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9C5DF-5DB6-5403-966A-8BAA0C973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03"/>
  <sheetViews>
    <sheetView workbookViewId="0"/>
  </sheetViews>
  <sheetFormatPr defaultRowHeight="14.5" x14ac:dyDescent="0.35"/>
  <cols>
    <col min="1" max="1" width="17.6328125" bestFit="1" customWidth="1"/>
    <col min="2" max="2" width="4.81640625" bestFit="1" customWidth="1"/>
    <col min="3" max="3" width="3.81640625" bestFit="1" customWidth="1"/>
    <col min="4" max="4" width="9.7265625" bestFit="1" customWidth="1"/>
    <col min="5" max="5" width="6.81640625" bestFit="1" customWidth="1"/>
    <col min="6" max="6" width="6.08984375" bestFit="1" customWidth="1"/>
    <col min="7" max="7" width="6.1796875" bestFit="1" customWidth="1"/>
    <col min="8" max="8" width="8.90625" bestFit="1" customWidth="1"/>
    <col min="9" max="9" width="8.36328125" bestFit="1" customWidth="1"/>
    <col min="10" max="10" width="6.08984375" bestFit="1" customWidth="1"/>
    <col min="11" max="11" width="9.7265625" bestFit="1" customWidth="1"/>
    <col min="12" max="12" width="7.90625" bestFit="1" customWidth="1"/>
    <col min="13" max="13" width="12.1796875" bestFit="1" customWidth="1"/>
    <col min="14" max="14" width="16.08984375" bestFit="1" customWidth="1"/>
    <col min="15" max="15" width="10.453125" bestFit="1" customWidth="1"/>
    <col min="16" max="16" width="8.36328125" bestFit="1" customWidth="1"/>
    <col min="17" max="17" width="24.81640625" bestFit="1" customWidth="1"/>
    <col min="18" max="18" width="17.90625" bestFit="1" customWidth="1"/>
    <col min="19" max="19" width="16.7265625" bestFit="1" customWidth="1"/>
    <col min="20" max="20" width="5.08984375" bestFit="1" customWidth="1"/>
    <col min="21" max="22" width="23.6328125" bestFit="1" customWidth="1"/>
    <col min="23" max="24" width="26.6328125" bestFit="1" customWidth="1"/>
    <col min="25" max="26" width="23.453125" bestFit="1" customWidth="1"/>
    <col min="27" max="28" width="22.7265625" bestFit="1" customWidth="1"/>
    <col min="29" max="29" width="28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2</v>
      </c>
      <c r="B2">
        <v>2</v>
      </c>
      <c r="C2">
        <v>45</v>
      </c>
      <c r="D2">
        <v>19</v>
      </c>
      <c r="E2">
        <v>34</v>
      </c>
      <c r="F2">
        <v>3</v>
      </c>
      <c r="G2">
        <v>1.5</v>
      </c>
      <c r="H2">
        <v>1</v>
      </c>
      <c r="I2">
        <v>0</v>
      </c>
      <c r="J2">
        <v>0</v>
      </c>
      <c r="K2">
        <v>0</v>
      </c>
      <c r="L2">
        <v>90089</v>
      </c>
      <c r="M2">
        <v>0</v>
      </c>
      <c r="N2">
        <v>1</v>
      </c>
      <c r="O2">
        <v>0</v>
      </c>
      <c r="Q2">
        <v>1</v>
      </c>
      <c r="R2">
        <v>0</v>
      </c>
      <c r="S2">
        <v>0</v>
      </c>
      <c r="T2">
        <v>5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</row>
    <row r="3" spans="1:29" x14ac:dyDescent="0.35">
      <c r="A3">
        <v>3</v>
      </c>
      <c r="B3">
        <v>3</v>
      </c>
      <c r="C3">
        <v>39</v>
      </c>
      <c r="D3">
        <v>15</v>
      </c>
      <c r="E3">
        <v>11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94720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5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</row>
    <row r="4" spans="1:29" x14ac:dyDescent="0.35">
      <c r="A4">
        <v>6</v>
      </c>
      <c r="B4">
        <v>6</v>
      </c>
      <c r="C4">
        <v>37</v>
      </c>
      <c r="D4">
        <v>13</v>
      </c>
      <c r="E4">
        <v>29</v>
      </c>
      <c r="F4">
        <v>4</v>
      </c>
      <c r="G4">
        <v>0.4</v>
      </c>
      <c r="H4">
        <v>2</v>
      </c>
      <c r="I4">
        <v>155</v>
      </c>
      <c r="J4">
        <v>1</v>
      </c>
      <c r="K4">
        <v>0</v>
      </c>
      <c r="L4">
        <v>92121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5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</row>
    <row r="5" spans="1:29" x14ac:dyDescent="0.35">
      <c r="A5">
        <v>8</v>
      </c>
      <c r="B5">
        <v>8</v>
      </c>
      <c r="C5">
        <v>50</v>
      </c>
      <c r="D5">
        <v>24</v>
      </c>
      <c r="E5">
        <v>22</v>
      </c>
      <c r="F5">
        <v>1</v>
      </c>
      <c r="G5">
        <v>0.3</v>
      </c>
      <c r="H5">
        <v>3</v>
      </c>
      <c r="I5">
        <v>0</v>
      </c>
      <c r="J5">
        <v>0</v>
      </c>
      <c r="K5">
        <v>1</v>
      </c>
      <c r="L5">
        <v>93943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5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</row>
    <row r="6" spans="1:29" x14ac:dyDescent="0.35">
      <c r="A6">
        <v>9</v>
      </c>
      <c r="B6">
        <v>9</v>
      </c>
      <c r="C6">
        <v>35</v>
      </c>
      <c r="D6">
        <v>10</v>
      </c>
      <c r="E6">
        <v>81</v>
      </c>
      <c r="F6">
        <v>3</v>
      </c>
      <c r="G6">
        <v>0.6</v>
      </c>
      <c r="H6">
        <v>2</v>
      </c>
      <c r="I6">
        <v>104</v>
      </c>
      <c r="J6">
        <v>1</v>
      </c>
      <c r="K6">
        <v>0</v>
      </c>
      <c r="L6">
        <v>90089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5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</row>
    <row r="7" spans="1:29" x14ac:dyDescent="0.35">
      <c r="A7">
        <v>10</v>
      </c>
      <c r="B7">
        <v>10</v>
      </c>
      <c r="C7">
        <v>34</v>
      </c>
      <c r="D7">
        <v>9</v>
      </c>
      <c r="E7">
        <v>180</v>
      </c>
      <c r="F7">
        <v>1</v>
      </c>
      <c r="G7">
        <v>8.9</v>
      </c>
      <c r="H7">
        <v>3</v>
      </c>
      <c r="I7">
        <v>0</v>
      </c>
      <c r="J7">
        <v>0</v>
      </c>
      <c r="K7">
        <v>0</v>
      </c>
      <c r="L7">
        <v>93023</v>
      </c>
      <c r="M7">
        <v>1</v>
      </c>
      <c r="N7">
        <v>0</v>
      </c>
      <c r="O7">
        <v>0</v>
      </c>
      <c r="Q7">
        <v>0</v>
      </c>
      <c r="R7">
        <v>1</v>
      </c>
      <c r="S7">
        <v>1</v>
      </c>
      <c r="T7">
        <v>10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</row>
    <row r="8" spans="1:29" x14ac:dyDescent="0.35">
      <c r="A8">
        <v>16</v>
      </c>
      <c r="B8">
        <v>16</v>
      </c>
      <c r="C8">
        <v>60</v>
      </c>
      <c r="D8">
        <v>30</v>
      </c>
      <c r="E8">
        <v>22</v>
      </c>
      <c r="F8">
        <v>1</v>
      </c>
      <c r="G8">
        <v>1.5</v>
      </c>
      <c r="H8">
        <v>3</v>
      </c>
      <c r="I8">
        <v>0</v>
      </c>
      <c r="J8">
        <v>1</v>
      </c>
      <c r="K8">
        <v>1</v>
      </c>
      <c r="L8">
        <v>95054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5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</row>
    <row r="9" spans="1:29" x14ac:dyDescent="0.35">
      <c r="A9">
        <v>24</v>
      </c>
      <c r="B9">
        <v>24</v>
      </c>
      <c r="C9">
        <v>44</v>
      </c>
      <c r="D9">
        <v>18</v>
      </c>
      <c r="E9">
        <v>43</v>
      </c>
      <c r="F9">
        <v>2</v>
      </c>
      <c r="G9">
        <v>0.7</v>
      </c>
      <c r="H9">
        <v>1</v>
      </c>
      <c r="I9">
        <v>163</v>
      </c>
      <c r="J9">
        <v>0</v>
      </c>
      <c r="K9">
        <v>0</v>
      </c>
      <c r="L9">
        <v>91320</v>
      </c>
      <c r="M9">
        <v>0</v>
      </c>
      <c r="N9">
        <v>1</v>
      </c>
      <c r="O9">
        <v>0</v>
      </c>
      <c r="Q9">
        <v>1</v>
      </c>
      <c r="R9">
        <v>0</v>
      </c>
      <c r="S9">
        <v>0</v>
      </c>
      <c r="T9">
        <v>5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</row>
    <row r="10" spans="1:29" x14ac:dyDescent="0.35">
      <c r="A10">
        <v>29</v>
      </c>
      <c r="B10">
        <v>29</v>
      </c>
      <c r="C10">
        <v>56</v>
      </c>
      <c r="D10">
        <v>30</v>
      </c>
      <c r="E10">
        <v>48</v>
      </c>
      <c r="F10">
        <v>1</v>
      </c>
      <c r="G10">
        <v>2.2000000000000002</v>
      </c>
      <c r="H10">
        <v>3</v>
      </c>
      <c r="I10">
        <v>0</v>
      </c>
      <c r="J10">
        <v>1</v>
      </c>
      <c r="K10">
        <v>1</v>
      </c>
      <c r="L10">
        <v>94539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5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</row>
    <row r="11" spans="1:29" x14ac:dyDescent="0.35">
      <c r="A11">
        <v>33</v>
      </c>
      <c r="B11">
        <v>33</v>
      </c>
      <c r="C11">
        <v>53</v>
      </c>
      <c r="D11">
        <v>28</v>
      </c>
      <c r="E11">
        <v>41</v>
      </c>
      <c r="F11">
        <v>2</v>
      </c>
      <c r="G11">
        <v>0.6</v>
      </c>
      <c r="H11">
        <v>3</v>
      </c>
      <c r="I11">
        <v>193</v>
      </c>
      <c r="J11">
        <v>0</v>
      </c>
      <c r="K11">
        <v>0</v>
      </c>
      <c r="L11">
        <v>94801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5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29" x14ac:dyDescent="0.35">
      <c r="A12">
        <v>34</v>
      </c>
      <c r="B12">
        <v>34</v>
      </c>
      <c r="C12">
        <v>30</v>
      </c>
      <c r="D12">
        <v>6</v>
      </c>
      <c r="E12">
        <v>18</v>
      </c>
      <c r="F12">
        <v>3</v>
      </c>
      <c r="G12">
        <v>0.9</v>
      </c>
      <c r="H12">
        <v>3</v>
      </c>
      <c r="I12">
        <v>0</v>
      </c>
      <c r="J12">
        <v>0</v>
      </c>
      <c r="K12">
        <v>0</v>
      </c>
      <c r="L12">
        <v>91330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5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</row>
    <row r="13" spans="1:29" x14ac:dyDescent="0.35">
      <c r="A13">
        <v>39</v>
      </c>
      <c r="B13">
        <v>39</v>
      </c>
      <c r="C13">
        <v>42</v>
      </c>
      <c r="D13">
        <v>18</v>
      </c>
      <c r="E13">
        <v>141</v>
      </c>
      <c r="F13">
        <v>3</v>
      </c>
      <c r="G13">
        <v>5</v>
      </c>
      <c r="H13">
        <v>3</v>
      </c>
      <c r="I13">
        <v>0</v>
      </c>
      <c r="J13">
        <v>1</v>
      </c>
      <c r="K13">
        <v>0</v>
      </c>
      <c r="L13">
        <v>94114</v>
      </c>
      <c r="M13">
        <v>1</v>
      </c>
      <c r="N13">
        <v>1</v>
      </c>
      <c r="O13">
        <v>1</v>
      </c>
      <c r="Q13">
        <v>0</v>
      </c>
      <c r="R13">
        <v>1</v>
      </c>
      <c r="S13">
        <v>1</v>
      </c>
      <c r="T13">
        <v>10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1</v>
      </c>
    </row>
    <row r="14" spans="1:29" x14ac:dyDescent="0.35">
      <c r="A14">
        <v>41</v>
      </c>
      <c r="B14">
        <v>41</v>
      </c>
      <c r="C14">
        <v>57</v>
      </c>
      <c r="D14">
        <v>32</v>
      </c>
      <c r="E14">
        <v>84</v>
      </c>
      <c r="F14">
        <v>3</v>
      </c>
      <c r="G14">
        <v>1.6</v>
      </c>
      <c r="H14">
        <v>3</v>
      </c>
      <c r="I14">
        <v>0</v>
      </c>
      <c r="J14">
        <v>0</v>
      </c>
      <c r="K14">
        <v>0</v>
      </c>
      <c r="L14">
        <v>92672</v>
      </c>
      <c r="M14">
        <v>0</v>
      </c>
      <c r="N14">
        <v>1</v>
      </c>
      <c r="O14">
        <v>0</v>
      </c>
      <c r="Q14">
        <v>0</v>
      </c>
      <c r="R14">
        <v>0</v>
      </c>
      <c r="S14">
        <v>0</v>
      </c>
      <c r="T14">
        <v>5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</row>
    <row r="15" spans="1:29" x14ac:dyDescent="0.35">
      <c r="A15">
        <v>42</v>
      </c>
      <c r="B15">
        <v>42</v>
      </c>
      <c r="C15">
        <v>34</v>
      </c>
      <c r="D15">
        <v>9</v>
      </c>
      <c r="E15">
        <v>60</v>
      </c>
      <c r="F15">
        <v>3</v>
      </c>
      <c r="G15">
        <v>2.2999999999999998</v>
      </c>
      <c r="H15">
        <v>1</v>
      </c>
      <c r="I15">
        <v>0</v>
      </c>
      <c r="J15">
        <v>0</v>
      </c>
      <c r="K15">
        <v>0</v>
      </c>
      <c r="L15">
        <v>94122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5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</row>
    <row r="16" spans="1:29" x14ac:dyDescent="0.35">
      <c r="A16">
        <v>48</v>
      </c>
      <c r="B16">
        <v>48</v>
      </c>
      <c r="C16">
        <v>37</v>
      </c>
      <c r="D16">
        <v>12</v>
      </c>
      <c r="E16">
        <v>194</v>
      </c>
      <c r="F16">
        <v>4</v>
      </c>
      <c r="G16">
        <v>0.2</v>
      </c>
      <c r="H16">
        <v>3</v>
      </c>
      <c r="I16">
        <v>211</v>
      </c>
      <c r="J16">
        <v>1</v>
      </c>
      <c r="K16">
        <v>1</v>
      </c>
      <c r="L16">
        <v>91380</v>
      </c>
      <c r="M16">
        <v>1</v>
      </c>
      <c r="N16">
        <v>1</v>
      </c>
      <c r="O16">
        <v>1</v>
      </c>
      <c r="Q16">
        <v>0</v>
      </c>
      <c r="R16">
        <v>1</v>
      </c>
      <c r="S16">
        <v>1</v>
      </c>
      <c r="T16">
        <v>10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</row>
    <row r="17" spans="1:29" x14ac:dyDescent="0.35">
      <c r="A17">
        <v>50</v>
      </c>
      <c r="B17">
        <v>50</v>
      </c>
      <c r="C17">
        <v>40</v>
      </c>
      <c r="D17">
        <v>16</v>
      </c>
      <c r="E17">
        <v>49</v>
      </c>
      <c r="F17">
        <v>1</v>
      </c>
      <c r="G17">
        <v>1.8</v>
      </c>
      <c r="H17">
        <v>1</v>
      </c>
      <c r="I17">
        <v>0</v>
      </c>
      <c r="J17">
        <v>0</v>
      </c>
      <c r="K17">
        <v>1</v>
      </c>
      <c r="L17">
        <v>92373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5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</row>
    <row r="18" spans="1:29" x14ac:dyDescent="0.35">
      <c r="A18">
        <v>52</v>
      </c>
      <c r="B18">
        <v>52</v>
      </c>
      <c r="C18">
        <v>61</v>
      </c>
      <c r="D18">
        <v>37</v>
      </c>
      <c r="E18">
        <v>131</v>
      </c>
      <c r="F18">
        <v>1</v>
      </c>
      <c r="G18">
        <v>2.9</v>
      </c>
      <c r="H18">
        <v>1</v>
      </c>
      <c r="I18">
        <v>0</v>
      </c>
      <c r="J18">
        <v>1</v>
      </c>
      <c r="K18">
        <v>0</v>
      </c>
      <c r="L18">
        <v>94720</v>
      </c>
      <c r="M18">
        <v>0</v>
      </c>
      <c r="N18">
        <v>0</v>
      </c>
      <c r="O18">
        <v>0</v>
      </c>
      <c r="Q18">
        <v>1</v>
      </c>
      <c r="R18">
        <v>0</v>
      </c>
      <c r="S18">
        <v>0</v>
      </c>
      <c r="T18">
        <v>22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>
        <v>61</v>
      </c>
      <c r="B19">
        <v>61</v>
      </c>
      <c r="C19">
        <v>49</v>
      </c>
      <c r="D19">
        <v>24</v>
      </c>
      <c r="E19">
        <v>39</v>
      </c>
      <c r="F19">
        <v>3</v>
      </c>
      <c r="G19">
        <v>1.7</v>
      </c>
      <c r="H19">
        <v>2</v>
      </c>
      <c r="I19">
        <v>0</v>
      </c>
      <c r="J19">
        <v>1</v>
      </c>
      <c r="K19">
        <v>0</v>
      </c>
      <c r="L19">
        <v>90404</v>
      </c>
      <c r="M19">
        <v>0</v>
      </c>
      <c r="N19">
        <v>1</v>
      </c>
      <c r="O19">
        <v>0</v>
      </c>
      <c r="Q19">
        <v>0</v>
      </c>
      <c r="R19">
        <v>0</v>
      </c>
      <c r="S19">
        <v>0</v>
      </c>
      <c r="T19">
        <v>5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>
        <v>62</v>
      </c>
      <c r="B20">
        <v>62</v>
      </c>
      <c r="C20">
        <v>47</v>
      </c>
      <c r="D20">
        <v>21</v>
      </c>
      <c r="E20">
        <v>125</v>
      </c>
      <c r="F20">
        <v>1</v>
      </c>
      <c r="G20">
        <v>5.7</v>
      </c>
      <c r="H20">
        <v>1</v>
      </c>
      <c r="I20">
        <v>112</v>
      </c>
      <c r="J20">
        <v>0</v>
      </c>
      <c r="K20">
        <v>0</v>
      </c>
      <c r="L20">
        <v>93407</v>
      </c>
      <c r="M20">
        <v>0</v>
      </c>
      <c r="N20">
        <v>1</v>
      </c>
      <c r="O20">
        <v>0</v>
      </c>
      <c r="Q20">
        <v>1</v>
      </c>
      <c r="R20">
        <v>0</v>
      </c>
      <c r="S20">
        <v>0</v>
      </c>
      <c r="T20">
        <v>22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>
        <v>66</v>
      </c>
      <c r="B21">
        <v>66</v>
      </c>
      <c r="C21">
        <v>59</v>
      </c>
      <c r="D21">
        <v>35</v>
      </c>
      <c r="E21">
        <v>131</v>
      </c>
      <c r="F21">
        <v>1</v>
      </c>
      <c r="G21">
        <v>3.8</v>
      </c>
      <c r="H21">
        <v>1</v>
      </c>
      <c r="I21">
        <v>0</v>
      </c>
      <c r="J21">
        <v>1</v>
      </c>
      <c r="K21">
        <v>1</v>
      </c>
      <c r="L21">
        <v>91360</v>
      </c>
      <c r="M21">
        <v>0</v>
      </c>
      <c r="N21">
        <v>0</v>
      </c>
      <c r="O21">
        <v>0</v>
      </c>
      <c r="Q21">
        <v>1</v>
      </c>
      <c r="R21">
        <v>0</v>
      </c>
      <c r="S21">
        <v>0</v>
      </c>
      <c r="T21">
        <v>22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</row>
    <row r="22" spans="1:29" x14ac:dyDescent="0.35">
      <c r="A22">
        <v>67</v>
      </c>
      <c r="B22">
        <v>67</v>
      </c>
      <c r="C22">
        <v>62</v>
      </c>
      <c r="D22">
        <v>36</v>
      </c>
      <c r="E22">
        <v>105</v>
      </c>
      <c r="F22">
        <v>2</v>
      </c>
      <c r="G22">
        <v>2.8</v>
      </c>
      <c r="H22">
        <v>1</v>
      </c>
      <c r="I22">
        <v>336</v>
      </c>
      <c r="J22">
        <v>0</v>
      </c>
      <c r="K22">
        <v>0</v>
      </c>
      <c r="L22">
        <v>95670</v>
      </c>
      <c r="M22">
        <v>0</v>
      </c>
      <c r="N22">
        <v>0</v>
      </c>
      <c r="O22">
        <v>0</v>
      </c>
      <c r="Q22">
        <v>1</v>
      </c>
      <c r="R22">
        <v>0</v>
      </c>
      <c r="S22">
        <v>0</v>
      </c>
      <c r="T22">
        <v>22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</row>
    <row r="23" spans="1:29" x14ac:dyDescent="0.35">
      <c r="A23">
        <v>68</v>
      </c>
      <c r="B23">
        <v>68</v>
      </c>
      <c r="C23">
        <v>53</v>
      </c>
      <c r="D23">
        <v>23</v>
      </c>
      <c r="E23">
        <v>45</v>
      </c>
      <c r="F23">
        <v>4</v>
      </c>
      <c r="G23">
        <v>2</v>
      </c>
      <c r="H23">
        <v>3</v>
      </c>
      <c r="I23">
        <v>132</v>
      </c>
      <c r="J23">
        <v>0</v>
      </c>
      <c r="K23">
        <v>0</v>
      </c>
      <c r="L23">
        <v>95123</v>
      </c>
      <c r="M23">
        <v>0</v>
      </c>
      <c r="N23">
        <v>1</v>
      </c>
      <c r="O23">
        <v>0</v>
      </c>
      <c r="Q23">
        <v>0</v>
      </c>
      <c r="R23">
        <v>0</v>
      </c>
      <c r="S23">
        <v>0</v>
      </c>
      <c r="T23">
        <v>5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>
        <v>69</v>
      </c>
      <c r="B24">
        <v>69</v>
      </c>
      <c r="C24">
        <v>47</v>
      </c>
      <c r="D24">
        <v>21</v>
      </c>
      <c r="E24">
        <v>60</v>
      </c>
      <c r="F24">
        <v>3</v>
      </c>
      <c r="G24">
        <v>2.1</v>
      </c>
      <c r="H24">
        <v>1</v>
      </c>
      <c r="I24">
        <v>0</v>
      </c>
      <c r="J24">
        <v>1</v>
      </c>
      <c r="K24">
        <v>1</v>
      </c>
      <c r="L24">
        <v>93407</v>
      </c>
      <c r="M24">
        <v>0</v>
      </c>
      <c r="N24">
        <v>0</v>
      </c>
      <c r="O24">
        <v>0</v>
      </c>
      <c r="Q24">
        <v>1</v>
      </c>
      <c r="R24">
        <v>0</v>
      </c>
      <c r="S24">
        <v>0</v>
      </c>
      <c r="T24">
        <v>5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>
        <v>79</v>
      </c>
      <c r="B25">
        <v>79</v>
      </c>
      <c r="C25">
        <v>54</v>
      </c>
      <c r="D25">
        <v>30</v>
      </c>
      <c r="E25">
        <v>133</v>
      </c>
      <c r="F25">
        <v>2</v>
      </c>
      <c r="G25">
        <v>2.6</v>
      </c>
      <c r="H25">
        <v>3</v>
      </c>
      <c r="I25">
        <v>0</v>
      </c>
      <c r="J25">
        <v>0</v>
      </c>
      <c r="K25">
        <v>0</v>
      </c>
      <c r="L25">
        <v>93305</v>
      </c>
      <c r="M25">
        <v>1</v>
      </c>
      <c r="N25">
        <v>0</v>
      </c>
      <c r="O25">
        <v>0</v>
      </c>
      <c r="Q25">
        <v>0</v>
      </c>
      <c r="R25">
        <v>1</v>
      </c>
      <c r="S25">
        <v>1</v>
      </c>
      <c r="T25">
        <v>10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</row>
    <row r="26" spans="1:29" x14ac:dyDescent="0.35">
      <c r="A26">
        <v>83</v>
      </c>
      <c r="B26">
        <v>83</v>
      </c>
      <c r="C26">
        <v>41</v>
      </c>
      <c r="D26">
        <v>16</v>
      </c>
      <c r="E26">
        <v>82</v>
      </c>
      <c r="F26">
        <v>1</v>
      </c>
      <c r="G26">
        <v>4</v>
      </c>
      <c r="H26">
        <v>3</v>
      </c>
      <c r="I26">
        <v>0</v>
      </c>
      <c r="J26">
        <v>1</v>
      </c>
      <c r="K26">
        <v>0</v>
      </c>
      <c r="L26">
        <v>92507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15</v>
      </c>
      <c r="U26">
        <v>0.91935483870967005</v>
      </c>
      <c r="V26">
        <v>8.0645161290319997E-2</v>
      </c>
      <c r="W26">
        <v>0.91935483870967005</v>
      </c>
      <c r="X26">
        <v>8.0645161290319997E-2</v>
      </c>
      <c r="Y26">
        <v>0.86</v>
      </c>
      <c r="Z26">
        <v>0.14000000000000001</v>
      </c>
      <c r="AA26">
        <v>8.0645161290329906E-2</v>
      </c>
      <c r="AB26">
        <v>-8.0645161290319997E-2</v>
      </c>
      <c r="AC26">
        <v>0</v>
      </c>
    </row>
    <row r="27" spans="1:29" x14ac:dyDescent="0.35">
      <c r="A27">
        <v>85</v>
      </c>
      <c r="B27">
        <v>85</v>
      </c>
      <c r="C27">
        <v>46</v>
      </c>
      <c r="D27">
        <v>22</v>
      </c>
      <c r="E27">
        <v>18</v>
      </c>
      <c r="F27">
        <v>1</v>
      </c>
      <c r="G27">
        <v>0.9</v>
      </c>
      <c r="H27">
        <v>3</v>
      </c>
      <c r="I27">
        <v>0</v>
      </c>
      <c r="J27">
        <v>1</v>
      </c>
      <c r="K27">
        <v>0</v>
      </c>
      <c r="L27">
        <v>91730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5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>
        <v>88</v>
      </c>
      <c r="B28">
        <v>88</v>
      </c>
      <c r="C28">
        <v>48</v>
      </c>
      <c r="D28">
        <v>22</v>
      </c>
      <c r="E28">
        <v>78</v>
      </c>
      <c r="F28">
        <v>3</v>
      </c>
      <c r="G28">
        <v>1.1000000000000001</v>
      </c>
      <c r="H28">
        <v>1</v>
      </c>
      <c r="I28">
        <v>0</v>
      </c>
      <c r="J28">
        <v>1</v>
      </c>
      <c r="K28">
        <v>0</v>
      </c>
      <c r="L28">
        <v>94305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5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>
        <v>89</v>
      </c>
      <c r="B29">
        <v>89</v>
      </c>
      <c r="C29">
        <v>65</v>
      </c>
      <c r="D29">
        <v>41</v>
      </c>
      <c r="E29">
        <v>51</v>
      </c>
      <c r="F29">
        <v>2</v>
      </c>
      <c r="G29">
        <v>1.1000000000000001</v>
      </c>
      <c r="H29">
        <v>1</v>
      </c>
      <c r="I29">
        <v>0</v>
      </c>
      <c r="J29">
        <v>1</v>
      </c>
      <c r="K29">
        <v>0</v>
      </c>
      <c r="L29">
        <v>94117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5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</row>
    <row r="30" spans="1:29" x14ac:dyDescent="0.35">
      <c r="A30">
        <v>96</v>
      </c>
      <c r="B30">
        <v>96</v>
      </c>
      <c r="C30">
        <v>38</v>
      </c>
      <c r="D30">
        <v>12</v>
      </c>
      <c r="E30">
        <v>48</v>
      </c>
      <c r="F30">
        <v>4</v>
      </c>
      <c r="G30">
        <v>0.2</v>
      </c>
      <c r="H30">
        <v>3</v>
      </c>
      <c r="I30">
        <v>0</v>
      </c>
      <c r="J30">
        <v>1</v>
      </c>
      <c r="K30">
        <v>0</v>
      </c>
      <c r="L30">
        <v>95617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5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</row>
    <row r="31" spans="1:29" x14ac:dyDescent="0.35">
      <c r="A31">
        <v>97</v>
      </c>
      <c r="B31">
        <v>97</v>
      </c>
      <c r="C31">
        <v>41</v>
      </c>
      <c r="D31">
        <v>15</v>
      </c>
      <c r="E31">
        <v>80</v>
      </c>
      <c r="F31">
        <v>1</v>
      </c>
      <c r="G31">
        <v>5.2</v>
      </c>
      <c r="H31">
        <v>1</v>
      </c>
      <c r="I31">
        <v>0</v>
      </c>
      <c r="J31">
        <v>0</v>
      </c>
      <c r="K31">
        <v>0</v>
      </c>
      <c r="L31">
        <v>95014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15</v>
      </c>
      <c r="U31">
        <v>0.91935483870967005</v>
      </c>
      <c r="V31">
        <v>8.0645161290319997E-2</v>
      </c>
      <c r="W31">
        <v>0.91935483870967005</v>
      </c>
      <c r="X31">
        <v>8.0645161290319997E-2</v>
      </c>
      <c r="Y31">
        <v>0.86</v>
      </c>
      <c r="Z31">
        <v>0.14000000000000001</v>
      </c>
      <c r="AA31">
        <v>8.0645161290329906E-2</v>
      </c>
      <c r="AB31">
        <v>-8.0645161290319997E-2</v>
      </c>
      <c r="AC31">
        <v>0</v>
      </c>
    </row>
    <row r="32" spans="1:29" x14ac:dyDescent="0.35">
      <c r="A32">
        <v>98</v>
      </c>
      <c r="B32">
        <v>98</v>
      </c>
      <c r="C32">
        <v>54</v>
      </c>
      <c r="D32">
        <v>28</v>
      </c>
      <c r="E32">
        <v>161</v>
      </c>
      <c r="F32">
        <v>1</v>
      </c>
      <c r="G32">
        <v>2.9</v>
      </c>
      <c r="H32">
        <v>1</v>
      </c>
      <c r="I32">
        <v>0</v>
      </c>
      <c r="J32">
        <v>1</v>
      </c>
      <c r="K32">
        <v>0</v>
      </c>
      <c r="L32">
        <v>92121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22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 x14ac:dyDescent="0.35">
      <c r="A33">
        <v>104</v>
      </c>
      <c r="B33">
        <v>104</v>
      </c>
      <c r="C33">
        <v>43</v>
      </c>
      <c r="D33">
        <v>18</v>
      </c>
      <c r="E33">
        <v>22</v>
      </c>
      <c r="F33">
        <v>2</v>
      </c>
      <c r="G33">
        <v>0.3</v>
      </c>
      <c r="H33">
        <v>2</v>
      </c>
      <c r="I33">
        <v>0</v>
      </c>
      <c r="J33">
        <v>1</v>
      </c>
      <c r="K33">
        <v>0</v>
      </c>
      <c r="L33">
        <v>95670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5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</row>
    <row r="34" spans="1:29" x14ac:dyDescent="0.35">
      <c r="A34">
        <v>105</v>
      </c>
      <c r="B34">
        <v>105</v>
      </c>
      <c r="C34">
        <v>56</v>
      </c>
      <c r="D34">
        <v>32</v>
      </c>
      <c r="E34">
        <v>38</v>
      </c>
      <c r="F34">
        <v>4</v>
      </c>
      <c r="G34">
        <v>1.3</v>
      </c>
      <c r="H34">
        <v>1</v>
      </c>
      <c r="I34">
        <v>166</v>
      </c>
      <c r="J34">
        <v>1</v>
      </c>
      <c r="K34">
        <v>1</v>
      </c>
      <c r="L34">
        <v>93311</v>
      </c>
      <c r="M34">
        <v>0</v>
      </c>
      <c r="N34">
        <v>0</v>
      </c>
      <c r="O34">
        <v>0</v>
      </c>
      <c r="Q34">
        <v>1</v>
      </c>
      <c r="R34">
        <v>0</v>
      </c>
      <c r="S34">
        <v>0</v>
      </c>
      <c r="T34">
        <v>5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</row>
    <row r="35" spans="1:29" x14ac:dyDescent="0.35">
      <c r="A35">
        <v>111</v>
      </c>
      <c r="B35">
        <v>111</v>
      </c>
      <c r="C35">
        <v>41</v>
      </c>
      <c r="D35">
        <v>14</v>
      </c>
      <c r="E35">
        <v>9</v>
      </c>
      <c r="F35">
        <v>3</v>
      </c>
      <c r="G35">
        <v>1</v>
      </c>
      <c r="H35">
        <v>2</v>
      </c>
      <c r="I35">
        <v>0</v>
      </c>
      <c r="J35">
        <v>0</v>
      </c>
      <c r="K35">
        <v>0</v>
      </c>
      <c r="L35">
        <v>91330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5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</row>
    <row r="36" spans="1:29" x14ac:dyDescent="0.35">
      <c r="A36">
        <v>112</v>
      </c>
      <c r="B36">
        <v>112</v>
      </c>
      <c r="C36">
        <v>62</v>
      </c>
      <c r="D36">
        <v>38</v>
      </c>
      <c r="E36">
        <v>45</v>
      </c>
      <c r="F36">
        <v>4</v>
      </c>
      <c r="G36">
        <v>1.3</v>
      </c>
      <c r="H36">
        <v>2</v>
      </c>
      <c r="I36">
        <v>0</v>
      </c>
      <c r="J36">
        <v>1</v>
      </c>
      <c r="K36">
        <v>0</v>
      </c>
      <c r="L36">
        <v>94143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5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</row>
    <row r="37" spans="1:29" x14ac:dyDescent="0.35">
      <c r="A37">
        <v>117</v>
      </c>
      <c r="B37">
        <v>117</v>
      </c>
      <c r="C37">
        <v>54</v>
      </c>
      <c r="D37">
        <v>29</v>
      </c>
      <c r="E37">
        <v>35</v>
      </c>
      <c r="F37">
        <v>1</v>
      </c>
      <c r="G37">
        <v>1.5</v>
      </c>
      <c r="H37">
        <v>2</v>
      </c>
      <c r="I37">
        <v>0</v>
      </c>
      <c r="J37">
        <v>1</v>
      </c>
      <c r="K37">
        <v>0</v>
      </c>
      <c r="L37">
        <v>92831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5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</row>
    <row r="38" spans="1:29" x14ac:dyDescent="0.35">
      <c r="A38">
        <v>122</v>
      </c>
      <c r="B38">
        <v>122</v>
      </c>
      <c r="C38">
        <v>52</v>
      </c>
      <c r="D38">
        <v>26</v>
      </c>
      <c r="E38">
        <v>38</v>
      </c>
      <c r="F38">
        <v>3</v>
      </c>
      <c r="G38">
        <v>0.9</v>
      </c>
      <c r="H38">
        <v>3</v>
      </c>
      <c r="I38">
        <v>0</v>
      </c>
      <c r="J38">
        <v>1</v>
      </c>
      <c r="K38">
        <v>0</v>
      </c>
      <c r="L38">
        <v>91711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5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</row>
    <row r="39" spans="1:29" x14ac:dyDescent="0.35">
      <c r="A39">
        <v>123</v>
      </c>
      <c r="B39">
        <v>123</v>
      </c>
      <c r="C39">
        <v>58</v>
      </c>
      <c r="D39">
        <v>32</v>
      </c>
      <c r="E39">
        <v>73</v>
      </c>
      <c r="F39">
        <v>2</v>
      </c>
      <c r="G39">
        <v>0.7</v>
      </c>
      <c r="H39">
        <v>2</v>
      </c>
      <c r="I39">
        <v>0</v>
      </c>
      <c r="J39">
        <v>1</v>
      </c>
      <c r="K39">
        <v>1</v>
      </c>
      <c r="L39">
        <v>94523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5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 x14ac:dyDescent="0.35">
      <c r="A40">
        <v>126</v>
      </c>
      <c r="B40">
        <v>126</v>
      </c>
      <c r="C40">
        <v>60</v>
      </c>
      <c r="D40">
        <v>35</v>
      </c>
      <c r="E40">
        <v>80</v>
      </c>
      <c r="F40">
        <v>3</v>
      </c>
      <c r="G40">
        <v>0.5</v>
      </c>
      <c r="H40">
        <v>1</v>
      </c>
      <c r="I40">
        <v>0</v>
      </c>
      <c r="J40">
        <v>1</v>
      </c>
      <c r="K40">
        <v>0</v>
      </c>
      <c r="L40">
        <v>91301</v>
      </c>
      <c r="M40">
        <v>0</v>
      </c>
      <c r="N40">
        <v>0</v>
      </c>
      <c r="O40">
        <v>0</v>
      </c>
      <c r="Q40">
        <v>1</v>
      </c>
      <c r="R40">
        <v>0</v>
      </c>
      <c r="S40">
        <v>0</v>
      </c>
      <c r="T40">
        <v>5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 x14ac:dyDescent="0.35">
      <c r="A41">
        <v>128</v>
      </c>
      <c r="B41">
        <v>128</v>
      </c>
      <c r="C41">
        <v>34</v>
      </c>
      <c r="D41">
        <v>8</v>
      </c>
      <c r="E41">
        <v>82</v>
      </c>
      <c r="F41">
        <v>1</v>
      </c>
      <c r="G41">
        <v>2.7</v>
      </c>
      <c r="H41">
        <v>2</v>
      </c>
      <c r="I41">
        <v>251</v>
      </c>
      <c r="J41">
        <v>1</v>
      </c>
      <c r="K41">
        <v>0</v>
      </c>
      <c r="L41">
        <v>92646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5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</row>
    <row r="42" spans="1:29" x14ac:dyDescent="0.35">
      <c r="A42">
        <v>132</v>
      </c>
      <c r="B42">
        <v>132</v>
      </c>
      <c r="C42">
        <v>58</v>
      </c>
      <c r="D42">
        <v>34</v>
      </c>
      <c r="E42">
        <v>149</v>
      </c>
      <c r="F42">
        <v>4</v>
      </c>
      <c r="G42">
        <v>7.2</v>
      </c>
      <c r="H42">
        <v>2</v>
      </c>
      <c r="I42">
        <v>0</v>
      </c>
      <c r="J42">
        <v>1</v>
      </c>
      <c r="K42">
        <v>1</v>
      </c>
      <c r="L42">
        <v>93720</v>
      </c>
      <c r="M42">
        <v>1</v>
      </c>
      <c r="N42">
        <v>0</v>
      </c>
      <c r="O42">
        <v>1</v>
      </c>
      <c r="Q42">
        <v>0</v>
      </c>
      <c r="R42">
        <v>1</v>
      </c>
      <c r="S42">
        <v>1</v>
      </c>
      <c r="T42">
        <v>10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</row>
    <row r="43" spans="1:29" x14ac:dyDescent="0.35">
      <c r="A43">
        <v>134</v>
      </c>
      <c r="B43">
        <v>134</v>
      </c>
      <c r="C43">
        <v>30</v>
      </c>
      <c r="D43">
        <v>4</v>
      </c>
      <c r="E43">
        <v>39</v>
      </c>
      <c r="F43">
        <v>3</v>
      </c>
      <c r="G43">
        <v>1.1000000000000001</v>
      </c>
      <c r="H43">
        <v>2</v>
      </c>
      <c r="I43">
        <v>0</v>
      </c>
      <c r="J43">
        <v>1</v>
      </c>
      <c r="K43">
        <v>0</v>
      </c>
      <c r="L43">
        <v>90245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5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</row>
    <row r="44" spans="1:29" x14ac:dyDescent="0.35">
      <c r="A44">
        <v>139</v>
      </c>
      <c r="B44">
        <v>139</v>
      </c>
      <c r="C44">
        <v>59</v>
      </c>
      <c r="D44">
        <v>34</v>
      </c>
      <c r="E44">
        <v>42</v>
      </c>
      <c r="F44">
        <v>3</v>
      </c>
      <c r="G44">
        <v>1.5</v>
      </c>
      <c r="H44">
        <v>1</v>
      </c>
      <c r="I44">
        <v>0</v>
      </c>
      <c r="J44">
        <v>0</v>
      </c>
      <c r="K44">
        <v>1</v>
      </c>
      <c r="L44">
        <v>94928</v>
      </c>
      <c r="M44">
        <v>0</v>
      </c>
      <c r="N44">
        <v>1</v>
      </c>
      <c r="O44">
        <v>1</v>
      </c>
      <c r="Q44">
        <v>1</v>
      </c>
      <c r="R44">
        <v>0</v>
      </c>
      <c r="S44">
        <v>0</v>
      </c>
      <c r="T44">
        <v>5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</row>
    <row r="45" spans="1:29" x14ac:dyDescent="0.35">
      <c r="A45">
        <v>141</v>
      </c>
      <c r="B45">
        <v>141</v>
      </c>
      <c r="C45">
        <v>51</v>
      </c>
      <c r="D45">
        <v>25</v>
      </c>
      <c r="E45">
        <v>31</v>
      </c>
      <c r="F45">
        <v>2</v>
      </c>
      <c r="G45">
        <v>0.4</v>
      </c>
      <c r="H45">
        <v>3</v>
      </c>
      <c r="I45">
        <v>161</v>
      </c>
      <c r="J45">
        <v>1</v>
      </c>
      <c r="K45">
        <v>1</v>
      </c>
      <c r="L45">
        <v>90245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5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 x14ac:dyDescent="0.35">
      <c r="A46">
        <v>142</v>
      </c>
      <c r="B46">
        <v>142</v>
      </c>
      <c r="C46">
        <v>35</v>
      </c>
      <c r="D46">
        <v>11</v>
      </c>
      <c r="E46">
        <v>58</v>
      </c>
      <c r="F46">
        <v>3</v>
      </c>
      <c r="G46">
        <v>2</v>
      </c>
      <c r="H46">
        <v>1</v>
      </c>
      <c r="I46">
        <v>149</v>
      </c>
      <c r="J46">
        <v>1</v>
      </c>
      <c r="K46">
        <v>1</v>
      </c>
      <c r="L46">
        <v>95831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5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 x14ac:dyDescent="0.35">
      <c r="A47">
        <v>145</v>
      </c>
      <c r="B47">
        <v>145</v>
      </c>
      <c r="C47">
        <v>49</v>
      </c>
      <c r="D47">
        <v>23</v>
      </c>
      <c r="E47">
        <v>70</v>
      </c>
      <c r="F47">
        <v>2</v>
      </c>
      <c r="G47">
        <v>1.5</v>
      </c>
      <c r="H47">
        <v>2</v>
      </c>
      <c r="I47">
        <v>0</v>
      </c>
      <c r="J47">
        <v>0</v>
      </c>
      <c r="K47">
        <v>0</v>
      </c>
      <c r="L47">
        <v>92093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5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</row>
    <row r="48" spans="1:29" x14ac:dyDescent="0.35">
      <c r="A48">
        <v>146</v>
      </c>
      <c r="B48">
        <v>146</v>
      </c>
      <c r="C48">
        <v>59</v>
      </c>
      <c r="D48">
        <v>35</v>
      </c>
      <c r="E48">
        <v>124</v>
      </c>
      <c r="F48">
        <v>1</v>
      </c>
      <c r="G48">
        <v>7.4</v>
      </c>
      <c r="H48">
        <v>1</v>
      </c>
      <c r="I48">
        <v>0</v>
      </c>
      <c r="J48">
        <v>0</v>
      </c>
      <c r="K48">
        <v>1</v>
      </c>
      <c r="L48">
        <v>90007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22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</row>
    <row r="49" spans="1:29" x14ac:dyDescent="0.35">
      <c r="A49">
        <v>152</v>
      </c>
      <c r="B49">
        <v>152</v>
      </c>
      <c r="C49">
        <v>26</v>
      </c>
      <c r="D49">
        <v>0</v>
      </c>
      <c r="E49">
        <v>132</v>
      </c>
      <c r="F49">
        <v>3</v>
      </c>
      <c r="G49">
        <v>6.5</v>
      </c>
      <c r="H49">
        <v>3</v>
      </c>
      <c r="I49">
        <v>0</v>
      </c>
      <c r="J49">
        <v>0</v>
      </c>
      <c r="K49">
        <v>1</v>
      </c>
      <c r="L49">
        <v>92834</v>
      </c>
      <c r="M49">
        <v>1</v>
      </c>
      <c r="N49">
        <v>0</v>
      </c>
      <c r="O49">
        <v>0</v>
      </c>
      <c r="Q49">
        <v>0</v>
      </c>
      <c r="R49">
        <v>1</v>
      </c>
      <c r="S49">
        <v>1</v>
      </c>
      <c r="T49">
        <v>10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</row>
    <row r="50" spans="1:29" x14ac:dyDescent="0.35">
      <c r="A50">
        <v>157</v>
      </c>
      <c r="B50">
        <v>157</v>
      </c>
      <c r="C50">
        <v>26</v>
      </c>
      <c r="D50">
        <v>0</v>
      </c>
      <c r="E50">
        <v>15</v>
      </c>
      <c r="F50">
        <v>4</v>
      </c>
      <c r="G50">
        <v>0.4</v>
      </c>
      <c r="H50">
        <v>1</v>
      </c>
      <c r="I50">
        <v>0</v>
      </c>
      <c r="J50">
        <v>0</v>
      </c>
      <c r="K50">
        <v>1</v>
      </c>
      <c r="L50">
        <v>92131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5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</row>
    <row r="51" spans="1:29" x14ac:dyDescent="0.35">
      <c r="A51">
        <v>158</v>
      </c>
      <c r="B51">
        <v>158</v>
      </c>
      <c r="C51">
        <v>41</v>
      </c>
      <c r="D51">
        <v>17</v>
      </c>
      <c r="E51">
        <v>83</v>
      </c>
      <c r="F51">
        <v>4</v>
      </c>
      <c r="G51">
        <v>2.67</v>
      </c>
      <c r="H51">
        <v>1</v>
      </c>
      <c r="I51">
        <v>0</v>
      </c>
      <c r="J51">
        <v>1</v>
      </c>
      <c r="K51">
        <v>1</v>
      </c>
      <c r="L51">
        <v>94025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5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</row>
    <row r="52" spans="1:29" x14ac:dyDescent="0.35">
      <c r="A52">
        <v>159</v>
      </c>
      <c r="B52">
        <v>159</v>
      </c>
      <c r="C52">
        <v>32</v>
      </c>
      <c r="D52">
        <v>6</v>
      </c>
      <c r="E52">
        <v>79</v>
      </c>
      <c r="F52">
        <v>2</v>
      </c>
      <c r="G52">
        <v>1.5</v>
      </c>
      <c r="H52">
        <v>3</v>
      </c>
      <c r="I52">
        <v>0</v>
      </c>
      <c r="J52">
        <v>1</v>
      </c>
      <c r="K52">
        <v>1</v>
      </c>
      <c r="L52">
        <v>94720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5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</row>
    <row r="53" spans="1:29" x14ac:dyDescent="0.35">
      <c r="A53">
        <v>161</v>
      </c>
      <c r="B53">
        <v>161</v>
      </c>
      <c r="C53">
        <v>29</v>
      </c>
      <c r="D53">
        <v>0</v>
      </c>
      <c r="E53">
        <v>134</v>
      </c>
      <c r="F53">
        <v>4</v>
      </c>
      <c r="G53">
        <v>6.5</v>
      </c>
      <c r="H53">
        <v>3</v>
      </c>
      <c r="I53">
        <v>0</v>
      </c>
      <c r="J53">
        <v>0</v>
      </c>
      <c r="K53">
        <v>0</v>
      </c>
      <c r="L53">
        <v>95819</v>
      </c>
      <c r="M53">
        <v>1</v>
      </c>
      <c r="N53">
        <v>0</v>
      </c>
      <c r="O53">
        <v>0</v>
      </c>
      <c r="Q53">
        <v>0</v>
      </c>
      <c r="R53">
        <v>1</v>
      </c>
      <c r="S53">
        <v>1</v>
      </c>
      <c r="T53">
        <v>10</v>
      </c>
      <c r="U53">
        <v>0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1</v>
      </c>
    </row>
    <row r="54" spans="1:29" x14ac:dyDescent="0.35">
      <c r="A54">
        <v>163</v>
      </c>
      <c r="B54">
        <v>163</v>
      </c>
      <c r="C54">
        <v>38</v>
      </c>
      <c r="D54">
        <v>12</v>
      </c>
      <c r="E54">
        <v>52</v>
      </c>
      <c r="F54">
        <v>1</v>
      </c>
      <c r="G54">
        <v>2</v>
      </c>
      <c r="H54">
        <v>1</v>
      </c>
      <c r="I54">
        <v>0</v>
      </c>
      <c r="J54">
        <v>0</v>
      </c>
      <c r="K54">
        <v>0</v>
      </c>
      <c r="L54">
        <v>90036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5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</row>
    <row r="55" spans="1:29" x14ac:dyDescent="0.35">
      <c r="A55">
        <v>165</v>
      </c>
      <c r="B55">
        <v>165</v>
      </c>
      <c r="C55">
        <v>53</v>
      </c>
      <c r="D55">
        <v>27</v>
      </c>
      <c r="E55">
        <v>92</v>
      </c>
      <c r="F55">
        <v>2</v>
      </c>
      <c r="G55">
        <v>1.1000000000000001</v>
      </c>
      <c r="H55">
        <v>1</v>
      </c>
      <c r="I55">
        <v>0</v>
      </c>
      <c r="J55">
        <v>0</v>
      </c>
      <c r="K55">
        <v>0</v>
      </c>
      <c r="L55">
        <v>95120</v>
      </c>
      <c r="M55">
        <v>0</v>
      </c>
      <c r="N55">
        <v>1</v>
      </c>
      <c r="O55">
        <v>0</v>
      </c>
      <c r="Q55">
        <v>1</v>
      </c>
      <c r="R55">
        <v>0</v>
      </c>
      <c r="S55">
        <v>0</v>
      </c>
      <c r="T55">
        <v>5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</row>
    <row r="56" spans="1:29" x14ac:dyDescent="0.35">
      <c r="A56">
        <v>167</v>
      </c>
      <c r="B56">
        <v>167</v>
      </c>
      <c r="C56">
        <v>25</v>
      </c>
      <c r="D56">
        <v>1</v>
      </c>
      <c r="E56">
        <v>21</v>
      </c>
      <c r="F56">
        <v>3</v>
      </c>
      <c r="G56">
        <v>1</v>
      </c>
      <c r="H56">
        <v>2</v>
      </c>
      <c r="I56">
        <v>0</v>
      </c>
      <c r="J56">
        <v>0</v>
      </c>
      <c r="K56">
        <v>0</v>
      </c>
      <c r="L56">
        <v>95827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5</v>
      </c>
      <c r="U56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</row>
    <row r="57" spans="1:29" x14ac:dyDescent="0.35">
      <c r="A57">
        <v>168</v>
      </c>
      <c r="B57">
        <v>168</v>
      </c>
      <c r="C57">
        <v>33</v>
      </c>
      <c r="D57">
        <v>9</v>
      </c>
      <c r="E57">
        <v>23</v>
      </c>
      <c r="F57">
        <v>3</v>
      </c>
      <c r="G57">
        <v>0.9</v>
      </c>
      <c r="H57">
        <v>3</v>
      </c>
      <c r="I57">
        <v>0</v>
      </c>
      <c r="J57">
        <v>1</v>
      </c>
      <c r="K57">
        <v>1</v>
      </c>
      <c r="L57">
        <v>94305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5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</row>
    <row r="58" spans="1:29" x14ac:dyDescent="0.35">
      <c r="A58">
        <v>169</v>
      </c>
      <c r="B58">
        <v>169</v>
      </c>
      <c r="C58">
        <v>50</v>
      </c>
      <c r="D58">
        <v>26</v>
      </c>
      <c r="E58">
        <v>13</v>
      </c>
      <c r="F58">
        <v>4</v>
      </c>
      <c r="G58">
        <v>1</v>
      </c>
      <c r="H58">
        <v>1</v>
      </c>
      <c r="I58">
        <v>0</v>
      </c>
      <c r="J58">
        <v>1</v>
      </c>
      <c r="K58">
        <v>0</v>
      </c>
      <c r="L58">
        <v>91320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5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</row>
    <row r="59" spans="1:29" x14ac:dyDescent="0.35">
      <c r="A59">
        <v>177</v>
      </c>
      <c r="B59">
        <v>177</v>
      </c>
      <c r="C59">
        <v>52</v>
      </c>
      <c r="D59">
        <v>25</v>
      </c>
      <c r="E59">
        <v>44</v>
      </c>
      <c r="F59">
        <v>3</v>
      </c>
      <c r="G59">
        <v>1</v>
      </c>
      <c r="H59">
        <v>2</v>
      </c>
      <c r="I59">
        <v>135</v>
      </c>
      <c r="J59">
        <v>1</v>
      </c>
      <c r="K59">
        <v>0</v>
      </c>
      <c r="L59">
        <v>93111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5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</row>
    <row r="60" spans="1:29" x14ac:dyDescent="0.35">
      <c r="A60">
        <v>180</v>
      </c>
      <c r="B60">
        <v>180</v>
      </c>
      <c r="C60">
        <v>62</v>
      </c>
      <c r="D60">
        <v>37</v>
      </c>
      <c r="E60">
        <v>11</v>
      </c>
      <c r="F60">
        <v>1</v>
      </c>
      <c r="G60">
        <v>0.1</v>
      </c>
      <c r="H60">
        <v>1</v>
      </c>
      <c r="I60">
        <v>0</v>
      </c>
      <c r="J60">
        <v>1</v>
      </c>
      <c r="K60">
        <v>0</v>
      </c>
      <c r="L60">
        <v>91942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5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</row>
    <row r="61" spans="1:29" x14ac:dyDescent="0.35">
      <c r="A61">
        <v>183</v>
      </c>
      <c r="B61">
        <v>183</v>
      </c>
      <c r="C61">
        <v>24</v>
      </c>
      <c r="D61">
        <v>0</v>
      </c>
      <c r="E61">
        <v>135</v>
      </c>
      <c r="F61">
        <v>1</v>
      </c>
      <c r="G61">
        <v>1.5</v>
      </c>
      <c r="H61">
        <v>1</v>
      </c>
      <c r="I61">
        <v>0</v>
      </c>
      <c r="J61">
        <v>1</v>
      </c>
      <c r="K61">
        <v>0</v>
      </c>
      <c r="L61">
        <v>95133</v>
      </c>
      <c r="M61">
        <v>0</v>
      </c>
      <c r="N61">
        <v>0</v>
      </c>
      <c r="O61">
        <v>0</v>
      </c>
      <c r="Q61">
        <v>1</v>
      </c>
      <c r="R61">
        <v>0</v>
      </c>
      <c r="S61">
        <v>0</v>
      </c>
      <c r="T61">
        <v>22</v>
      </c>
      <c r="U61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</row>
    <row r="62" spans="1:29" x14ac:dyDescent="0.35">
      <c r="A62">
        <v>184</v>
      </c>
      <c r="B62">
        <v>184</v>
      </c>
      <c r="C62">
        <v>29</v>
      </c>
      <c r="D62">
        <v>3</v>
      </c>
      <c r="E62">
        <v>148</v>
      </c>
      <c r="F62">
        <v>3</v>
      </c>
      <c r="G62">
        <v>4.0999999999999996</v>
      </c>
      <c r="H62">
        <v>1</v>
      </c>
      <c r="I62">
        <v>0</v>
      </c>
      <c r="J62">
        <v>1</v>
      </c>
      <c r="K62">
        <v>0</v>
      </c>
      <c r="L62">
        <v>92173</v>
      </c>
      <c r="M62">
        <v>1</v>
      </c>
      <c r="N62">
        <v>0</v>
      </c>
      <c r="O62">
        <v>0</v>
      </c>
      <c r="Q62">
        <v>1</v>
      </c>
      <c r="R62">
        <v>1</v>
      </c>
      <c r="S62">
        <v>1</v>
      </c>
      <c r="T62">
        <v>20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1</v>
      </c>
    </row>
    <row r="63" spans="1:29" x14ac:dyDescent="0.35">
      <c r="A63">
        <v>191</v>
      </c>
      <c r="B63">
        <v>191</v>
      </c>
      <c r="C63">
        <v>60</v>
      </c>
      <c r="D63">
        <v>36</v>
      </c>
      <c r="E63">
        <v>93</v>
      </c>
      <c r="F63">
        <v>1</v>
      </c>
      <c r="G63">
        <v>4.3</v>
      </c>
      <c r="H63">
        <v>1</v>
      </c>
      <c r="I63">
        <v>0</v>
      </c>
      <c r="J63">
        <v>1</v>
      </c>
      <c r="K63">
        <v>0</v>
      </c>
      <c r="L63">
        <v>92521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16</v>
      </c>
      <c r="U63">
        <v>0.58333333333333004</v>
      </c>
      <c r="V63">
        <v>0.41666666666666002</v>
      </c>
      <c r="W63">
        <v>0.58333333333333004</v>
      </c>
      <c r="X63">
        <v>0.41666666666666002</v>
      </c>
      <c r="Y63">
        <v>0.77777777777777002</v>
      </c>
      <c r="Z63">
        <v>0.22222222222221999</v>
      </c>
      <c r="AA63">
        <v>0.41666666666666902</v>
      </c>
      <c r="AB63">
        <v>-0.41666666666666002</v>
      </c>
      <c r="AC63">
        <v>0</v>
      </c>
    </row>
    <row r="64" spans="1:29" x14ac:dyDescent="0.35">
      <c r="A64">
        <v>194</v>
      </c>
      <c r="B64">
        <v>194</v>
      </c>
      <c r="C64">
        <v>48</v>
      </c>
      <c r="D64">
        <v>24</v>
      </c>
      <c r="E64">
        <v>21</v>
      </c>
      <c r="F64">
        <v>4</v>
      </c>
      <c r="G64">
        <v>0.6</v>
      </c>
      <c r="H64">
        <v>1</v>
      </c>
      <c r="I64">
        <v>0</v>
      </c>
      <c r="J64">
        <v>1</v>
      </c>
      <c r="K64">
        <v>1</v>
      </c>
      <c r="L64">
        <v>93118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5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</row>
    <row r="65" spans="1:29" x14ac:dyDescent="0.35">
      <c r="A65">
        <v>195</v>
      </c>
      <c r="B65">
        <v>195</v>
      </c>
      <c r="C65">
        <v>53</v>
      </c>
      <c r="D65">
        <v>29</v>
      </c>
      <c r="E65">
        <v>144</v>
      </c>
      <c r="F65">
        <v>2</v>
      </c>
      <c r="G65">
        <v>6.8</v>
      </c>
      <c r="H65">
        <v>1</v>
      </c>
      <c r="I65">
        <v>0</v>
      </c>
      <c r="J65">
        <v>1</v>
      </c>
      <c r="K65">
        <v>0</v>
      </c>
      <c r="L65">
        <v>92697</v>
      </c>
      <c r="M65">
        <v>0</v>
      </c>
      <c r="N65">
        <v>0</v>
      </c>
      <c r="O65">
        <v>0</v>
      </c>
      <c r="Q65">
        <v>1</v>
      </c>
      <c r="R65">
        <v>0</v>
      </c>
      <c r="S65">
        <v>0</v>
      </c>
      <c r="T65">
        <v>22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</row>
    <row r="66" spans="1:29" x14ac:dyDescent="0.35">
      <c r="A66">
        <v>198</v>
      </c>
      <c r="B66">
        <v>198</v>
      </c>
      <c r="C66">
        <v>55</v>
      </c>
      <c r="D66">
        <v>31</v>
      </c>
      <c r="E66">
        <v>9</v>
      </c>
      <c r="F66">
        <v>4</v>
      </c>
      <c r="G66">
        <v>0.7</v>
      </c>
      <c r="H66">
        <v>1</v>
      </c>
      <c r="I66">
        <v>89</v>
      </c>
      <c r="J66">
        <v>1</v>
      </c>
      <c r="K66">
        <v>0</v>
      </c>
      <c r="L66">
        <v>91345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5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</row>
    <row r="67" spans="1:29" x14ac:dyDescent="0.35">
      <c r="A67">
        <v>201</v>
      </c>
      <c r="B67">
        <v>201</v>
      </c>
      <c r="C67">
        <v>32</v>
      </c>
      <c r="D67">
        <v>6</v>
      </c>
      <c r="E67">
        <v>29</v>
      </c>
      <c r="F67">
        <v>1</v>
      </c>
      <c r="G67">
        <v>1.9</v>
      </c>
      <c r="H67">
        <v>3</v>
      </c>
      <c r="I67">
        <v>0</v>
      </c>
      <c r="J67">
        <v>1</v>
      </c>
      <c r="K67">
        <v>1</v>
      </c>
      <c r="L67">
        <v>91355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5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</row>
    <row r="68" spans="1:29" x14ac:dyDescent="0.35">
      <c r="A68">
        <v>202</v>
      </c>
      <c r="B68">
        <v>202</v>
      </c>
      <c r="C68">
        <v>35</v>
      </c>
      <c r="D68">
        <v>9</v>
      </c>
      <c r="E68">
        <v>20</v>
      </c>
      <c r="F68">
        <v>2</v>
      </c>
      <c r="G68">
        <v>1.4</v>
      </c>
      <c r="H68">
        <v>3</v>
      </c>
      <c r="I68">
        <v>0</v>
      </c>
      <c r="J68">
        <v>1</v>
      </c>
      <c r="K68">
        <v>1</v>
      </c>
      <c r="L68">
        <v>94609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5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</row>
    <row r="69" spans="1:29" x14ac:dyDescent="0.35">
      <c r="A69">
        <v>203</v>
      </c>
      <c r="B69">
        <v>203</v>
      </c>
      <c r="C69">
        <v>30</v>
      </c>
      <c r="D69">
        <v>3</v>
      </c>
      <c r="E69">
        <v>68</v>
      </c>
      <c r="F69">
        <v>4</v>
      </c>
      <c r="G69">
        <v>2</v>
      </c>
      <c r="H69">
        <v>2</v>
      </c>
      <c r="I69">
        <v>0</v>
      </c>
      <c r="J69">
        <v>1</v>
      </c>
      <c r="K69">
        <v>0</v>
      </c>
      <c r="L69">
        <v>94306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5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</row>
    <row r="70" spans="1:29" x14ac:dyDescent="0.35">
      <c r="A70">
        <v>205</v>
      </c>
      <c r="B70">
        <v>205</v>
      </c>
      <c r="C70">
        <v>56</v>
      </c>
      <c r="D70">
        <v>31</v>
      </c>
      <c r="E70">
        <v>61</v>
      </c>
      <c r="F70">
        <v>2</v>
      </c>
      <c r="G70">
        <v>1.9</v>
      </c>
      <c r="H70">
        <v>2</v>
      </c>
      <c r="I70">
        <v>105</v>
      </c>
      <c r="J70">
        <v>0</v>
      </c>
      <c r="K70">
        <v>0</v>
      </c>
      <c r="L70">
        <v>96150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5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</row>
    <row r="71" spans="1:29" x14ac:dyDescent="0.35">
      <c r="A71">
        <v>208</v>
      </c>
      <c r="B71">
        <v>208</v>
      </c>
      <c r="C71">
        <v>34</v>
      </c>
      <c r="D71">
        <v>10</v>
      </c>
      <c r="E71">
        <v>71</v>
      </c>
      <c r="F71">
        <v>4</v>
      </c>
      <c r="G71">
        <v>0.1</v>
      </c>
      <c r="H71">
        <v>2</v>
      </c>
      <c r="I71">
        <v>0</v>
      </c>
      <c r="J71">
        <v>0</v>
      </c>
      <c r="K71">
        <v>0</v>
      </c>
      <c r="L71">
        <v>94115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5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</row>
    <row r="72" spans="1:29" x14ac:dyDescent="0.35">
      <c r="A72">
        <v>229</v>
      </c>
      <c r="B72">
        <v>229</v>
      </c>
      <c r="C72">
        <v>47</v>
      </c>
      <c r="D72">
        <v>22</v>
      </c>
      <c r="E72">
        <v>53</v>
      </c>
      <c r="F72">
        <v>4</v>
      </c>
      <c r="G72">
        <v>1.9</v>
      </c>
      <c r="H72">
        <v>3</v>
      </c>
      <c r="I72">
        <v>98</v>
      </c>
      <c r="J72">
        <v>0</v>
      </c>
      <c r="K72">
        <v>1</v>
      </c>
      <c r="L72">
        <v>92677</v>
      </c>
      <c r="M72">
        <v>0</v>
      </c>
      <c r="N72">
        <v>1</v>
      </c>
      <c r="O72">
        <v>1</v>
      </c>
      <c r="Q72">
        <v>0</v>
      </c>
      <c r="R72">
        <v>0</v>
      </c>
      <c r="S72">
        <v>0</v>
      </c>
      <c r="T72">
        <v>5</v>
      </c>
      <c r="U72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</row>
    <row r="73" spans="1:29" x14ac:dyDescent="0.35">
      <c r="A73">
        <v>232</v>
      </c>
      <c r="B73">
        <v>232</v>
      </c>
      <c r="C73">
        <v>35</v>
      </c>
      <c r="D73">
        <v>10</v>
      </c>
      <c r="E73">
        <v>61</v>
      </c>
      <c r="F73">
        <v>4</v>
      </c>
      <c r="G73">
        <v>2.1</v>
      </c>
      <c r="H73">
        <v>3</v>
      </c>
      <c r="I73">
        <v>0</v>
      </c>
      <c r="J73">
        <v>1</v>
      </c>
      <c r="K73">
        <v>0</v>
      </c>
      <c r="L73">
        <v>94304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5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</row>
    <row r="74" spans="1:29" x14ac:dyDescent="0.35">
      <c r="A74">
        <v>234</v>
      </c>
      <c r="B74">
        <v>234</v>
      </c>
      <c r="C74">
        <v>62</v>
      </c>
      <c r="D74">
        <v>37</v>
      </c>
      <c r="E74">
        <v>58</v>
      </c>
      <c r="F74">
        <v>4</v>
      </c>
      <c r="G74">
        <v>1.7</v>
      </c>
      <c r="H74">
        <v>1</v>
      </c>
      <c r="I74">
        <v>0</v>
      </c>
      <c r="J74">
        <v>1</v>
      </c>
      <c r="K74">
        <v>0</v>
      </c>
      <c r="L74">
        <v>91320</v>
      </c>
      <c r="M74">
        <v>0</v>
      </c>
      <c r="N74">
        <v>0</v>
      </c>
      <c r="O74">
        <v>0</v>
      </c>
      <c r="Q74">
        <v>1</v>
      </c>
      <c r="R74">
        <v>0</v>
      </c>
      <c r="S74">
        <v>0</v>
      </c>
      <c r="T74">
        <v>5</v>
      </c>
      <c r="U7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</row>
    <row r="75" spans="1:29" x14ac:dyDescent="0.35">
      <c r="A75">
        <v>236</v>
      </c>
      <c r="B75">
        <v>236</v>
      </c>
      <c r="C75">
        <v>38</v>
      </c>
      <c r="D75">
        <v>8</v>
      </c>
      <c r="E75">
        <v>71</v>
      </c>
      <c r="F75">
        <v>4</v>
      </c>
      <c r="G75">
        <v>1.8</v>
      </c>
      <c r="H75">
        <v>3</v>
      </c>
      <c r="I75">
        <v>0</v>
      </c>
      <c r="J75">
        <v>1</v>
      </c>
      <c r="K75">
        <v>0</v>
      </c>
      <c r="L75">
        <v>94720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5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</row>
    <row r="76" spans="1:29" x14ac:dyDescent="0.35">
      <c r="A76">
        <v>238</v>
      </c>
      <c r="B76">
        <v>238</v>
      </c>
      <c r="C76">
        <v>62</v>
      </c>
      <c r="D76">
        <v>38</v>
      </c>
      <c r="E76">
        <v>83</v>
      </c>
      <c r="F76">
        <v>1</v>
      </c>
      <c r="G76">
        <v>1.8</v>
      </c>
      <c r="H76">
        <v>3</v>
      </c>
      <c r="I76">
        <v>0</v>
      </c>
      <c r="J76">
        <v>1</v>
      </c>
      <c r="K76">
        <v>0</v>
      </c>
      <c r="L76">
        <v>92521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5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</row>
    <row r="77" spans="1:29" x14ac:dyDescent="0.35">
      <c r="A77">
        <v>240</v>
      </c>
      <c r="B77">
        <v>240</v>
      </c>
      <c r="C77">
        <v>28</v>
      </c>
      <c r="D77">
        <v>3</v>
      </c>
      <c r="E77">
        <v>52</v>
      </c>
      <c r="F77">
        <v>4</v>
      </c>
      <c r="G77">
        <v>1.7</v>
      </c>
      <c r="H77">
        <v>2</v>
      </c>
      <c r="I77">
        <v>0</v>
      </c>
      <c r="J77">
        <v>0</v>
      </c>
      <c r="K77">
        <v>0</v>
      </c>
      <c r="L77">
        <v>94112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5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</row>
    <row r="78" spans="1:29" x14ac:dyDescent="0.35">
      <c r="A78">
        <v>247</v>
      </c>
      <c r="B78">
        <v>247</v>
      </c>
      <c r="C78">
        <v>38</v>
      </c>
      <c r="D78">
        <v>14</v>
      </c>
      <c r="E78">
        <v>60</v>
      </c>
      <c r="F78">
        <v>2</v>
      </c>
      <c r="G78">
        <v>0.6</v>
      </c>
      <c r="H78">
        <v>3</v>
      </c>
      <c r="I78">
        <v>0</v>
      </c>
      <c r="J78">
        <v>1</v>
      </c>
      <c r="K78">
        <v>1</v>
      </c>
      <c r="L78">
        <v>94025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5</v>
      </c>
      <c r="U78">
        <v>1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</row>
    <row r="79" spans="1:29" x14ac:dyDescent="0.35">
      <c r="A79">
        <v>248</v>
      </c>
      <c r="B79">
        <v>248</v>
      </c>
      <c r="C79">
        <v>53</v>
      </c>
      <c r="D79">
        <v>29</v>
      </c>
      <c r="E79">
        <v>120</v>
      </c>
      <c r="F79">
        <v>4</v>
      </c>
      <c r="G79">
        <v>2.7</v>
      </c>
      <c r="H79">
        <v>2</v>
      </c>
      <c r="I79">
        <v>111</v>
      </c>
      <c r="J79">
        <v>1</v>
      </c>
      <c r="K79">
        <v>0</v>
      </c>
      <c r="L79">
        <v>92626</v>
      </c>
      <c r="M79">
        <v>1</v>
      </c>
      <c r="N79">
        <v>1</v>
      </c>
      <c r="O79">
        <v>1</v>
      </c>
      <c r="Q79">
        <v>0</v>
      </c>
      <c r="R79">
        <v>1</v>
      </c>
      <c r="S79">
        <v>1</v>
      </c>
      <c r="T79">
        <v>10</v>
      </c>
      <c r="U79">
        <v>0</v>
      </c>
      <c r="V79">
        <v>1</v>
      </c>
      <c r="W79">
        <v>0</v>
      </c>
      <c r="X79">
        <v>1</v>
      </c>
      <c r="Y79">
        <v>0</v>
      </c>
      <c r="Z79">
        <v>1</v>
      </c>
      <c r="AA79">
        <v>0</v>
      </c>
      <c r="AB79">
        <v>0</v>
      </c>
      <c r="AC79">
        <v>1</v>
      </c>
    </row>
    <row r="80" spans="1:29" x14ac:dyDescent="0.35">
      <c r="A80">
        <v>249</v>
      </c>
      <c r="B80">
        <v>249</v>
      </c>
      <c r="C80">
        <v>55</v>
      </c>
      <c r="D80">
        <v>29</v>
      </c>
      <c r="E80">
        <v>99</v>
      </c>
      <c r="F80">
        <v>2</v>
      </c>
      <c r="G80">
        <v>1.4</v>
      </c>
      <c r="H80">
        <v>1</v>
      </c>
      <c r="I80">
        <v>264</v>
      </c>
      <c r="J80">
        <v>1</v>
      </c>
      <c r="K80">
        <v>1</v>
      </c>
      <c r="L80">
        <v>92121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25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</row>
    <row r="81" spans="1:29" x14ac:dyDescent="0.35">
      <c r="A81">
        <v>250</v>
      </c>
      <c r="B81">
        <v>250</v>
      </c>
      <c r="C81">
        <v>26</v>
      </c>
      <c r="D81">
        <v>1</v>
      </c>
      <c r="E81">
        <v>55</v>
      </c>
      <c r="F81">
        <v>3</v>
      </c>
      <c r="G81">
        <v>2.6</v>
      </c>
      <c r="H81">
        <v>3</v>
      </c>
      <c r="I81">
        <v>113</v>
      </c>
      <c r="J81">
        <v>0</v>
      </c>
      <c r="K81">
        <v>1</v>
      </c>
      <c r="L81">
        <v>90089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5</v>
      </c>
      <c r="U81">
        <v>1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</row>
    <row r="82" spans="1:29" x14ac:dyDescent="0.35">
      <c r="A82">
        <v>252</v>
      </c>
      <c r="B82">
        <v>252</v>
      </c>
      <c r="C82">
        <v>54</v>
      </c>
      <c r="D82">
        <v>28</v>
      </c>
      <c r="E82">
        <v>170</v>
      </c>
      <c r="F82">
        <v>2</v>
      </c>
      <c r="G82">
        <v>6.2</v>
      </c>
      <c r="H82">
        <v>2</v>
      </c>
      <c r="I82">
        <v>325</v>
      </c>
      <c r="J82">
        <v>1</v>
      </c>
      <c r="K82">
        <v>0</v>
      </c>
      <c r="L82">
        <v>92182</v>
      </c>
      <c r="M82">
        <v>1</v>
      </c>
      <c r="N82">
        <v>0</v>
      </c>
      <c r="O82">
        <v>0</v>
      </c>
      <c r="Q82">
        <v>0</v>
      </c>
      <c r="R82">
        <v>1</v>
      </c>
      <c r="S82">
        <v>1</v>
      </c>
      <c r="T82">
        <v>10</v>
      </c>
      <c r="U82">
        <v>0</v>
      </c>
      <c r="V82">
        <v>1</v>
      </c>
      <c r="W82">
        <v>0</v>
      </c>
      <c r="X82">
        <v>1</v>
      </c>
      <c r="Y82">
        <v>0</v>
      </c>
      <c r="Z82">
        <v>1</v>
      </c>
      <c r="AA82">
        <v>0</v>
      </c>
      <c r="AB82">
        <v>0</v>
      </c>
      <c r="AC82">
        <v>1</v>
      </c>
    </row>
    <row r="83" spans="1:29" x14ac:dyDescent="0.35">
      <c r="A83">
        <v>253</v>
      </c>
      <c r="B83">
        <v>253</v>
      </c>
      <c r="C83">
        <v>65</v>
      </c>
      <c r="D83">
        <v>40</v>
      </c>
      <c r="E83">
        <v>53</v>
      </c>
      <c r="F83">
        <v>3</v>
      </c>
      <c r="G83">
        <v>2.2000000000000002</v>
      </c>
      <c r="H83">
        <v>1</v>
      </c>
      <c r="I83">
        <v>0</v>
      </c>
      <c r="J83">
        <v>0</v>
      </c>
      <c r="K83">
        <v>1</v>
      </c>
      <c r="L83">
        <v>91711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5</v>
      </c>
      <c r="U83">
        <v>1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</row>
    <row r="84" spans="1:29" x14ac:dyDescent="0.35">
      <c r="A84">
        <v>254</v>
      </c>
      <c r="B84">
        <v>254</v>
      </c>
      <c r="C84">
        <v>47</v>
      </c>
      <c r="D84">
        <v>21</v>
      </c>
      <c r="E84">
        <v>138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94583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22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</row>
    <row r="85" spans="1:29" x14ac:dyDescent="0.35">
      <c r="A85">
        <v>256</v>
      </c>
      <c r="B85">
        <v>256</v>
      </c>
      <c r="C85">
        <v>66</v>
      </c>
      <c r="D85">
        <v>40</v>
      </c>
      <c r="E85">
        <v>42</v>
      </c>
      <c r="F85">
        <v>2</v>
      </c>
      <c r="G85">
        <v>0.7</v>
      </c>
      <c r="H85">
        <v>3</v>
      </c>
      <c r="I85">
        <v>138</v>
      </c>
      <c r="J85">
        <v>0</v>
      </c>
      <c r="K85">
        <v>1</v>
      </c>
      <c r="L85">
        <v>92103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5</v>
      </c>
      <c r="U85">
        <v>1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</row>
    <row r="86" spans="1:29" x14ac:dyDescent="0.35">
      <c r="A86">
        <v>258</v>
      </c>
      <c r="B86">
        <v>258</v>
      </c>
      <c r="C86">
        <v>66</v>
      </c>
      <c r="D86">
        <v>41</v>
      </c>
      <c r="E86">
        <v>18</v>
      </c>
      <c r="F86">
        <v>3</v>
      </c>
      <c r="G86">
        <v>0.5</v>
      </c>
      <c r="H86">
        <v>1</v>
      </c>
      <c r="I86">
        <v>0</v>
      </c>
      <c r="J86">
        <v>0</v>
      </c>
      <c r="K86">
        <v>1</v>
      </c>
      <c r="L86">
        <v>92691</v>
      </c>
      <c r="M86">
        <v>0</v>
      </c>
      <c r="N86">
        <v>0</v>
      </c>
      <c r="O86">
        <v>0</v>
      </c>
      <c r="Q86">
        <v>1</v>
      </c>
      <c r="R86">
        <v>0</v>
      </c>
      <c r="S86">
        <v>0</v>
      </c>
      <c r="T86">
        <v>5</v>
      </c>
      <c r="U86">
        <v>1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</row>
    <row r="87" spans="1:29" x14ac:dyDescent="0.35">
      <c r="A87">
        <v>265</v>
      </c>
      <c r="B87">
        <v>265</v>
      </c>
      <c r="C87">
        <v>45</v>
      </c>
      <c r="D87">
        <v>19</v>
      </c>
      <c r="E87">
        <v>38</v>
      </c>
      <c r="F87">
        <v>2</v>
      </c>
      <c r="G87">
        <v>0.7</v>
      </c>
      <c r="H87">
        <v>1</v>
      </c>
      <c r="I87">
        <v>0</v>
      </c>
      <c r="J87">
        <v>0</v>
      </c>
      <c r="K87">
        <v>0</v>
      </c>
      <c r="L87">
        <v>90840</v>
      </c>
      <c r="M87">
        <v>0</v>
      </c>
      <c r="N87">
        <v>0</v>
      </c>
      <c r="O87">
        <v>0</v>
      </c>
      <c r="Q87">
        <v>1</v>
      </c>
      <c r="R87">
        <v>0</v>
      </c>
      <c r="S87">
        <v>0</v>
      </c>
      <c r="T87">
        <v>5</v>
      </c>
      <c r="U87">
        <v>1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</row>
    <row r="88" spans="1:29" x14ac:dyDescent="0.35">
      <c r="A88">
        <v>269</v>
      </c>
      <c r="B88">
        <v>269</v>
      </c>
      <c r="C88">
        <v>64</v>
      </c>
      <c r="D88">
        <v>39</v>
      </c>
      <c r="E88">
        <v>129</v>
      </c>
      <c r="F88">
        <v>1</v>
      </c>
      <c r="G88">
        <v>2.5</v>
      </c>
      <c r="H88">
        <v>1</v>
      </c>
      <c r="I88">
        <v>0</v>
      </c>
      <c r="J88">
        <v>1</v>
      </c>
      <c r="K88">
        <v>0</v>
      </c>
      <c r="L88">
        <v>94002</v>
      </c>
      <c r="M88">
        <v>0</v>
      </c>
      <c r="N88">
        <v>0</v>
      </c>
      <c r="O88">
        <v>0</v>
      </c>
      <c r="Q88">
        <v>1</v>
      </c>
      <c r="R88">
        <v>0</v>
      </c>
      <c r="S88">
        <v>0</v>
      </c>
      <c r="T88">
        <v>22</v>
      </c>
      <c r="U88">
        <v>1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</row>
    <row r="89" spans="1:29" x14ac:dyDescent="0.35">
      <c r="A89">
        <v>271</v>
      </c>
      <c r="B89">
        <v>271</v>
      </c>
      <c r="C89">
        <v>60</v>
      </c>
      <c r="D89">
        <v>36</v>
      </c>
      <c r="E89">
        <v>63</v>
      </c>
      <c r="F89">
        <v>4</v>
      </c>
      <c r="G89">
        <v>2.2000000000000002</v>
      </c>
      <c r="H89">
        <v>1</v>
      </c>
      <c r="I89">
        <v>0</v>
      </c>
      <c r="J89">
        <v>1</v>
      </c>
      <c r="K89">
        <v>0</v>
      </c>
      <c r="L89">
        <v>94063</v>
      </c>
      <c r="M89">
        <v>0</v>
      </c>
      <c r="N89">
        <v>0</v>
      </c>
      <c r="O89">
        <v>0</v>
      </c>
      <c r="Q89">
        <v>1</v>
      </c>
      <c r="R89">
        <v>0</v>
      </c>
      <c r="S89">
        <v>0</v>
      </c>
      <c r="T89">
        <v>5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</row>
    <row r="90" spans="1:29" x14ac:dyDescent="0.35">
      <c r="A90">
        <v>272</v>
      </c>
      <c r="B90">
        <v>272</v>
      </c>
      <c r="C90">
        <v>40</v>
      </c>
      <c r="D90">
        <v>14</v>
      </c>
      <c r="E90">
        <v>70</v>
      </c>
      <c r="F90">
        <v>4</v>
      </c>
      <c r="G90">
        <v>1.4</v>
      </c>
      <c r="H90">
        <v>2</v>
      </c>
      <c r="I90">
        <v>0</v>
      </c>
      <c r="J90">
        <v>1</v>
      </c>
      <c r="K90">
        <v>0</v>
      </c>
      <c r="L90">
        <v>94923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5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</row>
    <row r="91" spans="1:29" x14ac:dyDescent="0.35">
      <c r="A91">
        <v>274</v>
      </c>
      <c r="B91">
        <v>274</v>
      </c>
      <c r="C91">
        <v>41</v>
      </c>
      <c r="D91">
        <v>16</v>
      </c>
      <c r="E91">
        <v>65</v>
      </c>
      <c r="F91">
        <v>3</v>
      </c>
      <c r="G91">
        <v>0.5</v>
      </c>
      <c r="H91">
        <v>3</v>
      </c>
      <c r="I91">
        <v>0</v>
      </c>
      <c r="J91">
        <v>1</v>
      </c>
      <c r="K91">
        <v>0</v>
      </c>
      <c r="L91">
        <v>90095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5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</row>
    <row r="92" spans="1:29" x14ac:dyDescent="0.35">
      <c r="A92">
        <v>276</v>
      </c>
      <c r="B92">
        <v>276</v>
      </c>
      <c r="C92">
        <v>49</v>
      </c>
      <c r="D92">
        <v>24</v>
      </c>
      <c r="E92">
        <v>50</v>
      </c>
      <c r="F92">
        <v>4</v>
      </c>
      <c r="G92">
        <v>1.8</v>
      </c>
      <c r="H92">
        <v>3</v>
      </c>
      <c r="I92">
        <v>0</v>
      </c>
      <c r="J92">
        <v>0</v>
      </c>
      <c r="K92">
        <v>0</v>
      </c>
      <c r="L92">
        <v>94706</v>
      </c>
      <c r="M92">
        <v>0</v>
      </c>
      <c r="N92">
        <v>1</v>
      </c>
      <c r="O92">
        <v>0</v>
      </c>
      <c r="Q92">
        <v>0</v>
      </c>
      <c r="R92">
        <v>0</v>
      </c>
      <c r="S92">
        <v>0</v>
      </c>
      <c r="T92">
        <v>5</v>
      </c>
      <c r="U92">
        <v>1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</row>
    <row r="93" spans="1:29" x14ac:dyDescent="0.35">
      <c r="A93">
        <v>278</v>
      </c>
      <c r="B93">
        <v>278</v>
      </c>
      <c r="C93">
        <v>29</v>
      </c>
      <c r="D93">
        <v>2</v>
      </c>
      <c r="E93">
        <v>30</v>
      </c>
      <c r="F93">
        <v>4</v>
      </c>
      <c r="G93">
        <v>1</v>
      </c>
      <c r="H93">
        <v>3</v>
      </c>
      <c r="I93">
        <v>0</v>
      </c>
      <c r="J93">
        <v>0</v>
      </c>
      <c r="K93">
        <v>0</v>
      </c>
      <c r="L93">
        <v>92126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5</v>
      </c>
      <c r="U93">
        <v>1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</row>
    <row r="94" spans="1:29" x14ac:dyDescent="0.35">
      <c r="A94">
        <v>280</v>
      </c>
      <c r="B94">
        <v>280</v>
      </c>
      <c r="C94">
        <v>39</v>
      </c>
      <c r="D94">
        <v>14</v>
      </c>
      <c r="E94">
        <v>155</v>
      </c>
      <c r="F94">
        <v>2</v>
      </c>
      <c r="G94">
        <v>3.9</v>
      </c>
      <c r="H94">
        <v>1</v>
      </c>
      <c r="I94">
        <v>0</v>
      </c>
      <c r="J94">
        <v>1</v>
      </c>
      <c r="K94">
        <v>0</v>
      </c>
      <c r="L94">
        <v>94577</v>
      </c>
      <c r="M94">
        <v>0</v>
      </c>
      <c r="N94">
        <v>0</v>
      </c>
      <c r="O94">
        <v>0</v>
      </c>
      <c r="Q94">
        <v>1</v>
      </c>
      <c r="R94">
        <v>0</v>
      </c>
      <c r="S94">
        <v>0</v>
      </c>
      <c r="T94">
        <v>22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</row>
    <row r="95" spans="1:29" x14ac:dyDescent="0.35">
      <c r="A95">
        <v>282</v>
      </c>
      <c r="B95">
        <v>282</v>
      </c>
      <c r="C95">
        <v>57</v>
      </c>
      <c r="D95">
        <v>31</v>
      </c>
      <c r="E95">
        <v>65</v>
      </c>
      <c r="F95">
        <v>4</v>
      </c>
      <c r="G95">
        <v>2.6</v>
      </c>
      <c r="H95">
        <v>3</v>
      </c>
      <c r="I95">
        <v>0</v>
      </c>
      <c r="J95">
        <v>0</v>
      </c>
      <c r="K95">
        <v>1</v>
      </c>
      <c r="L95">
        <v>94118</v>
      </c>
      <c r="M95">
        <v>0</v>
      </c>
      <c r="N95">
        <v>0</v>
      </c>
      <c r="O95">
        <v>0</v>
      </c>
      <c r="Q95">
        <v>0</v>
      </c>
      <c r="R95">
        <v>0</v>
      </c>
      <c r="S95">
        <v>0</v>
      </c>
      <c r="T95">
        <v>5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</row>
    <row r="96" spans="1:29" x14ac:dyDescent="0.35">
      <c r="A96">
        <v>283</v>
      </c>
      <c r="B96">
        <v>283</v>
      </c>
      <c r="C96">
        <v>34</v>
      </c>
      <c r="D96">
        <v>9</v>
      </c>
      <c r="E96">
        <v>71</v>
      </c>
      <c r="F96">
        <v>4</v>
      </c>
      <c r="G96">
        <v>0.7</v>
      </c>
      <c r="H96">
        <v>3</v>
      </c>
      <c r="I96">
        <v>0</v>
      </c>
      <c r="J96">
        <v>1</v>
      </c>
      <c r="K96">
        <v>0</v>
      </c>
      <c r="L96">
        <v>91711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5</v>
      </c>
      <c r="U96">
        <v>1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</row>
    <row r="97" spans="1:29" x14ac:dyDescent="0.35">
      <c r="A97">
        <v>289</v>
      </c>
      <c r="B97">
        <v>289</v>
      </c>
      <c r="C97">
        <v>44</v>
      </c>
      <c r="D97">
        <v>19</v>
      </c>
      <c r="E97">
        <v>172</v>
      </c>
      <c r="F97">
        <v>2</v>
      </c>
      <c r="G97">
        <v>4.3</v>
      </c>
      <c r="H97">
        <v>3</v>
      </c>
      <c r="I97">
        <v>391</v>
      </c>
      <c r="J97">
        <v>1</v>
      </c>
      <c r="K97">
        <v>0</v>
      </c>
      <c r="L97">
        <v>94306</v>
      </c>
      <c r="M97">
        <v>1</v>
      </c>
      <c r="N97">
        <v>1</v>
      </c>
      <c r="O97">
        <v>1</v>
      </c>
      <c r="Q97">
        <v>0</v>
      </c>
      <c r="R97">
        <v>1</v>
      </c>
      <c r="S97">
        <v>1</v>
      </c>
      <c r="T97">
        <v>10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1</v>
      </c>
    </row>
    <row r="98" spans="1:29" x14ac:dyDescent="0.35">
      <c r="A98">
        <v>290</v>
      </c>
      <c r="B98">
        <v>290</v>
      </c>
      <c r="C98">
        <v>42</v>
      </c>
      <c r="D98">
        <v>15</v>
      </c>
      <c r="E98">
        <v>24</v>
      </c>
      <c r="F98">
        <v>3</v>
      </c>
      <c r="G98">
        <v>1</v>
      </c>
      <c r="H98">
        <v>2</v>
      </c>
      <c r="I98">
        <v>0</v>
      </c>
      <c r="J98">
        <v>1</v>
      </c>
      <c r="K98">
        <v>1</v>
      </c>
      <c r="L98">
        <v>92121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5</v>
      </c>
      <c r="U98">
        <v>1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</row>
    <row r="99" spans="1:29" x14ac:dyDescent="0.35">
      <c r="A99">
        <v>294</v>
      </c>
      <c r="B99">
        <v>294</v>
      </c>
      <c r="C99">
        <v>45</v>
      </c>
      <c r="D99">
        <v>19</v>
      </c>
      <c r="E99">
        <v>93</v>
      </c>
      <c r="F99">
        <v>4</v>
      </c>
      <c r="G99">
        <v>2.6</v>
      </c>
      <c r="H99">
        <v>3</v>
      </c>
      <c r="I99">
        <v>0</v>
      </c>
      <c r="J99">
        <v>0</v>
      </c>
      <c r="K99">
        <v>0</v>
      </c>
      <c r="L99">
        <v>90095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5</v>
      </c>
      <c r="U99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</row>
    <row r="100" spans="1:29" x14ac:dyDescent="0.35">
      <c r="A100">
        <v>307</v>
      </c>
      <c r="B100">
        <v>307</v>
      </c>
      <c r="C100">
        <v>55</v>
      </c>
      <c r="D100">
        <v>29</v>
      </c>
      <c r="E100">
        <v>79</v>
      </c>
      <c r="F100">
        <v>3</v>
      </c>
      <c r="G100">
        <v>0.8</v>
      </c>
      <c r="H100">
        <v>1</v>
      </c>
      <c r="I100">
        <v>0</v>
      </c>
      <c r="J100">
        <v>1</v>
      </c>
      <c r="K100">
        <v>1</v>
      </c>
      <c r="L100">
        <v>92373</v>
      </c>
      <c r="M100">
        <v>0</v>
      </c>
      <c r="N100">
        <v>0</v>
      </c>
      <c r="O100">
        <v>0</v>
      </c>
      <c r="Q100">
        <v>1</v>
      </c>
      <c r="R100">
        <v>0</v>
      </c>
      <c r="S100">
        <v>0</v>
      </c>
      <c r="T100">
        <v>5</v>
      </c>
      <c r="U100">
        <v>1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</row>
    <row r="101" spans="1:29" x14ac:dyDescent="0.35">
      <c r="A101">
        <v>308</v>
      </c>
      <c r="B101">
        <v>308</v>
      </c>
      <c r="C101">
        <v>42</v>
      </c>
      <c r="D101">
        <v>18</v>
      </c>
      <c r="E101">
        <v>33</v>
      </c>
      <c r="F101">
        <v>1</v>
      </c>
      <c r="G101">
        <v>1.4</v>
      </c>
      <c r="H101">
        <v>3</v>
      </c>
      <c r="I101">
        <v>0</v>
      </c>
      <c r="J101">
        <v>1</v>
      </c>
      <c r="K101">
        <v>0</v>
      </c>
      <c r="L101">
        <v>90401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5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</row>
    <row r="102" spans="1:29" x14ac:dyDescent="0.35">
      <c r="A102">
        <v>311</v>
      </c>
      <c r="B102">
        <v>311</v>
      </c>
      <c r="C102">
        <v>57</v>
      </c>
      <c r="D102">
        <v>32</v>
      </c>
      <c r="E102">
        <v>39</v>
      </c>
      <c r="F102">
        <v>4</v>
      </c>
      <c r="G102">
        <v>0.9</v>
      </c>
      <c r="H102">
        <v>1</v>
      </c>
      <c r="I102">
        <v>0</v>
      </c>
      <c r="J102">
        <v>1</v>
      </c>
      <c r="K102">
        <v>1</v>
      </c>
      <c r="L102">
        <v>90277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0</v>
      </c>
      <c r="T102">
        <v>5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</row>
    <row r="103" spans="1:29" x14ac:dyDescent="0.35">
      <c r="A103">
        <v>314</v>
      </c>
      <c r="B103">
        <v>314</v>
      </c>
      <c r="C103">
        <v>34</v>
      </c>
      <c r="D103">
        <v>9</v>
      </c>
      <c r="E103">
        <v>41</v>
      </c>
      <c r="F103">
        <v>3</v>
      </c>
      <c r="G103">
        <v>2.2999999999999998</v>
      </c>
      <c r="H103">
        <v>1</v>
      </c>
      <c r="I103">
        <v>0</v>
      </c>
      <c r="J103">
        <v>0</v>
      </c>
      <c r="K103">
        <v>1</v>
      </c>
      <c r="L103">
        <v>93720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5</v>
      </c>
      <c r="U103">
        <v>1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</row>
    <row r="104" spans="1:29" x14ac:dyDescent="0.35">
      <c r="A104">
        <v>327</v>
      </c>
      <c r="B104">
        <v>327</v>
      </c>
      <c r="C104">
        <v>52</v>
      </c>
      <c r="D104">
        <v>27</v>
      </c>
      <c r="E104">
        <v>80</v>
      </c>
      <c r="F104">
        <v>1</v>
      </c>
      <c r="G104">
        <v>1.3</v>
      </c>
      <c r="H104">
        <v>3</v>
      </c>
      <c r="I104">
        <v>0</v>
      </c>
      <c r="J104">
        <v>1</v>
      </c>
      <c r="K104">
        <v>1</v>
      </c>
      <c r="L104">
        <v>95616</v>
      </c>
      <c r="M104">
        <v>0</v>
      </c>
      <c r="N104">
        <v>0</v>
      </c>
      <c r="O104">
        <v>1</v>
      </c>
      <c r="Q104">
        <v>0</v>
      </c>
      <c r="R104">
        <v>0</v>
      </c>
      <c r="S104">
        <v>0</v>
      </c>
      <c r="T104">
        <v>5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</row>
    <row r="105" spans="1:29" x14ac:dyDescent="0.35">
      <c r="A105">
        <v>330</v>
      </c>
      <c r="B105">
        <v>330</v>
      </c>
      <c r="C105">
        <v>28</v>
      </c>
      <c r="D105">
        <v>4</v>
      </c>
      <c r="E105">
        <v>191</v>
      </c>
      <c r="F105">
        <v>1</v>
      </c>
      <c r="G105">
        <v>6.33</v>
      </c>
      <c r="H105">
        <v>1</v>
      </c>
      <c r="I105">
        <v>0</v>
      </c>
      <c r="J105">
        <v>1</v>
      </c>
      <c r="K105">
        <v>0</v>
      </c>
      <c r="L105">
        <v>90064</v>
      </c>
      <c r="M105">
        <v>0</v>
      </c>
      <c r="N105">
        <v>0</v>
      </c>
      <c r="O105">
        <v>0</v>
      </c>
      <c r="Q105">
        <v>1</v>
      </c>
      <c r="R105">
        <v>0</v>
      </c>
      <c r="S105">
        <v>0</v>
      </c>
      <c r="T105">
        <v>22</v>
      </c>
      <c r="U105">
        <v>1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</row>
    <row r="106" spans="1:29" x14ac:dyDescent="0.35">
      <c r="A106">
        <v>334</v>
      </c>
      <c r="B106">
        <v>334</v>
      </c>
      <c r="C106">
        <v>63</v>
      </c>
      <c r="D106">
        <v>38</v>
      </c>
      <c r="E106">
        <v>140</v>
      </c>
      <c r="F106">
        <v>1</v>
      </c>
      <c r="G106">
        <v>2.5</v>
      </c>
      <c r="H106">
        <v>1</v>
      </c>
      <c r="I106">
        <v>0</v>
      </c>
      <c r="J106">
        <v>0</v>
      </c>
      <c r="K106">
        <v>0</v>
      </c>
      <c r="L106">
        <v>92407</v>
      </c>
      <c r="M106">
        <v>0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22</v>
      </c>
      <c r="U106">
        <v>1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</row>
    <row r="107" spans="1:29" x14ac:dyDescent="0.35">
      <c r="A107">
        <v>338</v>
      </c>
      <c r="B107">
        <v>338</v>
      </c>
      <c r="C107">
        <v>57</v>
      </c>
      <c r="D107">
        <v>27</v>
      </c>
      <c r="E107">
        <v>68</v>
      </c>
      <c r="F107">
        <v>1</v>
      </c>
      <c r="G107">
        <v>1.4</v>
      </c>
      <c r="H107">
        <v>3</v>
      </c>
      <c r="I107">
        <v>0</v>
      </c>
      <c r="J107">
        <v>1</v>
      </c>
      <c r="K107">
        <v>0</v>
      </c>
      <c r="L107">
        <v>94117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5</v>
      </c>
      <c r="U107">
        <v>1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</row>
    <row r="108" spans="1:29" x14ac:dyDescent="0.35">
      <c r="A108">
        <v>343</v>
      </c>
      <c r="B108">
        <v>343</v>
      </c>
      <c r="C108">
        <v>43</v>
      </c>
      <c r="D108">
        <v>19</v>
      </c>
      <c r="E108">
        <v>118</v>
      </c>
      <c r="F108">
        <v>2</v>
      </c>
      <c r="G108">
        <v>3.3</v>
      </c>
      <c r="H108">
        <v>1</v>
      </c>
      <c r="I108">
        <v>0</v>
      </c>
      <c r="J108">
        <v>0</v>
      </c>
      <c r="K108">
        <v>1</v>
      </c>
      <c r="L108">
        <v>91304</v>
      </c>
      <c r="M108">
        <v>0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22</v>
      </c>
      <c r="U108">
        <v>1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</row>
    <row r="109" spans="1:29" x14ac:dyDescent="0.35">
      <c r="A109">
        <v>345</v>
      </c>
      <c r="B109">
        <v>345</v>
      </c>
      <c r="C109">
        <v>54</v>
      </c>
      <c r="D109">
        <v>24</v>
      </c>
      <c r="E109">
        <v>63</v>
      </c>
      <c r="F109">
        <v>3</v>
      </c>
      <c r="G109">
        <v>1.4</v>
      </c>
      <c r="H109">
        <v>3</v>
      </c>
      <c r="I109">
        <v>138</v>
      </c>
      <c r="J109">
        <v>1</v>
      </c>
      <c r="K109">
        <v>1</v>
      </c>
      <c r="L109">
        <v>92606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5</v>
      </c>
      <c r="U109">
        <v>1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</row>
    <row r="110" spans="1:29" x14ac:dyDescent="0.35">
      <c r="A110">
        <v>351</v>
      </c>
      <c r="B110">
        <v>351</v>
      </c>
      <c r="C110">
        <v>39</v>
      </c>
      <c r="D110">
        <v>14</v>
      </c>
      <c r="E110">
        <v>113</v>
      </c>
      <c r="F110">
        <v>1</v>
      </c>
      <c r="G110">
        <v>1</v>
      </c>
      <c r="H110">
        <v>3</v>
      </c>
      <c r="I110">
        <v>0</v>
      </c>
      <c r="J110">
        <v>1</v>
      </c>
      <c r="K110">
        <v>0</v>
      </c>
      <c r="L110">
        <v>94301</v>
      </c>
      <c r="M110">
        <v>0</v>
      </c>
      <c r="N110">
        <v>1</v>
      </c>
      <c r="O110">
        <v>0</v>
      </c>
      <c r="Q110">
        <v>0</v>
      </c>
      <c r="R110">
        <v>0</v>
      </c>
      <c r="S110">
        <v>0</v>
      </c>
      <c r="T110">
        <v>13</v>
      </c>
      <c r="U110">
        <v>0.88607594936708001</v>
      </c>
      <c r="V110">
        <v>0.11392405063291</v>
      </c>
      <c r="W110">
        <v>0.88607594936708001</v>
      </c>
      <c r="X110">
        <v>0.11392405063291</v>
      </c>
      <c r="Y110">
        <v>0.86842105263156999</v>
      </c>
      <c r="Z110">
        <v>0.13157894736841999</v>
      </c>
      <c r="AA110">
        <v>0.11392405063291999</v>
      </c>
      <c r="AB110">
        <v>-0.11392405063291</v>
      </c>
      <c r="AC110">
        <v>0</v>
      </c>
    </row>
    <row r="111" spans="1:29" x14ac:dyDescent="0.35">
      <c r="A111">
        <v>364</v>
      </c>
      <c r="B111">
        <v>364</v>
      </c>
      <c r="C111">
        <v>25</v>
      </c>
      <c r="D111">
        <v>0</v>
      </c>
      <c r="E111">
        <v>30</v>
      </c>
      <c r="F111">
        <v>2</v>
      </c>
      <c r="G111">
        <v>1.7</v>
      </c>
      <c r="H111">
        <v>2</v>
      </c>
      <c r="I111">
        <v>0</v>
      </c>
      <c r="J111">
        <v>0</v>
      </c>
      <c r="K111">
        <v>0</v>
      </c>
      <c r="L111">
        <v>92691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5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</row>
    <row r="112" spans="1:29" x14ac:dyDescent="0.35">
      <c r="A112">
        <v>367</v>
      </c>
      <c r="B112">
        <v>367</v>
      </c>
      <c r="C112">
        <v>50</v>
      </c>
      <c r="D112">
        <v>24</v>
      </c>
      <c r="E112">
        <v>35</v>
      </c>
      <c r="F112">
        <v>1</v>
      </c>
      <c r="G112">
        <v>0.3</v>
      </c>
      <c r="H112">
        <v>3</v>
      </c>
      <c r="I112">
        <v>0</v>
      </c>
      <c r="J112">
        <v>1</v>
      </c>
      <c r="K112">
        <v>0</v>
      </c>
      <c r="L112">
        <v>92717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5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</row>
    <row r="113" spans="1:29" x14ac:dyDescent="0.35">
      <c r="A113">
        <v>368</v>
      </c>
      <c r="B113">
        <v>368</v>
      </c>
      <c r="C113">
        <v>32</v>
      </c>
      <c r="D113">
        <v>8</v>
      </c>
      <c r="E113">
        <v>98</v>
      </c>
      <c r="F113">
        <v>2</v>
      </c>
      <c r="G113">
        <v>2</v>
      </c>
      <c r="H113">
        <v>2</v>
      </c>
      <c r="I113">
        <v>175</v>
      </c>
      <c r="J113">
        <v>1</v>
      </c>
      <c r="K113">
        <v>0</v>
      </c>
      <c r="L113">
        <v>95054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5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</row>
    <row r="114" spans="1:29" x14ac:dyDescent="0.35">
      <c r="A114">
        <v>369</v>
      </c>
      <c r="B114">
        <v>369</v>
      </c>
      <c r="C114">
        <v>63</v>
      </c>
      <c r="D114">
        <v>37</v>
      </c>
      <c r="E114">
        <v>30</v>
      </c>
      <c r="F114">
        <v>2</v>
      </c>
      <c r="G114">
        <v>1</v>
      </c>
      <c r="H114">
        <v>3</v>
      </c>
      <c r="I114">
        <v>159</v>
      </c>
      <c r="J114">
        <v>1</v>
      </c>
      <c r="K114">
        <v>0</v>
      </c>
      <c r="L114">
        <v>92054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5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</row>
    <row r="115" spans="1:29" x14ac:dyDescent="0.35">
      <c r="A115">
        <v>371</v>
      </c>
      <c r="B115">
        <v>371</v>
      </c>
      <c r="C115">
        <v>36</v>
      </c>
      <c r="D115">
        <v>12</v>
      </c>
      <c r="E115">
        <v>25</v>
      </c>
      <c r="F115">
        <v>4</v>
      </c>
      <c r="G115">
        <v>1</v>
      </c>
      <c r="H115">
        <v>1</v>
      </c>
      <c r="I115">
        <v>147</v>
      </c>
      <c r="J115">
        <v>0</v>
      </c>
      <c r="K115">
        <v>0</v>
      </c>
      <c r="L115">
        <v>92101</v>
      </c>
      <c r="M115">
        <v>0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5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</row>
    <row r="116" spans="1:29" x14ac:dyDescent="0.35">
      <c r="A116">
        <v>372</v>
      </c>
      <c r="B116">
        <v>372</v>
      </c>
      <c r="C116">
        <v>58</v>
      </c>
      <c r="D116">
        <v>34</v>
      </c>
      <c r="E116">
        <v>19</v>
      </c>
      <c r="F116">
        <v>4</v>
      </c>
      <c r="G116">
        <v>0.7</v>
      </c>
      <c r="H116">
        <v>1</v>
      </c>
      <c r="I116">
        <v>0</v>
      </c>
      <c r="J116">
        <v>0</v>
      </c>
      <c r="K116">
        <v>0</v>
      </c>
      <c r="L116">
        <v>92029</v>
      </c>
      <c r="M116">
        <v>0</v>
      </c>
      <c r="N116">
        <v>0</v>
      </c>
      <c r="O116">
        <v>0</v>
      </c>
      <c r="Q116">
        <v>1</v>
      </c>
      <c r="R116">
        <v>0</v>
      </c>
      <c r="S116">
        <v>0</v>
      </c>
      <c r="T116">
        <v>5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</row>
    <row r="117" spans="1:29" x14ac:dyDescent="0.35">
      <c r="A117">
        <v>374</v>
      </c>
      <c r="B117">
        <v>374</v>
      </c>
      <c r="C117">
        <v>49</v>
      </c>
      <c r="D117">
        <v>25</v>
      </c>
      <c r="E117">
        <v>20</v>
      </c>
      <c r="F117">
        <v>4</v>
      </c>
      <c r="G117">
        <v>1</v>
      </c>
      <c r="H117">
        <v>1</v>
      </c>
      <c r="I117">
        <v>111</v>
      </c>
      <c r="J117">
        <v>1</v>
      </c>
      <c r="K117">
        <v>1</v>
      </c>
      <c r="L117">
        <v>90291</v>
      </c>
      <c r="M117">
        <v>0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5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</row>
    <row r="118" spans="1:29" x14ac:dyDescent="0.35">
      <c r="A118">
        <v>376</v>
      </c>
      <c r="B118">
        <v>376</v>
      </c>
      <c r="C118">
        <v>33</v>
      </c>
      <c r="D118">
        <v>7</v>
      </c>
      <c r="E118">
        <v>90</v>
      </c>
      <c r="F118">
        <v>3</v>
      </c>
      <c r="G118">
        <v>1.6</v>
      </c>
      <c r="H118">
        <v>1</v>
      </c>
      <c r="I118">
        <v>0</v>
      </c>
      <c r="J118">
        <v>1</v>
      </c>
      <c r="K118">
        <v>0</v>
      </c>
      <c r="L118">
        <v>92346</v>
      </c>
      <c r="M118">
        <v>0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5</v>
      </c>
      <c r="U118">
        <v>1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</row>
    <row r="119" spans="1:29" x14ac:dyDescent="0.35">
      <c r="A119">
        <v>396</v>
      </c>
      <c r="B119">
        <v>396</v>
      </c>
      <c r="C119">
        <v>60</v>
      </c>
      <c r="D119">
        <v>35</v>
      </c>
      <c r="E119">
        <v>64</v>
      </c>
      <c r="F119">
        <v>2</v>
      </c>
      <c r="G119">
        <v>2.8</v>
      </c>
      <c r="H119">
        <v>1</v>
      </c>
      <c r="I119">
        <v>0</v>
      </c>
      <c r="J119">
        <v>0</v>
      </c>
      <c r="K119">
        <v>0</v>
      </c>
      <c r="L119">
        <v>94509</v>
      </c>
      <c r="M119">
        <v>0</v>
      </c>
      <c r="N119">
        <v>0</v>
      </c>
      <c r="O119">
        <v>0</v>
      </c>
      <c r="Q119">
        <v>1</v>
      </c>
      <c r="R119">
        <v>0</v>
      </c>
      <c r="S119">
        <v>0</v>
      </c>
      <c r="T119">
        <v>5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</row>
    <row r="120" spans="1:29" x14ac:dyDescent="0.35">
      <c r="A120">
        <v>397</v>
      </c>
      <c r="B120">
        <v>397</v>
      </c>
      <c r="C120">
        <v>50</v>
      </c>
      <c r="D120">
        <v>24</v>
      </c>
      <c r="E120">
        <v>29</v>
      </c>
      <c r="F120">
        <v>4</v>
      </c>
      <c r="G120">
        <v>0.1</v>
      </c>
      <c r="H120">
        <v>1</v>
      </c>
      <c r="I120">
        <v>0</v>
      </c>
      <c r="J120">
        <v>0</v>
      </c>
      <c r="K120">
        <v>0</v>
      </c>
      <c r="L120">
        <v>93023</v>
      </c>
      <c r="M120">
        <v>0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5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</row>
    <row r="121" spans="1:29" x14ac:dyDescent="0.35">
      <c r="A121">
        <v>398</v>
      </c>
      <c r="B121">
        <v>398</v>
      </c>
      <c r="C121">
        <v>26</v>
      </c>
      <c r="D121">
        <v>2</v>
      </c>
      <c r="E121">
        <v>48</v>
      </c>
      <c r="F121">
        <v>3</v>
      </c>
      <c r="G121">
        <v>0.7</v>
      </c>
      <c r="H121">
        <v>2</v>
      </c>
      <c r="I121">
        <v>0</v>
      </c>
      <c r="J121">
        <v>1</v>
      </c>
      <c r="K121">
        <v>0</v>
      </c>
      <c r="L121">
        <v>90503</v>
      </c>
      <c r="M121">
        <v>0</v>
      </c>
      <c r="N121">
        <v>0</v>
      </c>
      <c r="O121">
        <v>0</v>
      </c>
      <c r="Q121">
        <v>0</v>
      </c>
      <c r="R121">
        <v>0</v>
      </c>
      <c r="S121">
        <v>0</v>
      </c>
      <c r="T121">
        <v>5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</row>
    <row r="122" spans="1:29" x14ac:dyDescent="0.35">
      <c r="A122">
        <v>399</v>
      </c>
      <c r="B122">
        <v>399</v>
      </c>
      <c r="C122">
        <v>54</v>
      </c>
      <c r="D122">
        <v>30</v>
      </c>
      <c r="E122">
        <v>23</v>
      </c>
      <c r="F122">
        <v>2</v>
      </c>
      <c r="G122">
        <v>0.4</v>
      </c>
      <c r="H122">
        <v>1</v>
      </c>
      <c r="I122">
        <v>0</v>
      </c>
      <c r="J122">
        <v>0</v>
      </c>
      <c r="K122">
        <v>0</v>
      </c>
      <c r="L122">
        <v>94608</v>
      </c>
      <c r="M122">
        <v>0</v>
      </c>
      <c r="N122">
        <v>0</v>
      </c>
      <c r="O122">
        <v>0</v>
      </c>
      <c r="Q122">
        <v>1</v>
      </c>
      <c r="R122">
        <v>0</v>
      </c>
      <c r="S122">
        <v>0</v>
      </c>
      <c r="T122">
        <v>5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</row>
    <row r="123" spans="1:29" x14ac:dyDescent="0.35">
      <c r="A123">
        <v>400</v>
      </c>
      <c r="B123">
        <v>400</v>
      </c>
      <c r="C123">
        <v>28</v>
      </c>
      <c r="D123">
        <v>3</v>
      </c>
      <c r="E123">
        <v>84</v>
      </c>
      <c r="F123">
        <v>4</v>
      </c>
      <c r="G123">
        <v>0.2</v>
      </c>
      <c r="H123">
        <v>1</v>
      </c>
      <c r="I123">
        <v>0</v>
      </c>
      <c r="J123">
        <v>1</v>
      </c>
      <c r="K123">
        <v>1</v>
      </c>
      <c r="L123">
        <v>90024</v>
      </c>
      <c r="M123">
        <v>0</v>
      </c>
      <c r="N123">
        <v>0</v>
      </c>
      <c r="O123">
        <v>0</v>
      </c>
      <c r="Q123">
        <v>1</v>
      </c>
      <c r="R123">
        <v>0</v>
      </c>
      <c r="S123">
        <v>0</v>
      </c>
      <c r="T123">
        <v>5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</row>
    <row r="124" spans="1:29" x14ac:dyDescent="0.35">
      <c r="A124">
        <v>401</v>
      </c>
      <c r="B124">
        <v>401</v>
      </c>
      <c r="C124">
        <v>36</v>
      </c>
      <c r="D124">
        <v>10</v>
      </c>
      <c r="E124">
        <v>179</v>
      </c>
      <c r="F124">
        <v>3</v>
      </c>
      <c r="G124">
        <v>6.6</v>
      </c>
      <c r="H124">
        <v>1</v>
      </c>
      <c r="I124">
        <v>0</v>
      </c>
      <c r="J124">
        <v>1</v>
      </c>
      <c r="K124">
        <v>0</v>
      </c>
      <c r="L124">
        <v>94542</v>
      </c>
      <c r="M124">
        <v>1</v>
      </c>
      <c r="N124">
        <v>0</v>
      </c>
      <c r="O124">
        <v>0</v>
      </c>
      <c r="Q124">
        <v>1</v>
      </c>
      <c r="R124">
        <v>1</v>
      </c>
      <c r="S124">
        <v>1</v>
      </c>
      <c r="T124">
        <v>20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1</v>
      </c>
    </row>
    <row r="125" spans="1:29" x14ac:dyDescent="0.35">
      <c r="A125">
        <v>407</v>
      </c>
      <c r="B125">
        <v>407</v>
      </c>
      <c r="C125">
        <v>45</v>
      </c>
      <c r="D125">
        <v>19</v>
      </c>
      <c r="E125">
        <v>125</v>
      </c>
      <c r="F125">
        <v>1</v>
      </c>
      <c r="G125">
        <v>2.4</v>
      </c>
      <c r="H125">
        <v>1</v>
      </c>
      <c r="I125">
        <v>0</v>
      </c>
      <c r="J125">
        <v>0</v>
      </c>
      <c r="K125">
        <v>0</v>
      </c>
      <c r="L125">
        <v>92354</v>
      </c>
      <c r="M125">
        <v>0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22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</row>
    <row r="126" spans="1:29" x14ac:dyDescent="0.35">
      <c r="A126">
        <v>409</v>
      </c>
      <c r="B126">
        <v>409</v>
      </c>
      <c r="C126">
        <v>60</v>
      </c>
      <c r="D126">
        <v>36</v>
      </c>
      <c r="E126">
        <v>89</v>
      </c>
      <c r="F126">
        <v>2</v>
      </c>
      <c r="G126">
        <v>2.8</v>
      </c>
      <c r="H126">
        <v>1</v>
      </c>
      <c r="I126">
        <v>0</v>
      </c>
      <c r="J126">
        <v>1</v>
      </c>
      <c r="K126">
        <v>0</v>
      </c>
      <c r="L126">
        <v>91745</v>
      </c>
      <c r="M126">
        <v>0</v>
      </c>
      <c r="N126">
        <v>0</v>
      </c>
      <c r="O126">
        <v>0</v>
      </c>
      <c r="Q126">
        <v>1</v>
      </c>
      <c r="R126">
        <v>0</v>
      </c>
      <c r="S126">
        <v>0</v>
      </c>
      <c r="T126">
        <v>5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</row>
    <row r="127" spans="1:29" x14ac:dyDescent="0.35">
      <c r="A127">
        <v>411</v>
      </c>
      <c r="B127">
        <v>411</v>
      </c>
      <c r="C127">
        <v>47</v>
      </c>
      <c r="D127">
        <v>23</v>
      </c>
      <c r="E127">
        <v>110</v>
      </c>
      <c r="F127">
        <v>2</v>
      </c>
      <c r="G127">
        <v>3.3</v>
      </c>
      <c r="H127">
        <v>1</v>
      </c>
      <c r="I127">
        <v>0</v>
      </c>
      <c r="J127">
        <v>1</v>
      </c>
      <c r="K127">
        <v>1</v>
      </c>
      <c r="L127">
        <v>94111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22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</row>
    <row r="128" spans="1:29" x14ac:dyDescent="0.35">
      <c r="A128">
        <v>415</v>
      </c>
      <c r="B128">
        <v>415</v>
      </c>
      <c r="C128">
        <v>52</v>
      </c>
      <c r="D128">
        <v>28</v>
      </c>
      <c r="E128">
        <v>41</v>
      </c>
      <c r="F128">
        <v>3</v>
      </c>
      <c r="G128">
        <v>1.9</v>
      </c>
      <c r="H128">
        <v>2</v>
      </c>
      <c r="I128">
        <v>0</v>
      </c>
      <c r="J128">
        <v>0</v>
      </c>
      <c r="K128">
        <v>1</v>
      </c>
      <c r="L128">
        <v>94309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5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</row>
    <row r="129" spans="1:29" x14ac:dyDescent="0.35">
      <c r="A129">
        <v>417</v>
      </c>
      <c r="B129">
        <v>417</v>
      </c>
      <c r="C129">
        <v>40</v>
      </c>
      <c r="D129">
        <v>15</v>
      </c>
      <c r="E129">
        <v>85</v>
      </c>
      <c r="F129">
        <v>2</v>
      </c>
      <c r="G129">
        <v>0.4</v>
      </c>
      <c r="H129">
        <v>1</v>
      </c>
      <c r="I129">
        <v>0</v>
      </c>
      <c r="J129">
        <v>1</v>
      </c>
      <c r="K129">
        <v>0</v>
      </c>
      <c r="L129">
        <v>94304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5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</row>
    <row r="130" spans="1:29" x14ac:dyDescent="0.35">
      <c r="A130">
        <v>418</v>
      </c>
      <c r="B130">
        <v>418</v>
      </c>
      <c r="C130">
        <v>53</v>
      </c>
      <c r="D130">
        <v>29</v>
      </c>
      <c r="E130">
        <v>83</v>
      </c>
      <c r="F130">
        <v>4</v>
      </c>
      <c r="G130">
        <v>1</v>
      </c>
      <c r="H130">
        <v>2</v>
      </c>
      <c r="I130">
        <v>0</v>
      </c>
      <c r="J130">
        <v>1</v>
      </c>
      <c r="K130">
        <v>0</v>
      </c>
      <c r="L130">
        <v>90073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5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 x14ac:dyDescent="0.35">
      <c r="A131">
        <v>427</v>
      </c>
      <c r="B131">
        <v>427</v>
      </c>
      <c r="C131">
        <v>42</v>
      </c>
      <c r="D131">
        <v>18</v>
      </c>
      <c r="E131">
        <v>75</v>
      </c>
      <c r="F131">
        <v>3</v>
      </c>
      <c r="G131">
        <v>2.33</v>
      </c>
      <c r="H131">
        <v>1</v>
      </c>
      <c r="I131">
        <v>0</v>
      </c>
      <c r="J131">
        <v>0</v>
      </c>
      <c r="K131">
        <v>1</v>
      </c>
      <c r="L131">
        <v>92182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5</v>
      </c>
      <c r="U131">
        <v>1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 x14ac:dyDescent="0.35">
      <c r="A132">
        <v>428</v>
      </c>
      <c r="B132">
        <v>428</v>
      </c>
      <c r="C132">
        <v>32</v>
      </c>
      <c r="D132">
        <v>7</v>
      </c>
      <c r="E132">
        <v>35</v>
      </c>
      <c r="F132">
        <v>3</v>
      </c>
      <c r="G132">
        <v>1.3</v>
      </c>
      <c r="H132">
        <v>1</v>
      </c>
      <c r="I132">
        <v>116</v>
      </c>
      <c r="J132">
        <v>0</v>
      </c>
      <c r="K132">
        <v>1</v>
      </c>
      <c r="L132">
        <v>92521</v>
      </c>
      <c r="M132">
        <v>0</v>
      </c>
      <c r="N132">
        <v>0</v>
      </c>
      <c r="O132">
        <v>0</v>
      </c>
      <c r="Q132">
        <v>1</v>
      </c>
      <c r="R132">
        <v>0</v>
      </c>
      <c r="S132">
        <v>0</v>
      </c>
      <c r="T132">
        <v>5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</row>
    <row r="133" spans="1:29" x14ac:dyDescent="0.35">
      <c r="A133">
        <v>433</v>
      </c>
      <c r="B133">
        <v>433</v>
      </c>
      <c r="C133">
        <v>43</v>
      </c>
      <c r="D133">
        <v>17</v>
      </c>
      <c r="E133">
        <v>91</v>
      </c>
      <c r="F133">
        <v>1</v>
      </c>
      <c r="G133">
        <v>5.7</v>
      </c>
      <c r="H133">
        <v>1</v>
      </c>
      <c r="I133">
        <v>0</v>
      </c>
      <c r="J133">
        <v>1</v>
      </c>
      <c r="K133">
        <v>0</v>
      </c>
      <c r="L133">
        <v>91311</v>
      </c>
      <c r="M133">
        <v>0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15</v>
      </c>
      <c r="U133">
        <v>0.91935483870967005</v>
      </c>
      <c r="V133">
        <v>8.0645161290319997E-2</v>
      </c>
      <c r="W133">
        <v>0.91935483870967005</v>
      </c>
      <c r="X133">
        <v>8.0645161290319997E-2</v>
      </c>
      <c r="Y133">
        <v>0.86</v>
      </c>
      <c r="Z133">
        <v>0.14000000000000001</v>
      </c>
      <c r="AA133">
        <v>8.0645161290329906E-2</v>
      </c>
      <c r="AB133">
        <v>-8.0645161290319997E-2</v>
      </c>
      <c r="AC133">
        <v>0</v>
      </c>
    </row>
    <row r="134" spans="1:29" x14ac:dyDescent="0.35">
      <c r="A134">
        <v>435</v>
      </c>
      <c r="B134">
        <v>435</v>
      </c>
      <c r="C134">
        <v>30</v>
      </c>
      <c r="D134">
        <v>6</v>
      </c>
      <c r="E134">
        <v>45</v>
      </c>
      <c r="F134">
        <v>1</v>
      </c>
      <c r="G134">
        <v>1.8</v>
      </c>
      <c r="H134">
        <v>2</v>
      </c>
      <c r="I134">
        <v>0</v>
      </c>
      <c r="J134">
        <v>1</v>
      </c>
      <c r="K134">
        <v>0</v>
      </c>
      <c r="L134">
        <v>95819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5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</row>
    <row r="135" spans="1:29" x14ac:dyDescent="0.35">
      <c r="A135">
        <v>436</v>
      </c>
      <c r="B135">
        <v>436</v>
      </c>
      <c r="C135">
        <v>52</v>
      </c>
      <c r="D135">
        <v>26</v>
      </c>
      <c r="E135">
        <v>80</v>
      </c>
      <c r="F135">
        <v>3</v>
      </c>
      <c r="G135">
        <v>0.8</v>
      </c>
      <c r="H135">
        <v>1</v>
      </c>
      <c r="I135">
        <v>0</v>
      </c>
      <c r="J135">
        <v>0</v>
      </c>
      <c r="K135">
        <v>0</v>
      </c>
      <c r="L135">
        <v>94709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5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</row>
    <row r="136" spans="1:29" x14ac:dyDescent="0.35">
      <c r="A136">
        <v>439</v>
      </c>
      <c r="B136">
        <v>439</v>
      </c>
      <c r="C136">
        <v>58</v>
      </c>
      <c r="D136">
        <v>32</v>
      </c>
      <c r="E136">
        <v>113</v>
      </c>
      <c r="F136">
        <v>2</v>
      </c>
      <c r="G136">
        <v>3.8</v>
      </c>
      <c r="H136">
        <v>2</v>
      </c>
      <c r="I136">
        <v>119</v>
      </c>
      <c r="J136">
        <v>1</v>
      </c>
      <c r="K136">
        <v>1</v>
      </c>
      <c r="L136">
        <v>93943</v>
      </c>
      <c r="M136">
        <v>1</v>
      </c>
      <c r="N136">
        <v>0</v>
      </c>
      <c r="O136">
        <v>1</v>
      </c>
      <c r="Q136">
        <v>0</v>
      </c>
      <c r="R136">
        <v>1</v>
      </c>
      <c r="S136">
        <v>1</v>
      </c>
      <c r="T136">
        <v>14</v>
      </c>
      <c r="U136">
        <v>0.24242424242423999</v>
      </c>
      <c r="V136">
        <v>0.75757575757575002</v>
      </c>
      <c r="W136">
        <v>0.24242424242423999</v>
      </c>
      <c r="X136">
        <v>0.75757575757575002</v>
      </c>
      <c r="Y136">
        <v>0.44444444444443998</v>
      </c>
      <c r="Z136">
        <v>0.55555555555555003</v>
      </c>
      <c r="AA136">
        <v>-0.24242424242423999</v>
      </c>
      <c r="AB136">
        <v>0.24242424242424901</v>
      </c>
      <c r="AC136">
        <v>1</v>
      </c>
    </row>
    <row r="137" spans="1:29" x14ac:dyDescent="0.35">
      <c r="A137">
        <v>442</v>
      </c>
      <c r="B137">
        <v>442</v>
      </c>
      <c r="C137">
        <v>52</v>
      </c>
      <c r="D137">
        <v>27</v>
      </c>
      <c r="E137">
        <v>43</v>
      </c>
      <c r="F137">
        <v>1</v>
      </c>
      <c r="G137">
        <v>1.3</v>
      </c>
      <c r="H137">
        <v>2</v>
      </c>
      <c r="I137">
        <v>0</v>
      </c>
      <c r="J137">
        <v>1</v>
      </c>
      <c r="K137">
        <v>0</v>
      </c>
      <c r="L137">
        <v>93555</v>
      </c>
      <c r="M137">
        <v>0</v>
      </c>
      <c r="N137">
        <v>1</v>
      </c>
      <c r="O137">
        <v>0</v>
      </c>
      <c r="Q137">
        <v>0</v>
      </c>
      <c r="R137">
        <v>0</v>
      </c>
      <c r="S137">
        <v>0</v>
      </c>
      <c r="T137">
        <v>5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</row>
    <row r="138" spans="1:29" x14ac:dyDescent="0.35">
      <c r="A138">
        <v>445</v>
      </c>
      <c r="B138">
        <v>445</v>
      </c>
      <c r="C138">
        <v>64</v>
      </c>
      <c r="D138">
        <v>40</v>
      </c>
      <c r="E138">
        <v>91</v>
      </c>
      <c r="F138">
        <v>2</v>
      </c>
      <c r="G138">
        <v>0</v>
      </c>
      <c r="H138">
        <v>3</v>
      </c>
      <c r="I138">
        <v>0</v>
      </c>
      <c r="J138">
        <v>1</v>
      </c>
      <c r="K138">
        <v>1</v>
      </c>
      <c r="L138">
        <v>93106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5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</row>
    <row r="139" spans="1:29" x14ac:dyDescent="0.35">
      <c r="A139">
        <v>451</v>
      </c>
      <c r="B139">
        <v>451</v>
      </c>
      <c r="C139">
        <v>51</v>
      </c>
      <c r="D139">
        <v>25</v>
      </c>
      <c r="E139">
        <v>69</v>
      </c>
      <c r="F139">
        <v>1</v>
      </c>
      <c r="G139">
        <v>0.3</v>
      </c>
      <c r="H139">
        <v>1</v>
      </c>
      <c r="I139">
        <v>0</v>
      </c>
      <c r="J139">
        <v>1</v>
      </c>
      <c r="K139">
        <v>1</v>
      </c>
      <c r="L139">
        <v>95747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5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</row>
    <row r="140" spans="1:29" x14ac:dyDescent="0.35">
      <c r="A140">
        <v>457</v>
      </c>
      <c r="B140">
        <v>457</v>
      </c>
      <c r="C140">
        <v>64</v>
      </c>
      <c r="D140">
        <v>39</v>
      </c>
      <c r="E140">
        <v>42</v>
      </c>
      <c r="F140">
        <v>3</v>
      </c>
      <c r="G140">
        <v>0.5</v>
      </c>
      <c r="H140">
        <v>2</v>
      </c>
      <c r="I140">
        <v>116</v>
      </c>
      <c r="J140">
        <v>1</v>
      </c>
      <c r="K140">
        <v>0</v>
      </c>
      <c r="L140">
        <v>92068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5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</row>
    <row r="141" spans="1:29" x14ac:dyDescent="0.35">
      <c r="A141">
        <v>459</v>
      </c>
      <c r="B141">
        <v>459</v>
      </c>
      <c r="C141">
        <v>48</v>
      </c>
      <c r="D141">
        <v>24</v>
      </c>
      <c r="E141">
        <v>20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95841</v>
      </c>
      <c r="M141">
        <v>0</v>
      </c>
      <c r="N141">
        <v>0</v>
      </c>
      <c r="O141">
        <v>0</v>
      </c>
      <c r="Q141">
        <v>1</v>
      </c>
      <c r="R141">
        <v>0</v>
      </c>
      <c r="S141">
        <v>0</v>
      </c>
      <c r="T141">
        <v>5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</row>
    <row r="142" spans="1:29" x14ac:dyDescent="0.35">
      <c r="A142">
        <v>461</v>
      </c>
      <c r="B142">
        <v>461</v>
      </c>
      <c r="C142">
        <v>60</v>
      </c>
      <c r="D142">
        <v>36</v>
      </c>
      <c r="E142">
        <v>141</v>
      </c>
      <c r="F142">
        <v>2</v>
      </c>
      <c r="G142">
        <v>2.1</v>
      </c>
      <c r="H142">
        <v>1</v>
      </c>
      <c r="I142">
        <v>0</v>
      </c>
      <c r="J142">
        <v>1</v>
      </c>
      <c r="K142">
        <v>1</v>
      </c>
      <c r="L142">
        <v>90277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0</v>
      </c>
      <c r="T142">
        <v>22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</row>
    <row r="143" spans="1:29" x14ac:dyDescent="0.35">
      <c r="A143">
        <v>466</v>
      </c>
      <c r="B143">
        <v>466</v>
      </c>
      <c r="C143">
        <v>66</v>
      </c>
      <c r="D143">
        <v>42</v>
      </c>
      <c r="E143">
        <v>35</v>
      </c>
      <c r="F143">
        <v>1</v>
      </c>
      <c r="G143">
        <v>1.9</v>
      </c>
      <c r="H143">
        <v>2</v>
      </c>
      <c r="I143">
        <v>172</v>
      </c>
      <c r="J143">
        <v>1</v>
      </c>
      <c r="K143">
        <v>0</v>
      </c>
      <c r="L143">
        <v>94305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5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</row>
    <row r="144" spans="1:29" x14ac:dyDescent="0.35">
      <c r="A144">
        <v>468</v>
      </c>
      <c r="B144">
        <v>468</v>
      </c>
      <c r="C144">
        <v>45</v>
      </c>
      <c r="D144">
        <v>20</v>
      </c>
      <c r="E144">
        <v>39</v>
      </c>
      <c r="F144">
        <v>1</v>
      </c>
      <c r="G144">
        <v>2.4</v>
      </c>
      <c r="H144">
        <v>1</v>
      </c>
      <c r="I144">
        <v>0</v>
      </c>
      <c r="J144">
        <v>0</v>
      </c>
      <c r="K144">
        <v>1</v>
      </c>
      <c r="L144">
        <v>90232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5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</row>
    <row r="145" spans="1:29" x14ac:dyDescent="0.35">
      <c r="A145">
        <v>469</v>
      </c>
      <c r="B145">
        <v>469</v>
      </c>
      <c r="C145">
        <v>34</v>
      </c>
      <c r="D145">
        <v>10</v>
      </c>
      <c r="E145">
        <v>21</v>
      </c>
      <c r="F145">
        <v>1</v>
      </c>
      <c r="G145">
        <v>0.5</v>
      </c>
      <c r="H145">
        <v>3</v>
      </c>
      <c r="I145">
        <v>0</v>
      </c>
      <c r="J145">
        <v>1</v>
      </c>
      <c r="K145">
        <v>0</v>
      </c>
      <c r="L145">
        <v>92634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5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</row>
    <row r="146" spans="1:29" x14ac:dyDescent="0.35">
      <c r="A146">
        <v>470</v>
      </c>
      <c r="B146">
        <v>470</v>
      </c>
      <c r="C146">
        <v>48</v>
      </c>
      <c r="D146">
        <v>23</v>
      </c>
      <c r="E146">
        <v>10</v>
      </c>
      <c r="F146">
        <v>2</v>
      </c>
      <c r="G146">
        <v>0.7</v>
      </c>
      <c r="H146">
        <v>3</v>
      </c>
      <c r="I146">
        <v>0</v>
      </c>
      <c r="J146">
        <v>1</v>
      </c>
      <c r="K146">
        <v>1</v>
      </c>
      <c r="L146">
        <v>94609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5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</row>
    <row r="147" spans="1:29" x14ac:dyDescent="0.35">
      <c r="A147">
        <v>475</v>
      </c>
      <c r="B147">
        <v>475</v>
      </c>
      <c r="C147">
        <v>60</v>
      </c>
      <c r="D147">
        <v>34</v>
      </c>
      <c r="E147">
        <v>114</v>
      </c>
      <c r="F147">
        <v>2</v>
      </c>
      <c r="G147">
        <v>6.9</v>
      </c>
      <c r="H147">
        <v>1</v>
      </c>
      <c r="I147">
        <v>0</v>
      </c>
      <c r="J147">
        <v>1</v>
      </c>
      <c r="K147">
        <v>0</v>
      </c>
      <c r="L147">
        <v>90028</v>
      </c>
      <c r="M147">
        <v>0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22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</row>
    <row r="148" spans="1:29" x14ac:dyDescent="0.35">
      <c r="A148">
        <v>478</v>
      </c>
      <c r="B148">
        <v>478</v>
      </c>
      <c r="C148">
        <v>64</v>
      </c>
      <c r="D148">
        <v>39</v>
      </c>
      <c r="E148">
        <v>24</v>
      </c>
      <c r="F148">
        <v>4</v>
      </c>
      <c r="G148">
        <v>0.4</v>
      </c>
      <c r="H148">
        <v>2</v>
      </c>
      <c r="I148">
        <v>78</v>
      </c>
      <c r="J148">
        <v>1</v>
      </c>
      <c r="K148">
        <v>0</v>
      </c>
      <c r="L148">
        <v>95112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5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</row>
    <row r="149" spans="1:29" x14ac:dyDescent="0.35">
      <c r="A149">
        <v>480</v>
      </c>
      <c r="B149">
        <v>480</v>
      </c>
      <c r="C149">
        <v>60</v>
      </c>
      <c r="D149">
        <v>36</v>
      </c>
      <c r="E149">
        <v>132</v>
      </c>
      <c r="F149">
        <v>2</v>
      </c>
      <c r="G149">
        <v>6</v>
      </c>
      <c r="H149">
        <v>1</v>
      </c>
      <c r="I149">
        <v>470</v>
      </c>
      <c r="J149">
        <v>1</v>
      </c>
      <c r="K149">
        <v>1</v>
      </c>
      <c r="L149">
        <v>92154</v>
      </c>
      <c r="M149">
        <v>0</v>
      </c>
      <c r="N149">
        <v>0</v>
      </c>
      <c r="O149">
        <v>0</v>
      </c>
      <c r="Q149">
        <v>1</v>
      </c>
      <c r="R149">
        <v>0</v>
      </c>
      <c r="S149">
        <v>0</v>
      </c>
      <c r="T149">
        <v>22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</row>
    <row r="150" spans="1:29" x14ac:dyDescent="0.35">
      <c r="A150">
        <v>483</v>
      </c>
      <c r="B150">
        <v>483</v>
      </c>
      <c r="C150">
        <v>56</v>
      </c>
      <c r="D150">
        <v>32</v>
      </c>
      <c r="E150">
        <v>173</v>
      </c>
      <c r="F150">
        <v>1</v>
      </c>
      <c r="G150">
        <v>4.5999999999999996</v>
      </c>
      <c r="H150">
        <v>2</v>
      </c>
      <c r="I150">
        <v>88</v>
      </c>
      <c r="J150">
        <v>1</v>
      </c>
      <c r="K150">
        <v>0</v>
      </c>
      <c r="L150">
        <v>94022</v>
      </c>
      <c r="M150">
        <v>1</v>
      </c>
      <c r="N150">
        <v>0</v>
      </c>
      <c r="O150">
        <v>1</v>
      </c>
      <c r="Q150">
        <v>0</v>
      </c>
      <c r="R150">
        <v>1</v>
      </c>
      <c r="S150">
        <v>1</v>
      </c>
      <c r="T150">
        <v>10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1</v>
      </c>
    </row>
    <row r="151" spans="1:29" x14ac:dyDescent="0.35">
      <c r="A151">
        <v>486</v>
      </c>
      <c r="B151">
        <v>486</v>
      </c>
      <c r="C151">
        <v>60</v>
      </c>
      <c r="D151">
        <v>34</v>
      </c>
      <c r="E151">
        <v>15</v>
      </c>
      <c r="F151">
        <v>1</v>
      </c>
      <c r="G151">
        <v>0.8</v>
      </c>
      <c r="H151">
        <v>2</v>
      </c>
      <c r="I151">
        <v>0</v>
      </c>
      <c r="J151">
        <v>1</v>
      </c>
      <c r="K151">
        <v>0</v>
      </c>
      <c r="L151">
        <v>95014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5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</row>
    <row r="152" spans="1:29" x14ac:dyDescent="0.35">
      <c r="A152">
        <v>489</v>
      </c>
      <c r="B152">
        <v>489</v>
      </c>
      <c r="C152">
        <v>37</v>
      </c>
      <c r="D152">
        <v>13</v>
      </c>
      <c r="E152">
        <v>43</v>
      </c>
      <c r="F152">
        <v>3</v>
      </c>
      <c r="G152">
        <v>2.8</v>
      </c>
      <c r="H152">
        <v>1</v>
      </c>
      <c r="I152">
        <v>0</v>
      </c>
      <c r="J152">
        <v>1</v>
      </c>
      <c r="K152">
        <v>0</v>
      </c>
      <c r="L152">
        <v>94122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5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</row>
    <row r="153" spans="1:29" x14ac:dyDescent="0.35">
      <c r="A153">
        <v>492</v>
      </c>
      <c r="B153">
        <v>492</v>
      </c>
      <c r="C153">
        <v>42</v>
      </c>
      <c r="D153">
        <v>18</v>
      </c>
      <c r="E153">
        <v>34</v>
      </c>
      <c r="F153">
        <v>4</v>
      </c>
      <c r="G153">
        <v>0.3</v>
      </c>
      <c r="H153">
        <v>1</v>
      </c>
      <c r="I153">
        <v>104</v>
      </c>
      <c r="J153">
        <v>1</v>
      </c>
      <c r="K153">
        <v>0</v>
      </c>
      <c r="L153">
        <v>92115</v>
      </c>
      <c r="M153">
        <v>0</v>
      </c>
      <c r="N153">
        <v>1</v>
      </c>
      <c r="O153">
        <v>0</v>
      </c>
      <c r="Q153">
        <v>1</v>
      </c>
      <c r="R153">
        <v>0</v>
      </c>
      <c r="S153">
        <v>0</v>
      </c>
      <c r="T153">
        <v>5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</row>
    <row r="154" spans="1:29" x14ac:dyDescent="0.35">
      <c r="A154">
        <v>493</v>
      </c>
      <c r="B154">
        <v>493</v>
      </c>
      <c r="C154">
        <v>60</v>
      </c>
      <c r="D154">
        <v>36</v>
      </c>
      <c r="E154">
        <v>38</v>
      </c>
      <c r="F154">
        <v>4</v>
      </c>
      <c r="G154">
        <v>1.3</v>
      </c>
      <c r="H154">
        <v>1</v>
      </c>
      <c r="I154">
        <v>0</v>
      </c>
      <c r="J154">
        <v>1</v>
      </c>
      <c r="K154">
        <v>0</v>
      </c>
      <c r="L154">
        <v>94596</v>
      </c>
      <c r="M154">
        <v>0</v>
      </c>
      <c r="N154">
        <v>0</v>
      </c>
      <c r="O154">
        <v>0</v>
      </c>
      <c r="Q154">
        <v>1</v>
      </c>
      <c r="R154">
        <v>0</v>
      </c>
      <c r="S154">
        <v>0</v>
      </c>
      <c r="T154">
        <v>5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</row>
    <row r="155" spans="1:29" x14ac:dyDescent="0.35">
      <c r="A155">
        <v>494</v>
      </c>
      <c r="B155">
        <v>494</v>
      </c>
      <c r="C155">
        <v>50</v>
      </c>
      <c r="D155">
        <v>24</v>
      </c>
      <c r="E155">
        <v>173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94720</v>
      </c>
      <c r="M155">
        <v>0</v>
      </c>
      <c r="N155">
        <v>0</v>
      </c>
      <c r="O155">
        <v>0</v>
      </c>
      <c r="Q155">
        <v>1</v>
      </c>
      <c r="R155">
        <v>0</v>
      </c>
      <c r="S155">
        <v>0</v>
      </c>
      <c r="T155">
        <v>22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</row>
    <row r="156" spans="1:29" x14ac:dyDescent="0.35">
      <c r="A156">
        <v>500</v>
      </c>
      <c r="B156">
        <v>500</v>
      </c>
      <c r="C156">
        <v>50</v>
      </c>
      <c r="D156">
        <v>25</v>
      </c>
      <c r="E156">
        <v>42</v>
      </c>
      <c r="F156">
        <v>3</v>
      </c>
      <c r="G156">
        <v>1.7</v>
      </c>
      <c r="H156">
        <v>2</v>
      </c>
      <c r="I156">
        <v>0</v>
      </c>
      <c r="J156">
        <v>1</v>
      </c>
      <c r="K156">
        <v>0</v>
      </c>
      <c r="L156">
        <v>93108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5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</row>
    <row r="157" spans="1:29" x14ac:dyDescent="0.35">
      <c r="A157">
        <v>501</v>
      </c>
      <c r="B157">
        <v>501</v>
      </c>
      <c r="C157">
        <v>59</v>
      </c>
      <c r="D157">
        <v>33</v>
      </c>
      <c r="E157">
        <v>34</v>
      </c>
      <c r="F157">
        <v>2</v>
      </c>
      <c r="G157">
        <v>0.3</v>
      </c>
      <c r="H157">
        <v>1</v>
      </c>
      <c r="I157">
        <v>0</v>
      </c>
      <c r="J157">
        <v>0</v>
      </c>
      <c r="K157">
        <v>0</v>
      </c>
      <c r="L157">
        <v>92177</v>
      </c>
      <c r="M157">
        <v>0</v>
      </c>
      <c r="N157">
        <v>0</v>
      </c>
      <c r="O157">
        <v>0</v>
      </c>
      <c r="Q157">
        <v>1</v>
      </c>
      <c r="R157">
        <v>0</v>
      </c>
      <c r="S157">
        <v>0</v>
      </c>
      <c r="T157">
        <v>5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</row>
    <row r="158" spans="1:29" x14ac:dyDescent="0.35">
      <c r="A158">
        <v>502</v>
      </c>
      <c r="B158">
        <v>502</v>
      </c>
      <c r="C158">
        <v>50</v>
      </c>
      <c r="D158">
        <v>26</v>
      </c>
      <c r="E158">
        <v>39</v>
      </c>
      <c r="F158">
        <v>3</v>
      </c>
      <c r="G158">
        <v>1.9</v>
      </c>
      <c r="H158">
        <v>2</v>
      </c>
      <c r="I158">
        <v>0</v>
      </c>
      <c r="J158">
        <v>1</v>
      </c>
      <c r="K158">
        <v>0</v>
      </c>
      <c r="L158">
        <v>90640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5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</row>
    <row r="159" spans="1:29" x14ac:dyDescent="0.35">
      <c r="A159">
        <v>506</v>
      </c>
      <c r="B159">
        <v>506</v>
      </c>
      <c r="C159">
        <v>36</v>
      </c>
      <c r="D159">
        <v>12</v>
      </c>
      <c r="E159">
        <v>69</v>
      </c>
      <c r="F159">
        <v>3</v>
      </c>
      <c r="G159">
        <v>3.1</v>
      </c>
      <c r="H159">
        <v>2</v>
      </c>
      <c r="I159">
        <v>0</v>
      </c>
      <c r="J159">
        <v>1</v>
      </c>
      <c r="K159">
        <v>0</v>
      </c>
      <c r="L159">
        <v>94305</v>
      </c>
      <c r="M159">
        <v>1</v>
      </c>
      <c r="N159">
        <v>0</v>
      </c>
      <c r="O159">
        <v>0</v>
      </c>
      <c r="Q159">
        <v>0</v>
      </c>
      <c r="R159">
        <v>1</v>
      </c>
      <c r="S159">
        <v>0</v>
      </c>
      <c r="T159">
        <v>15</v>
      </c>
      <c r="U159">
        <v>0.91935483870967005</v>
      </c>
      <c r="V159">
        <v>8.0645161290319997E-2</v>
      </c>
      <c r="W159">
        <v>0.91935483870967005</v>
      </c>
      <c r="X159">
        <v>8.0645161290319997E-2</v>
      </c>
      <c r="Y159">
        <v>0.86</v>
      </c>
      <c r="Z159">
        <v>0.14000000000000001</v>
      </c>
      <c r="AA159">
        <v>-0.91935483870967005</v>
      </c>
      <c r="AB159">
        <v>0.91935483870968004</v>
      </c>
      <c r="AC159">
        <v>0</v>
      </c>
    </row>
    <row r="160" spans="1:29" x14ac:dyDescent="0.35">
      <c r="A160">
        <v>508</v>
      </c>
      <c r="B160">
        <v>508</v>
      </c>
      <c r="C160">
        <v>64</v>
      </c>
      <c r="D160">
        <v>40</v>
      </c>
      <c r="E160">
        <v>32</v>
      </c>
      <c r="F160">
        <v>3</v>
      </c>
      <c r="G160">
        <v>0.1</v>
      </c>
      <c r="H160">
        <v>3</v>
      </c>
      <c r="I160">
        <v>0</v>
      </c>
      <c r="J160">
        <v>1</v>
      </c>
      <c r="K160">
        <v>0</v>
      </c>
      <c r="L160">
        <v>91380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5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</row>
    <row r="161" spans="1:29" x14ac:dyDescent="0.35">
      <c r="A161">
        <v>509</v>
      </c>
      <c r="B161">
        <v>509</v>
      </c>
      <c r="C161">
        <v>47</v>
      </c>
      <c r="D161">
        <v>22</v>
      </c>
      <c r="E161">
        <v>15</v>
      </c>
      <c r="F161">
        <v>2</v>
      </c>
      <c r="G161">
        <v>0.7</v>
      </c>
      <c r="H161">
        <v>3</v>
      </c>
      <c r="I161">
        <v>0</v>
      </c>
      <c r="J161">
        <v>0</v>
      </c>
      <c r="K161">
        <v>0</v>
      </c>
      <c r="L161">
        <v>95521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5</v>
      </c>
      <c r="U161">
        <v>1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</row>
    <row r="162" spans="1:29" x14ac:dyDescent="0.35">
      <c r="A162">
        <v>514</v>
      </c>
      <c r="B162">
        <v>514</v>
      </c>
      <c r="C162">
        <v>30</v>
      </c>
      <c r="D162">
        <v>6</v>
      </c>
      <c r="E162">
        <v>48</v>
      </c>
      <c r="F162">
        <v>1</v>
      </c>
      <c r="G162">
        <v>2.1</v>
      </c>
      <c r="H162">
        <v>3</v>
      </c>
      <c r="I162">
        <v>0</v>
      </c>
      <c r="J162">
        <v>0</v>
      </c>
      <c r="K162">
        <v>0</v>
      </c>
      <c r="L162">
        <v>94607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5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</row>
    <row r="163" spans="1:29" x14ac:dyDescent="0.35">
      <c r="A163">
        <v>517</v>
      </c>
      <c r="B163">
        <v>517</v>
      </c>
      <c r="C163">
        <v>53</v>
      </c>
      <c r="D163">
        <v>27</v>
      </c>
      <c r="E163">
        <v>81</v>
      </c>
      <c r="F163">
        <v>3</v>
      </c>
      <c r="G163">
        <v>1.7</v>
      </c>
      <c r="H163">
        <v>2</v>
      </c>
      <c r="I163">
        <v>0</v>
      </c>
      <c r="J163">
        <v>0</v>
      </c>
      <c r="K163">
        <v>0</v>
      </c>
      <c r="L163">
        <v>90009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5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</row>
    <row r="164" spans="1:29" x14ac:dyDescent="0.35">
      <c r="A164">
        <v>521</v>
      </c>
      <c r="B164">
        <v>521</v>
      </c>
      <c r="C164">
        <v>61</v>
      </c>
      <c r="D164">
        <v>37</v>
      </c>
      <c r="E164">
        <v>54</v>
      </c>
      <c r="F164">
        <v>4</v>
      </c>
      <c r="G164">
        <v>1.2</v>
      </c>
      <c r="H164">
        <v>2</v>
      </c>
      <c r="I164">
        <v>129</v>
      </c>
      <c r="J164">
        <v>1</v>
      </c>
      <c r="K164">
        <v>1</v>
      </c>
      <c r="L164">
        <v>90024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5</v>
      </c>
      <c r="U164">
        <v>1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</row>
    <row r="165" spans="1:29" x14ac:dyDescent="0.35">
      <c r="A165">
        <v>522</v>
      </c>
      <c r="B165">
        <v>522</v>
      </c>
      <c r="C165">
        <v>48</v>
      </c>
      <c r="D165">
        <v>24</v>
      </c>
      <c r="E165">
        <v>75</v>
      </c>
      <c r="F165">
        <v>4</v>
      </c>
      <c r="G165">
        <v>1.4</v>
      </c>
      <c r="H165">
        <v>2</v>
      </c>
      <c r="I165">
        <v>0</v>
      </c>
      <c r="J165">
        <v>1</v>
      </c>
      <c r="K165">
        <v>0</v>
      </c>
      <c r="L165">
        <v>92518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5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</row>
    <row r="166" spans="1:29" x14ac:dyDescent="0.35">
      <c r="A166">
        <v>524</v>
      </c>
      <c r="B166">
        <v>524</v>
      </c>
      <c r="C166">
        <v>56</v>
      </c>
      <c r="D166">
        <v>31</v>
      </c>
      <c r="E166">
        <v>39</v>
      </c>
      <c r="F166">
        <v>4</v>
      </c>
      <c r="G166">
        <v>0.9</v>
      </c>
      <c r="H166">
        <v>1</v>
      </c>
      <c r="I166">
        <v>0</v>
      </c>
      <c r="J166">
        <v>0</v>
      </c>
      <c r="K166">
        <v>0</v>
      </c>
      <c r="L166">
        <v>93023</v>
      </c>
      <c r="M166">
        <v>0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5</v>
      </c>
      <c r="U166">
        <v>1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</row>
    <row r="167" spans="1:29" x14ac:dyDescent="0.35">
      <c r="A167">
        <v>532</v>
      </c>
      <c r="B167">
        <v>532</v>
      </c>
      <c r="C167">
        <v>32</v>
      </c>
      <c r="D167">
        <v>6</v>
      </c>
      <c r="E167">
        <v>50</v>
      </c>
      <c r="F167">
        <v>4</v>
      </c>
      <c r="G167">
        <v>2.1</v>
      </c>
      <c r="H167">
        <v>3</v>
      </c>
      <c r="I167">
        <v>0</v>
      </c>
      <c r="J167">
        <v>1</v>
      </c>
      <c r="K167">
        <v>1</v>
      </c>
      <c r="L167">
        <v>90401</v>
      </c>
      <c r="M167">
        <v>0</v>
      </c>
      <c r="N167">
        <v>1</v>
      </c>
      <c r="O167">
        <v>1</v>
      </c>
      <c r="Q167">
        <v>0</v>
      </c>
      <c r="R167">
        <v>0</v>
      </c>
      <c r="S167">
        <v>0</v>
      </c>
      <c r="T167">
        <v>5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</row>
    <row r="168" spans="1:29" x14ac:dyDescent="0.35">
      <c r="A168">
        <v>536</v>
      </c>
      <c r="B168">
        <v>536</v>
      </c>
      <c r="C168">
        <v>51</v>
      </c>
      <c r="D168">
        <v>25</v>
      </c>
      <c r="E168">
        <v>132</v>
      </c>
      <c r="F168">
        <v>1</v>
      </c>
      <c r="G168">
        <v>0.3</v>
      </c>
      <c r="H168">
        <v>1</v>
      </c>
      <c r="I168">
        <v>0</v>
      </c>
      <c r="J168">
        <v>1</v>
      </c>
      <c r="K168">
        <v>0</v>
      </c>
      <c r="L168">
        <v>94143</v>
      </c>
      <c r="M168">
        <v>0</v>
      </c>
      <c r="N168">
        <v>0</v>
      </c>
      <c r="O168">
        <v>0</v>
      </c>
      <c r="Q168">
        <v>1</v>
      </c>
      <c r="R168">
        <v>0</v>
      </c>
      <c r="S168">
        <v>0</v>
      </c>
      <c r="T168">
        <v>22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</row>
    <row r="169" spans="1:29" x14ac:dyDescent="0.35">
      <c r="A169">
        <v>538</v>
      </c>
      <c r="B169">
        <v>538</v>
      </c>
      <c r="C169">
        <v>44</v>
      </c>
      <c r="D169">
        <v>20</v>
      </c>
      <c r="E169">
        <v>131</v>
      </c>
      <c r="F169">
        <v>1</v>
      </c>
      <c r="G169">
        <v>4.9000000000000004</v>
      </c>
      <c r="H169">
        <v>3</v>
      </c>
      <c r="I169">
        <v>0</v>
      </c>
      <c r="J169">
        <v>1</v>
      </c>
      <c r="K169">
        <v>0</v>
      </c>
      <c r="L169">
        <v>90717</v>
      </c>
      <c r="M169">
        <v>1</v>
      </c>
      <c r="N169">
        <v>0</v>
      </c>
      <c r="O169">
        <v>0</v>
      </c>
      <c r="Q169">
        <v>0</v>
      </c>
      <c r="R169">
        <v>1</v>
      </c>
      <c r="S169">
        <v>1</v>
      </c>
      <c r="T169">
        <v>10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1</v>
      </c>
      <c r="AA169">
        <v>0</v>
      </c>
      <c r="AB169">
        <v>0</v>
      </c>
      <c r="AC169">
        <v>1</v>
      </c>
    </row>
    <row r="170" spans="1:29" x14ac:dyDescent="0.35">
      <c r="A170">
        <v>539</v>
      </c>
      <c r="B170">
        <v>539</v>
      </c>
      <c r="C170">
        <v>31</v>
      </c>
      <c r="D170">
        <v>5</v>
      </c>
      <c r="E170">
        <v>11</v>
      </c>
      <c r="F170">
        <v>1</v>
      </c>
      <c r="G170">
        <v>0.4</v>
      </c>
      <c r="H170">
        <v>2</v>
      </c>
      <c r="I170">
        <v>76</v>
      </c>
      <c r="J170">
        <v>0</v>
      </c>
      <c r="K170">
        <v>1</v>
      </c>
      <c r="L170">
        <v>94534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5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</row>
    <row r="171" spans="1:29" x14ac:dyDescent="0.35">
      <c r="A171">
        <v>542</v>
      </c>
      <c r="B171">
        <v>542</v>
      </c>
      <c r="C171">
        <v>30</v>
      </c>
      <c r="D171">
        <v>6</v>
      </c>
      <c r="E171">
        <v>141</v>
      </c>
      <c r="F171">
        <v>2</v>
      </c>
      <c r="G171">
        <v>4.33</v>
      </c>
      <c r="H171">
        <v>1</v>
      </c>
      <c r="I171">
        <v>0</v>
      </c>
      <c r="J171">
        <v>0</v>
      </c>
      <c r="K171">
        <v>0</v>
      </c>
      <c r="L171">
        <v>95014</v>
      </c>
      <c r="M171">
        <v>0</v>
      </c>
      <c r="N171">
        <v>0</v>
      </c>
      <c r="O171">
        <v>0</v>
      </c>
      <c r="Q171">
        <v>1</v>
      </c>
      <c r="R171">
        <v>0</v>
      </c>
      <c r="S171">
        <v>0</v>
      </c>
      <c r="T171">
        <v>22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</row>
    <row r="172" spans="1:29" x14ac:dyDescent="0.35">
      <c r="A172">
        <v>543</v>
      </c>
      <c r="B172">
        <v>543</v>
      </c>
      <c r="C172">
        <v>40</v>
      </c>
      <c r="D172">
        <v>14</v>
      </c>
      <c r="E172">
        <v>81</v>
      </c>
      <c r="F172">
        <v>3</v>
      </c>
      <c r="G172">
        <v>0.1</v>
      </c>
      <c r="H172">
        <v>1</v>
      </c>
      <c r="I172">
        <v>0</v>
      </c>
      <c r="J172">
        <v>1</v>
      </c>
      <c r="K172">
        <v>0</v>
      </c>
      <c r="L172">
        <v>94709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5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</row>
    <row r="173" spans="1:29" x14ac:dyDescent="0.35">
      <c r="A173">
        <v>547</v>
      </c>
      <c r="B173">
        <v>547</v>
      </c>
      <c r="C173">
        <v>27</v>
      </c>
      <c r="D173">
        <v>2</v>
      </c>
      <c r="E173">
        <v>68</v>
      </c>
      <c r="F173">
        <v>3</v>
      </c>
      <c r="G173">
        <v>2.6</v>
      </c>
      <c r="H173">
        <v>3</v>
      </c>
      <c r="I173">
        <v>203</v>
      </c>
      <c r="J173">
        <v>0</v>
      </c>
      <c r="K173">
        <v>0</v>
      </c>
      <c r="L173">
        <v>94025</v>
      </c>
      <c r="M173">
        <v>0</v>
      </c>
      <c r="N173">
        <v>1</v>
      </c>
      <c r="O173">
        <v>0</v>
      </c>
      <c r="Q173">
        <v>0</v>
      </c>
      <c r="R173">
        <v>0</v>
      </c>
      <c r="S173">
        <v>0</v>
      </c>
      <c r="T173">
        <v>5</v>
      </c>
      <c r="U173">
        <v>1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</row>
    <row r="174" spans="1:29" x14ac:dyDescent="0.35">
      <c r="A174">
        <v>551</v>
      </c>
      <c r="B174">
        <v>551</v>
      </c>
      <c r="C174">
        <v>60</v>
      </c>
      <c r="D174">
        <v>34</v>
      </c>
      <c r="E174">
        <v>54</v>
      </c>
      <c r="F174">
        <v>3</v>
      </c>
      <c r="G174">
        <v>0.3</v>
      </c>
      <c r="H174">
        <v>2</v>
      </c>
      <c r="I174">
        <v>0</v>
      </c>
      <c r="J174">
        <v>1</v>
      </c>
      <c r="K174">
        <v>1</v>
      </c>
      <c r="L174">
        <v>94301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5</v>
      </c>
      <c r="U174">
        <v>1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</row>
    <row r="175" spans="1:29" x14ac:dyDescent="0.35">
      <c r="A175">
        <v>554</v>
      </c>
      <c r="B175">
        <v>554</v>
      </c>
      <c r="C175">
        <v>52</v>
      </c>
      <c r="D175">
        <v>28</v>
      </c>
      <c r="E175">
        <v>101</v>
      </c>
      <c r="F175">
        <v>2</v>
      </c>
      <c r="G175">
        <v>0.3</v>
      </c>
      <c r="H175">
        <v>1</v>
      </c>
      <c r="I175">
        <v>0</v>
      </c>
      <c r="J175">
        <v>0</v>
      </c>
      <c r="K175">
        <v>0</v>
      </c>
      <c r="L175">
        <v>91330</v>
      </c>
      <c r="M175">
        <v>0</v>
      </c>
      <c r="N175">
        <v>0</v>
      </c>
      <c r="O175">
        <v>0</v>
      </c>
      <c r="Q175">
        <v>1</v>
      </c>
      <c r="R175">
        <v>0</v>
      </c>
      <c r="S175">
        <v>0</v>
      </c>
      <c r="T175">
        <v>25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</row>
    <row r="176" spans="1:29" x14ac:dyDescent="0.35">
      <c r="A176">
        <v>556</v>
      </c>
      <c r="B176">
        <v>556</v>
      </c>
      <c r="C176">
        <v>34</v>
      </c>
      <c r="D176">
        <v>8</v>
      </c>
      <c r="E176">
        <v>35</v>
      </c>
      <c r="F176">
        <v>4</v>
      </c>
      <c r="G176">
        <v>0.8</v>
      </c>
      <c r="H176">
        <v>1</v>
      </c>
      <c r="I176">
        <v>137</v>
      </c>
      <c r="J176">
        <v>1</v>
      </c>
      <c r="K176">
        <v>1</v>
      </c>
      <c r="L176">
        <v>92037</v>
      </c>
      <c r="M176">
        <v>0</v>
      </c>
      <c r="N176">
        <v>0</v>
      </c>
      <c r="O176">
        <v>1</v>
      </c>
      <c r="Q176">
        <v>1</v>
      </c>
      <c r="R176">
        <v>0</v>
      </c>
      <c r="S176">
        <v>0</v>
      </c>
      <c r="T176">
        <v>5</v>
      </c>
      <c r="U176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</row>
    <row r="177" spans="1:29" x14ac:dyDescent="0.35">
      <c r="A177">
        <v>559</v>
      </c>
      <c r="B177">
        <v>559</v>
      </c>
      <c r="C177">
        <v>30</v>
      </c>
      <c r="D177">
        <v>5</v>
      </c>
      <c r="E177">
        <v>38</v>
      </c>
      <c r="F177">
        <v>4</v>
      </c>
      <c r="G177">
        <v>2</v>
      </c>
      <c r="H177">
        <v>2</v>
      </c>
      <c r="I177">
        <v>0</v>
      </c>
      <c r="J177">
        <v>0</v>
      </c>
      <c r="K177">
        <v>0</v>
      </c>
      <c r="L177">
        <v>95064</v>
      </c>
      <c r="M177">
        <v>0</v>
      </c>
      <c r="N177">
        <v>1</v>
      </c>
      <c r="O177">
        <v>0</v>
      </c>
      <c r="Q177">
        <v>0</v>
      </c>
      <c r="R177">
        <v>0</v>
      </c>
      <c r="S177">
        <v>0</v>
      </c>
      <c r="T177">
        <v>5</v>
      </c>
      <c r="U177">
        <v>1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</row>
    <row r="178" spans="1:29" x14ac:dyDescent="0.35">
      <c r="A178">
        <v>561</v>
      </c>
      <c r="B178">
        <v>561</v>
      </c>
      <c r="C178">
        <v>43</v>
      </c>
      <c r="D178">
        <v>18</v>
      </c>
      <c r="E178">
        <v>59</v>
      </c>
      <c r="F178">
        <v>1</v>
      </c>
      <c r="G178">
        <v>3.7</v>
      </c>
      <c r="H178">
        <v>3</v>
      </c>
      <c r="I178">
        <v>0</v>
      </c>
      <c r="J178">
        <v>1</v>
      </c>
      <c r="K178">
        <v>0</v>
      </c>
      <c r="L178">
        <v>93943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15</v>
      </c>
      <c r="U178">
        <v>0.91935483870967005</v>
      </c>
      <c r="V178">
        <v>8.0645161290319997E-2</v>
      </c>
      <c r="W178">
        <v>0.91935483870967005</v>
      </c>
      <c r="X178">
        <v>8.0645161290319997E-2</v>
      </c>
      <c r="Y178">
        <v>0.86</v>
      </c>
      <c r="Z178">
        <v>0.14000000000000001</v>
      </c>
      <c r="AA178">
        <v>8.0645161290329906E-2</v>
      </c>
      <c r="AB178">
        <v>-8.0645161290319997E-2</v>
      </c>
      <c r="AC178">
        <v>0</v>
      </c>
    </row>
    <row r="179" spans="1:29" x14ac:dyDescent="0.35">
      <c r="A179">
        <v>566</v>
      </c>
      <c r="B179">
        <v>566</v>
      </c>
      <c r="C179">
        <v>55</v>
      </c>
      <c r="D179">
        <v>29</v>
      </c>
      <c r="E179">
        <v>79</v>
      </c>
      <c r="F179">
        <v>3</v>
      </c>
      <c r="G179">
        <v>0.8</v>
      </c>
      <c r="H179">
        <v>1</v>
      </c>
      <c r="I179">
        <v>0</v>
      </c>
      <c r="J179">
        <v>1</v>
      </c>
      <c r="K179">
        <v>0</v>
      </c>
      <c r="L179">
        <v>90210</v>
      </c>
      <c r="M179">
        <v>0</v>
      </c>
      <c r="N179">
        <v>0</v>
      </c>
      <c r="O179">
        <v>0</v>
      </c>
      <c r="Q179">
        <v>1</v>
      </c>
      <c r="R179">
        <v>0</v>
      </c>
      <c r="S179">
        <v>0</v>
      </c>
      <c r="T179">
        <v>5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</row>
    <row r="180" spans="1:29" x14ac:dyDescent="0.35">
      <c r="A180">
        <v>573</v>
      </c>
      <c r="B180">
        <v>573</v>
      </c>
      <c r="C180">
        <v>39</v>
      </c>
      <c r="D180">
        <v>15</v>
      </c>
      <c r="E180">
        <v>128</v>
      </c>
      <c r="F180">
        <v>1</v>
      </c>
      <c r="G180">
        <v>3.4</v>
      </c>
      <c r="H180">
        <v>1</v>
      </c>
      <c r="I180">
        <v>0</v>
      </c>
      <c r="J180">
        <v>0</v>
      </c>
      <c r="K180">
        <v>0</v>
      </c>
      <c r="L180">
        <v>92333</v>
      </c>
      <c r="M180">
        <v>0</v>
      </c>
      <c r="N180">
        <v>0</v>
      </c>
      <c r="O180">
        <v>0</v>
      </c>
      <c r="Q180">
        <v>1</v>
      </c>
      <c r="R180">
        <v>0</v>
      </c>
      <c r="S180">
        <v>0</v>
      </c>
      <c r="T180">
        <v>22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</row>
    <row r="181" spans="1:29" x14ac:dyDescent="0.35">
      <c r="A181">
        <v>575</v>
      </c>
      <c r="B181">
        <v>575</v>
      </c>
      <c r="C181">
        <v>29</v>
      </c>
      <c r="D181">
        <v>5</v>
      </c>
      <c r="E181">
        <v>80</v>
      </c>
      <c r="F181">
        <v>2</v>
      </c>
      <c r="G181">
        <v>2</v>
      </c>
      <c r="H181">
        <v>2</v>
      </c>
      <c r="I181">
        <v>0</v>
      </c>
      <c r="J181">
        <v>1</v>
      </c>
      <c r="K181">
        <v>1</v>
      </c>
      <c r="L181">
        <v>94709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5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</row>
    <row r="182" spans="1:29" x14ac:dyDescent="0.35">
      <c r="A182">
        <v>577</v>
      </c>
      <c r="B182">
        <v>577</v>
      </c>
      <c r="C182">
        <v>25</v>
      </c>
      <c r="D182">
        <v>-1</v>
      </c>
      <c r="E182">
        <v>48</v>
      </c>
      <c r="F182">
        <v>3</v>
      </c>
      <c r="G182">
        <v>0.3</v>
      </c>
      <c r="H182">
        <v>3</v>
      </c>
      <c r="I182">
        <v>0</v>
      </c>
      <c r="J182">
        <v>0</v>
      </c>
      <c r="K182">
        <v>1</v>
      </c>
      <c r="L182">
        <v>92870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5</v>
      </c>
      <c r="U182">
        <v>1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</row>
    <row r="183" spans="1:29" x14ac:dyDescent="0.35">
      <c r="A183">
        <v>580</v>
      </c>
      <c r="B183">
        <v>580</v>
      </c>
      <c r="C183">
        <v>57</v>
      </c>
      <c r="D183">
        <v>33</v>
      </c>
      <c r="E183">
        <v>88</v>
      </c>
      <c r="F183">
        <v>1</v>
      </c>
      <c r="G183">
        <v>2.7</v>
      </c>
      <c r="H183">
        <v>2</v>
      </c>
      <c r="I183">
        <v>0</v>
      </c>
      <c r="J183">
        <v>1</v>
      </c>
      <c r="K183">
        <v>0</v>
      </c>
      <c r="L183">
        <v>93524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5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</row>
    <row r="184" spans="1:29" x14ac:dyDescent="0.35">
      <c r="A184">
        <v>582</v>
      </c>
      <c r="B184">
        <v>582</v>
      </c>
      <c r="C184">
        <v>28</v>
      </c>
      <c r="D184">
        <v>3</v>
      </c>
      <c r="E184">
        <v>55</v>
      </c>
      <c r="F184">
        <v>4</v>
      </c>
      <c r="G184">
        <v>2.2000000000000002</v>
      </c>
      <c r="H184">
        <v>1</v>
      </c>
      <c r="I184">
        <v>0</v>
      </c>
      <c r="J184">
        <v>1</v>
      </c>
      <c r="K184">
        <v>1</v>
      </c>
      <c r="L184">
        <v>94521</v>
      </c>
      <c r="M184">
        <v>0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5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</row>
    <row r="185" spans="1:29" x14ac:dyDescent="0.35">
      <c r="A185">
        <v>585</v>
      </c>
      <c r="B185">
        <v>585</v>
      </c>
      <c r="C185">
        <v>40</v>
      </c>
      <c r="D185">
        <v>16</v>
      </c>
      <c r="E185">
        <v>114</v>
      </c>
      <c r="F185">
        <v>1</v>
      </c>
      <c r="G185">
        <v>3.4</v>
      </c>
      <c r="H185">
        <v>1</v>
      </c>
      <c r="I185">
        <v>300</v>
      </c>
      <c r="J185">
        <v>1</v>
      </c>
      <c r="K185">
        <v>0</v>
      </c>
      <c r="L185">
        <v>91604</v>
      </c>
      <c r="M185">
        <v>0</v>
      </c>
      <c r="N185">
        <v>0</v>
      </c>
      <c r="O185">
        <v>0</v>
      </c>
      <c r="Q185">
        <v>1</v>
      </c>
      <c r="R185">
        <v>0</v>
      </c>
      <c r="S185">
        <v>0</v>
      </c>
      <c r="T185">
        <v>22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</row>
    <row r="186" spans="1:29" x14ac:dyDescent="0.35">
      <c r="A186">
        <v>586</v>
      </c>
      <c r="B186">
        <v>586</v>
      </c>
      <c r="C186">
        <v>34</v>
      </c>
      <c r="D186">
        <v>4</v>
      </c>
      <c r="E186">
        <v>83</v>
      </c>
      <c r="F186">
        <v>4</v>
      </c>
      <c r="G186">
        <v>4</v>
      </c>
      <c r="H186">
        <v>3</v>
      </c>
      <c r="I186">
        <v>0</v>
      </c>
      <c r="J186">
        <v>1</v>
      </c>
      <c r="K186">
        <v>0</v>
      </c>
      <c r="L186">
        <v>92653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15</v>
      </c>
      <c r="U186">
        <v>0.91935483870967005</v>
      </c>
      <c r="V186">
        <v>8.0645161290319997E-2</v>
      </c>
      <c r="W186">
        <v>0.91935483870967005</v>
      </c>
      <c r="X186">
        <v>8.0645161290319997E-2</v>
      </c>
      <c r="Y186">
        <v>0.86</v>
      </c>
      <c r="Z186">
        <v>0.14000000000000001</v>
      </c>
      <c r="AA186">
        <v>8.0645161290329906E-2</v>
      </c>
      <c r="AB186">
        <v>-8.0645161290319997E-2</v>
      </c>
      <c r="AC186">
        <v>0</v>
      </c>
    </row>
    <row r="187" spans="1:29" x14ac:dyDescent="0.35">
      <c r="A187">
        <v>587</v>
      </c>
      <c r="B187">
        <v>587</v>
      </c>
      <c r="C187">
        <v>39</v>
      </c>
      <c r="D187">
        <v>14</v>
      </c>
      <c r="E187">
        <v>101</v>
      </c>
      <c r="F187">
        <v>2</v>
      </c>
      <c r="G187">
        <v>0.4</v>
      </c>
      <c r="H187">
        <v>1</v>
      </c>
      <c r="I187">
        <v>0</v>
      </c>
      <c r="J187">
        <v>1</v>
      </c>
      <c r="K187">
        <v>1</v>
      </c>
      <c r="L187">
        <v>94305</v>
      </c>
      <c r="M187">
        <v>0</v>
      </c>
      <c r="N187">
        <v>0</v>
      </c>
      <c r="O187">
        <v>0</v>
      </c>
      <c r="Q187">
        <v>1</v>
      </c>
      <c r="R187">
        <v>0</v>
      </c>
      <c r="S187">
        <v>0</v>
      </c>
      <c r="T187">
        <v>25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</row>
    <row r="188" spans="1:29" x14ac:dyDescent="0.35">
      <c r="A188">
        <v>590</v>
      </c>
      <c r="B188">
        <v>590</v>
      </c>
      <c r="C188">
        <v>31</v>
      </c>
      <c r="D188">
        <v>7</v>
      </c>
      <c r="E188">
        <v>128</v>
      </c>
      <c r="F188">
        <v>1</v>
      </c>
      <c r="G188">
        <v>6</v>
      </c>
      <c r="H188">
        <v>1</v>
      </c>
      <c r="I188">
        <v>0</v>
      </c>
      <c r="J188">
        <v>0</v>
      </c>
      <c r="K188">
        <v>0</v>
      </c>
      <c r="L188">
        <v>92821</v>
      </c>
      <c r="M188">
        <v>0</v>
      </c>
      <c r="N188">
        <v>0</v>
      </c>
      <c r="O188">
        <v>0</v>
      </c>
      <c r="Q188">
        <v>1</v>
      </c>
      <c r="R188">
        <v>0</v>
      </c>
      <c r="S188">
        <v>0</v>
      </c>
      <c r="T188">
        <v>22</v>
      </c>
      <c r="U188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</row>
    <row r="189" spans="1:29" x14ac:dyDescent="0.35">
      <c r="A189">
        <v>593</v>
      </c>
      <c r="B189">
        <v>593</v>
      </c>
      <c r="C189">
        <v>44</v>
      </c>
      <c r="D189">
        <v>20</v>
      </c>
      <c r="E189">
        <v>79</v>
      </c>
      <c r="F189">
        <v>4</v>
      </c>
      <c r="G189">
        <v>2</v>
      </c>
      <c r="H189">
        <v>3</v>
      </c>
      <c r="I189">
        <v>0</v>
      </c>
      <c r="J189">
        <v>1</v>
      </c>
      <c r="K189">
        <v>1</v>
      </c>
      <c r="L189">
        <v>95051</v>
      </c>
      <c r="M189">
        <v>0</v>
      </c>
      <c r="N189">
        <v>1</v>
      </c>
      <c r="O189">
        <v>1</v>
      </c>
      <c r="Q189">
        <v>0</v>
      </c>
      <c r="R189">
        <v>0</v>
      </c>
      <c r="S189">
        <v>0</v>
      </c>
      <c r="T189">
        <v>5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</row>
    <row r="190" spans="1:29" x14ac:dyDescent="0.35">
      <c r="A190">
        <v>597</v>
      </c>
      <c r="B190">
        <v>597</v>
      </c>
      <c r="C190">
        <v>48</v>
      </c>
      <c r="D190">
        <v>22</v>
      </c>
      <c r="E190">
        <v>152</v>
      </c>
      <c r="F190">
        <v>1</v>
      </c>
      <c r="G190">
        <v>3.5</v>
      </c>
      <c r="H190">
        <v>3</v>
      </c>
      <c r="I190">
        <v>0</v>
      </c>
      <c r="J190">
        <v>1</v>
      </c>
      <c r="K190">
        <v>0</v>
      </c>
      <c r="L190">
        <v>94022</v>
      </c>
      <c r="M190">
        <v>1</v>
      </c>
      <c r="N190">
        <v>0</v>
      </c>
      <c r="O190">
        <v>0</v>
      </c>
      <c r="Q190">
        <v>0</v>
      </c>
      <c r="R190">
        <v>1</v>
      </c>
      <c r="S190">
        <v>1</v>
      </c>
      <c r="T190">
        <v>10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1</v>
      </c>
    </row>
    <row r="191" spans="1:29" x14ac:dyDescent="0.35">
      <c r="A191">
        <v>601</v>
      </c>
      <c r="B191">
        <v>601</v>
      </c>
      <c r="C191">
        <v>56</v>
      </c>
      <c r="D191">
        <v>30</v>
      </c>
      <c r="E191">
        <v>141</v>
      </c>
      <c r="F191">
        <v>2</v>
      </c>
      <c r="G191">
        <v>0.5</v>
      </c>
      <c r="H191">
        <v>1</v>
      </c>
      <c r="I191">
        <v>0</v>
      </c>
      <c r="J191">
        <v>1</v>
      </c>
      <c r="K191">
        <v>0</v>
      </c>
      <c r="L191">
        <v>94143</v>
      </c>
      <c r="M191">
        <v>0</v>
      </c>
      <c r="N191">
        <v>0</v>
      </c>
      <c r="O191">
        <v>0</v>
      </c>
      <c r="Q191">
        <v>1</v>
      </c>
      <c r="R191">
        <v>0</v>
      </c>
      <c r="S191">
        <v>0</v>
      </c>
      <c r="T191">
        <v>22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</row>
    <row r="192" spans="1:29" x14ac:dyDescent="0.35">
      <c r="A192">
        <v>602</v>
      </c>
      <c r="B192">
        <v>602</v>
      </c>
      <c r="C192">
        <v>58</v>
      </c>
      <c r="D192">
        <v>32</v>
      </c>
      <c r="E192">
        <v>38</v>
      </c>
      <c r="F192">
        <v>1</v>
      </c>
      <c r="G192">
        <v>1.4</v>
      </c>
      <c r="H192">
        <v>1</v>
      </c>
      <c r="I192">
        <v>0</v>
      </c>
      <c r="J192">
        <v>1</v>
      </c>
      <c r="K192">
        <v>1</v>
      </c>
      <c r="L192">
        <v>91320</v>
      </c>
      <c r="M192">
        <v>0</v>
      </c>
      <c r="N192">
        <v>0</v>
      </c>
      <c r="O192">
        <v>0</v>
      </c>
      <c r="Q192">
        <v>1</v>
      </c>
      <c r="R192">
        <v>0</v>
      </c>
      <c r="S192">
        <v>0</v>
      </c>
      <c r="T192">
        <v>5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</row>
    <row r="193" spans="1:29" x14ac:dyDescent="0.35">
      <c r="A193">
        <v>604</v>
      </c>
      <c r="B193">
        <v>604</v>
      </c>
      <c r="C193">
        <v>63</v>
      </c>
      <c r="D193">
        <v>38</v>
      </c>
      <c r="E193">
        <v>28</v>
      </c>
      <c r="F193">
        <v>2</v>
      </c>
      <c r="G193">
        <v>0.5</v>
      </c>
      <c r="H193">
        <v>2</v>
      </c>
      <c r="I193">
        <v>89</v>
      </c>
      <c r="J193">
        <v>1</v>
      </c>
      <c r="K193">
        <v>0</v>
      </c>
      <c r="L193">
        <v>94720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5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</row>
    <row r="194" spans="1:29" x14ac:dyDescent="0.35">
      <c r="A194">
        <v>606</v>
      </c>
      <c r="B194">
        <v>606</v>
      </c>
      <c r="C194">
        <v>57</v>
      </c>
      <c r="D194">
        <v>31</v>
      </c>
      <c r="E194">
        <v>41</v>
      </c>
      <c r="F194">
        <v>1</v>
      </c>
      <c r="G194">
        <v>0.2</v>
      </c>
      <c r="H194">
        <v>1</v>
      </c>
      <c r="I194">
        <v>0</v>
      </c>
      <c r="J194">
        <v>1</v>
      </c>
      <c r="K194">
        <v>1</v>
      </c>
      <c r="L194">
        <v>91330</v>
      </c>
      <c r="M194">
        <v>0</v>
      </c>
      <c r="N194">
        <v>0</v>
      </c>
      <c r="O194">
        <v>0</v>
      </c>
      <c r="Q194">
        <v>1</v>
      </c>
      <c r="R194">
        <v>0</v>
      </c>
      <c r="S194">
        <v>0</v>
      </c>
      <c r="T194">
        <v>5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</row>
    <row r="195" spans="1:29" x14ac:dyDescent="0.35">
      <c r="A195">
        <v>608</v>
      </c>
      <c r="B195">
        <v>608</v>
      </c>
      <c r="C195">
        <v>28</v>
      </c>
      <c r="D195">
        <v>3</v>
      </c>
      <c r="E195">
        <v>170</v>
      </c>
      <c r="F195">
        <v>1</v>
      </c>
      <c r="G195">
        <v>0.1</v>
      </c>
      <c r="H195">
        <v>3</v>
      </c>
      <c r="I195">
        <v>0</v>
      </c>
      <c r="J195">
        <v>0</v>
      </c>
      <c r="K195">
        <v>0</v>
      </c>
      <c r="L195">
        <v>95014</v>
      </c>
      <c r="M195">
        <v>1</v>
      </c>
      <c r="N195">
        <v>0</v>
      </c>
      <c r="O195">
        <v>0</v>
      </c>
      <c r="Q195">
        <v>0</v>
      </c>
      <c r="R195">
        <v>1</v>
      </c>
      <c r="S195">
        <v>1</v>
      </c>
      <c r="T195">
        <v>10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1</v>
      </c>
    </row>
    <row r="196" spans="1:29" x14ac:dyDescent="0.35">
      <c r="A196">
        <v>611</v>
      </c>
      <c r="B196">
        <v>611</v>
      </c>
      <c r="C196">
        <v>52</v>
      </c>
      <c r="D196">
        <v>28</v>
      </c>
      <c r="E196">
        <v>81</v>
      </c>
      <c r="F196">
        <v>3</v>
      </c>
      <c r="G196">
        <v>1.8</v>
      </c>
      <c r="H196">
        <v>2</v>
      </c>
      <c r="I196">
        <v>275</v>
      </c>
      <c r="J196">
        <v>0</v>
      </c>
      <c r="K196">
        <v>0</v>
      </c>
      <c r="L196">
        <v>94132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5</v>
      </c>
      <c r="U196">
        <v>1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</row>
    <row r="197" spans="1:29" x14ac:dyDescent="0.35">
      <c r="A197">
        <v>614</v>
      </c>
      <c r="B197">
        <v>614</v>
      </c>
      <c r="C197">
        <v>60</v>
      </c>
      <c r="D197">
        <v>35</v>
      </c>
      <c r="E197">
        <v>108</v>
      </c>
      <c r="F197">
        <v>1</v>
      </c>
      <c r="G197">
        <v>0.9</v>
      </c>
      <c r="H197">
        <v>1</v>
      </c>
      <c r="I197">
        <v>0</v>
      </c>
      <c r="J197">
        <v>0</v>
      </c>
      <c r="K197">
        <v>0</v>
      </c>
      <c r="L197">
        <v>94904</v>
      </c>
      <c r="M197">
        <v>0</v>
      </c>
      <c r="N197">
        <v>1</v>
      </c>
      <c r="O197">
        <v>0</v>
      </c>
      <c r="Q197">
        <v>1</v>
      </c>
      <c r="R197">
        <v>0</v>
      </c>
      <c r="S197">
        <v>0</v>
      </c>
      <c r="T197">
        <v>22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</row>
    <row r="198" spans="1:29" x14ac:dyDescent="0.35">
      <c r="A198">
        <v>617</v>
      </c>
      <c r="B198">
        <v>617</v>
      </c>
      <c r="C198">
        <v>40</v>
      </c>
      <c r="D198">
        <v>14</v>
      </c>
      <c r="E198">
        <v>33</v>
      </c>
      <c r="F198">
        <v>2</v>
      </c>
      <c r="G198">
        <v>1.4</v>
      </c>
      <c r="H198">
        <v>3</v>
      </c>
      <c r="I198">
        <v>0</v>
      </c>
      <c r="J198">
        <v>1</v>
      </c>
      <c r="K198">
        <v>1</v>
      </c>
      <c r="L198">
        <v>94025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5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</row>
    <row r="199" spans="1:29" x14ac:dyDescent="0.35">
      <c r="A199">
        <v>623</v>
      </c>
      <c r="B199">
        <v>623</v>
      </c>
      <c r="C199">
        <v>41</v>
      </c>
      <c r="D199">
        <v>17</v>
      </c>
      <c r="E199">
        <v>92</v>
      </c>
      <c r="F199">
        <v>2</v>
      </c>
      <c r="G199">
        <v>1.9</v>
      </c>
      <c r="H199">
        <v>1</v>
      </c>
      <c r="I199">
        <v>131</v>
      </c>
      <c r="J199">
        <v>1</v>
      </c>
      <c r="K199">
        <v>0</v>
      </c>
      <c r="L199">
        <v>93555</v>
      </c>
      <c r="M199">
        <v>0</v>
      </c>
      <c r="N199">
        <v>0</v>
      </c>
      <c r="O199">
        <v>0</v>
      </c>
      <c r="Q199">
        <v>1</v>
      </c>
      <c r="R199">
        <v>0</v>
      </c>
      <c r="S199">
        <v>0</v>
      </c>
      <c r="T199">
        <v>5</v>
      </c>
      <c r="U199">
        <v>1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</row>
    <row r="200" spans="1:29" x14ac:dyDescent="0.35">
      <c r="A200">
        <v>625</v>
      </c>
      <c r="B200">
        <v>625</v>
      </c>
      <c r="C200">
        <v>33</v>
      </c>
      <c r="D200">
        <v>6</v>
      </c>
      <c r="E200">
        <v>54</v>
      </c>
      <c r="F200">
        <v>2</v>
      </c>
      <c r="G200">
        <v>1.67</v>
      </c>
      <c r="H200">
        <v>2</v>
      </c>
      <c r="I200">
        <v>122</v>
      </c>
      <c r="J200">
        <v>1</v>
      </c>
      <c r="K200">
        <v>0</v>
      </c>
      <c r="L200">
        <v>92821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5</v>
      </c>
      <c r="U200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</row>
    <row r="201" spans="1:29" x14ac:dyDescent="0.35">
      <c r="A201">
        <v>626</v>
      </c>
      <c r="B201">
        <v>626</v>
      </c>
      <c r="C201">
        <v>52</v>
      </c>
      <c r="D201">
        <v>28</v>
      </c>
      <c r="E201">
        <v>64</v>
      </c>
      <c r="F201">
        <v>2</v>
      </c>
      <c r="G201">
        <v>1</v>
      </c>
      <c r="H201">
        <v>3</v>
      </c>
      <c r="I201">
        <v>211</v>
      </c>
      <c r="J201">
        <v>1</v>
      </c>
      <c r="K201">
        <v>0</v>
      </c>
      <c r="L201">
        <v>95605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5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</row>
    <row r="202" spans="1:29" x14ac:dyDescent="0.35">
      <c r="A202">
        <v>628</v>
      </c>
      <c r="B202">
        <v>628</v>
      </c>
      <c r="C202">
        <v>45</v>
      </c>
      <c r="D202">
        <v>19</v>
      </c>
      <c r="E202">
        <v>70</v>
      </c>
      <c r="F202">
        <v>3</v>
      </c>
      <c r="G202">
        <v>2.1</v>
      </c>
      <c r="H202">
        <v>1</v>
      </c>
      <c r="I202">
        <v>0</v>
      </c>
      <c r="J202">
        <v>1</v>
      </c>
      <c r="K202">
        <v>0</v>
      </c>
      <c r="L202">
        <v>92677</v>
      </c>
      <c r="M202">
        <v>0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5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 x14ac:dyDescent="0.35">
      <c r="A203">
        <v>632</v>
      </c>
      <c r="B203">
        <v>632</v>
      </c>
      <c r="C203">
        <v>45</v>
      </c>
      <c r="D203">
        <v>18</v>
      </c>
      <c r="E203">
        <v>40</v>
      </c>
      <c r="F203">
        <v>3</v>
      </c>
      <c r="G203">
        <v>1</v>
      </c>
      <c r="H203">
        <v>2</v>
      </c>
      <c r="I203">
        <v>0</v>
      </c>
      <c r="J203">
        <v>1</v>
      </c>
      <c r="K203">
        <v>0</v>
      </c>
      <c r="L203">
        <v>94960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5</v>
      </c>
      <c r="U203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</row>
    <row r="204" spans="1:29" x14ac:dyDescent="0.35">
      <c r="A204">
        <v>636</v>
      </c>
      <c r="B204">
        <v>636</v>
      </c>
      <c r="C204">
        <v>60</v>
      </c>
      <c r="D204">
        <v>35</v>
      </c>
      <c r="E204">
        <v>35</v>
      </c>
      <c r="F204">
        <v>3</v>
      </c>
      <c r="G204">
        <v>0.2</v>
      </c>
      <c r="H204">
        <v>1</v>
      </c>
      <c r="I204">
        <v>169</v>
      </c>
      <c r="J204">
        <v>1</v>
      </c>
      <c r="K204">
        <v>0</v>
      </c>
      <c r="L204">
        <v>90509</v>
      </c>
      <c r="M204">
        <v>0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5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</row>
    <row r="205" spans="1:29" x14ac:dyDescent="0.35">
      <c r="A205">
        <v>642</v>
      </c>
      <c r="B205">
        <v>642</v>
      </c>
      <c r="C205">
        <v>35</v>
      </c>
      <c r="D205">
        <v>10</v>
      </c>
      <c r="E205">
        <v>139</v>
      </c>
      <c r="F205">
        <v>2</v>
      </c>
      <c r="G205">
        <v>7.8</v>
      </c>
      <c r="H205">
        <v>1</v>
      </c>
      <c r="I205">
        <v>0</v>
      </c>
      <c r="J205">
        <v>0</v>
      </c>
      <c r="K205">
        <v>0</v>
      </c>
      <c r="L205">
        <v>95060</v>
      </c>
      <c r="M205">
        <v>0</v>
      </c>
      <c r="N205">
        <v>0</v>
      </c>
      <c r="O205">
        <v>0</v>
      </c>
      <c r="Q205">
        <v>1</v>
      </c>
      <c r="R205">
        <v>0</v>
      </c>
      <c r="S205">
        <v>0</v>
      </c>
      <c r="T205">
        <v>22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</row>
    <row r="206" spans="1:29" x14ac:dyDescent="0.35">
      <c r="A206">
        <v>643</v>
      </c>
      <c r="B206">
        <v>643</v>
      </c>
      <c r="C206">
        <v>50</v>
      </c>
      <c r="D206">
        <v>24</v>
      </c>
      <c r="E206">
        <v>103</v>
      </c>
      <c r="F206">
        <v>1</v>
      </c>
      <c r="G206">
        <v>0.3</v>
      </c>
      <c r="H206">
        <v>1</v>
      </c>
      <c r="I206">
        <v>0</v>
      </c>
      <c r="J206">
        <v>1</v>
      </c>
      <c r="K206">
        <v>0</v>
      </c>
      <c r="L206">
        <v>94132</v>
      </c>
      <c r="M206">
        <v>0</v>
      </c>
      <c r="N206">
        <v>0</v>
      </c>
      <c r="O206">
        <v>0</v>
      </c>
      <c r="Q206">
        <v>1</v>
      </c>
      <c r="R206">
        <v>0</v>
      </c>
      <c r="S206">
        <v>0</v>
      </c>
      <c r="T206">
        <v>25</v>
      </c>
      <c r="U206">
        <v>1</v>
      </c>
      <c r="V206">
        <v>0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</row>
    <row r="207" spans="1:29" x14ac:dyDescent="0.35">
      <c r="A207">
        <v>644</v>
      </c>
      <c r="B207">
        <v>644</v>
      </c>
      <c r="C207">
        <v>45</v>
      </c>
      <c r="D207">
        <v>21</v>
      </c>
      <c r="E207">
        <v>152</v>
      </c>
      <c r="F207">
        <v>2</v>
      </c>
      <c r="G207">
        <v>1.4</v>
      </c>
      <c r="H207">
        <v>1</v>
      </c>
      <c r="I207">
        <v>0</v>
      </c>
      <c r="J207">
        <v>1</v>
      </c>
      <c r="K207">
        <v>0</v>
      </c>
      <c r="L207">
        <v>91902</v>
      </c>
      <c r="M207">
        <v>0</v>
      </c>
      <c r="N207">
        <v>0</v>
      </c>
      <c r="O207">
        <v>0</v>
      </c>
      <c r="Q207">
        <v>1</v>
      </c>
      <c r="R207">
        <v>0</v>
      </c>
      <c r="S207">
        <v>0</v>
      </c>
      <c r="T207">
        <v>22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</row>
    <row r="208" spans="1:29" x14ac:dyDescent="0.35">
      <c r="A208">
        <v>645</v>
      </c>
      <c r="B208">
        <v>645</v>
      </c>
      <c r="C208">
        <v>52</v>
      </c>
      <c r="D208">
        <v>27</v>
      </c>
      <c r="E208">
        <v>33</v>
      </c>
      <c r="F208">
        <v>2</v>
      </c>
      <c r="G208">
        <v>2</v>
      </c>
      <c r="H208">
        <v>2</v>
      </c>
      <c r="I208">
        <v>0</v>
      </c>
      <c r="J208">
        <v>1</v>
      </c>
      <c r="K208">
        <v>0</v>
      </c>
      <c r="L208">
        <v>92121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5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</row>
    <row r="209" spans="1:29" x14ac:dyDescent="0.35">
      <c r="A209">
        <v>646</v>
      </c>
      <c r="B209">
        <v>646</v>
      </c>
      <c r="C209">
        <v>35</v>
      </c>
      <c r="D209">
        <v>9</v>
      </c>
      <c r="E209">
        <v>84</v>
      </c>
      <c r="F209">
        <v>4</v>
      </c>
      <c r="G209">
        <v>2.2000000000000002</v>
      </c>
      <c r="H209">
        <v>2</v>
      </c>
      <c r="I209">
        <v>322</v>
      </c>
      <c r="J209">
        <v>0</v>
      </c>
      <c r="K209">
        <v>0</v>
      </c>
      <c r="L209">
        <v>95120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5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</row>
    <row r="210" spans="1:29" x14ac:dyDescent="0.35">
      <c r="A210">
        <v>652</v>
      </c>
      <c r="B210">
        <v>652</v>
      </c>
      <c r="C210">
        <v>28</v>
      </c>
      <c r="D210">
        <v>4</v>
      </c>
      <c r="E210">
        <v>58</v>
      </c>
      <c r="F210">
        <v>3</v>
      </c>
      <c r="G210">
        <v>1.5</v>
      </c>
      <c r="H210">
        <v>1</v>
      </c>
      <c r="I210">
        <v>131</v>
      </c>
      <c r="J210">
        <v>0</v>
      </c>
      <c r="K210">
        <v>0</v>
      </c>
      <c r="L210">
        <v>92121</v>
      </c>
      <c r="M210">
        <v>0</v>
      </c>
      <c r="N210">
        <v>0</v>
      </c>
      <c r="O210">
        <v>0</v>
      </c>
      <c r="Q210">
        <v>1</v>
      </c>
      <c r="R210">
        <v>0</v>
      </c>
      <c r="S210">
        <v>0</v>
      </c>
      <c r="T210">
        <v>5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</row>
    <row r="211" spans="1:29" x14ac:dyDescent="0.35">
      <c r="A211">
        <v>653</v>
      </c>
      <c r="B211">
        <v>653</v>
      </c>
      <c r="C211">
        <v>34</v>
      </c>
      <c r="D211">
        <v>9</v>
      </c>
      <c r="E211">
        <v>92</v>
      </c>
      <c r="F211">
        <v>1</v>
      </c>
      <c r="G211">
        <v>2.8</v>
      </c>
      <c r="H211">
        <v>1</v>
      </c>
      <c r="I211">
        <v>0</v>
      </c>
      <c r="J211">
        <v>1</v>
      </c>
      <c r="K211">
        <v>0</v>
      </c>
      <c r="L211">
        <v>90005</v>
      </c>
      <c r="M211">
        <v>0</v>
      </c>
      <c r="N211">
        <v>0</v>
      </c>
      <c r="O211">
        <v>0</v>
      </c>
      <c r="Q211">
        <v>1</v>
      </c>
      <c r="R211">
        <v>0</v>
      </c>
      <c r="S211">
        <v>0</v>
      </c>
      <c r="T211">
        <v>5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</row>
    <row r="212" spans="1:29" x14ac:dyDescent="0.35">
      <c r="A212">
        <v>662</v>
      </c>
      <c r="B212">
        <v>662</v>
      </c>
      <c r="C212">
        <v>63</v>
      </c>
      <c r="D212">
        <v>38</v>
      </c>
      <c r="E212">
        <v>52</v>
      </c>
      <c r="F212">
        <v>2</v>
      </c>
      <c r="G212">
        <v>2.8</v>
      </c>
      <c r="H212">
        <v>1</v>
      </c>
      <c r="I212">
        <v>0</v>
      </c>
      <c r="J212">
        <v>1</v>
      </c>
      <c r="K212">
        <v>0</v>
      </c>
      <c r="L212">
        <v>94720</v>
      </c>
      <c r="M212">
        <v>0</v>
      </c>
      <c r="N212">
        <v>0</v>
      </c>
      <c r="O212">
        <v>0</v>
      </c>
      <c r="Q212">
        <v>1</v>
      </c>
      <c r="R212">
        <v>0</v>
      </c>
      <c r="S212">
        <v>0</v>
      </c>
      <c r="T212">
        <v>5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</row>
    <row r="213" spans="1:29" x14ac:dyDescent="0.35">
      <c r="A213">
        <v>663</v>
      </c>
      <c r="B213">
        <v>663</v>
      </c>
      <c r="C213">
        <v>65</v>
      </c>
      <c r="D213">
        <v>41</v>
      </c>
      <c r="E213">
        <v>185</v>
      </c>
      <c r="F213">
        <v>3</v>
      </c>
      <c r="G213">
        <v>2</v>
      </c>
      <c r="H213">
        <v>2</v>
      </c>
      <c r="I213">
        <v>0</v>
      </c>
      <c r="J213">
        <v>0</v>
      </c>
      <c r="K213">
        <v>0</v>
      </c>
      <c r="L213">
        <v>93561</v>
      </c>
      <c r="M213">
        <v>1</v>
      </c>
      <c r="N213">
        <v>0</v>
      </c>
      <c r="O213">
        <v>0</v>
      </c>
      <c r="Q213">
        <v>0</v>
      </c>
      <c r="R213">
        <v>1</v>
      </c>
      <c r="S213">
        <v>1</v>
      </c>
      <c r="T213">
        <v>10</v>
      </c>
      <c r="U213">
        <v>0</v>
      </c>
      <c r="V213">
        <v>1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1</v>
      </c>
    </row>
    <row r="214" spans="1:29" x14ac:dyDescent="0.35">
      <c r="A214">
        <v>672</v>
      </c>
      <c r="B214">
        <v>672</v>
      </c>
      <c r="C214">
        <v>65</v>
      </c>
      <c r="D214">
        <v>41</v>
      </c>
      <c r="E214">
        <v>105</v>
      </c>
      <c r="F214">
        <v>1</v>
      </c>
      <c r="G214">
        <v>3</v>
      </c>
      <c r="H214">
        <v>2</v>
      </c>
      <c r="I214">
        <v>282</v>
      </c>
      <c r="J214">
        <v>1</v>
      </c>
      <c r="K214">
        <v>0</v>
      </c>
      <c r="L214">
        <v>92612</v>
      </c>
      <c r="M214">
        <v>1</v>
      </c>
      <c r="N214">
        <v>1</v>
      </c>
      <c r="O214">
        <v>1</v>
      </c>
      <c r="Q214">
        <v>0</v>
      </c>
      <c r="R214">
        <v>1</v>
      </c>
      <c r="S214">
        <v>1</v>
      </c>
      <c r="T214">
        <v>14</v>
      </c>
      <c r="U214">
        <v>0.24242424242423999</v>
      </c>
      <c r="V214">
        <v>0.75757575757575002</v>
      </c>
      <c r="W214">
        <v>0.24242424242423999</v>
      </c>
      <c r="X214">
        <v>0.75757575757575002</v>
      </c>
      <c r="Y214">
        <v>0.44444444444443998</v>
      </c>
      <c r="Z214">
        <v>0.55555555555555003</v>
      </c>
      <c r="AA214">
        <v>-0.24242424242423999</v>
      </c>
      <c r="AB214">
        <v>0.24242424242424901</v>
      </c>
      <c r="AC214">
        <v>1</v>
      </c>
    </row>
    <row r="215" spans="1:29" x14ac:dyDescent="0.35">
      <c r="A215">
        <v>675</v>
      </c>
      <c r="B215">
        <v>675</v>
      </c>
      <c r="C215">
        <v>49</v>
      </c>
      <c r="D215">
        <v>23</v>
      </c>
      <c r="E215">
        <v>59</v>
      </c>
      <c r="F215">
        <v>3</v>
      </c>
      <c r="G215">
        <v>2.1</v>
      </c>
      <c r="H215">
        <v>1</v>
      </c>
      <c r="I215">
        <v>0</v>
      </c>
      <c r="J215">
        <v>0</v>
      </c>
      <c r="K215">
        <v>0</v>
      </c>
      <c r="L215">
        <v>95827</v>
      </c>
      <c r="M215">
        <v>0</v>
      </c>
      <c r="N215">
        <v>0</v>
      </c>
      <c r="O215">
        <v>0</v>
      </c>
      <c r="Q215">
        <v>1</v>
      </c>
      <c r="R215">
        <v>0</v>
      </c>
      <c r="S215">
        <v>0</v>
      </c>
      <c r="T215">
        <v>5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</row>
    <row r="216" spans="1:29" x14ac:dyDescent="0.35">
      <c r="A216">
        <v>678</v>
      </c>
      <c r="B216">
        <v>678</v>
      </c>
      <c r="C216">
        <v>46</v>
      </c>
      <c r="D216">
        <v>21</v>
      </c>
      <c r="E216">
        <v>204</v>
      </c>
      <c r="F216">
        <v>2</v>
      </c>
      <c r="G216">
        <v>2.8</v>
      </c>
      <c r="H216">
        <v>1</v>
      </c>
      <c r="I216">
        <v>0</v>
      </c>
      <c r="J216">
        <v>1</v>
      </c>
      <c r="K216">
        <v>0</v>
      </c>
      <c r="L216">
        <v>92780</v>
      </c>
      <c r="M216">
        <v>0</v>
      </c>
      <c r="N216">
        <v>0</v>
      </c>
      <c r="O216">
        <v>0</v>
      </c>
      <c r="Q216">
        <v>1</v>
      </c>
      <c r="R216">
        <v>0</v>
      </c>
      <c r="S216">
        <v>0</v>
      </c>
      <c r="T216">
        <v>22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</row>
    <row r="217" spans="1:29" x14ac:dyDescent="0.35">
      <c r="A217">
        <v>681</v>
      </c>
      <c r="B217">
        <v>681</v>
      </c>
      <c r="C217">
        <v>61</v>
      </c>
      <c r="D217">
        <v>36</v>
      </c>
      <c r="E217">
        <v>51</v>
      </c>
      <c r="F217">
        <v>3</v>
      </c>
      <c r="G217">
        <v>1.5</v>
      </c>
      <c r="H217">
        <v>1</v>
      </c>
      <c r="I217">
        <v>0</v>
      </c>
      <c r="J217">
        <v>0</v>
      </c>
      <c r="K217">
        <v>1</v>
      </c>
      <c r="L217">
        <v>94706</v>
      </c>
      <c r="M217">
        <v>0</v>
      </c>
      <c r="N217">
        <v>0</v>
      </c>
      <c r="O217">
        <v>0</v>
      </c>
      <c r="Q217">
        <v>1</v>
      </c>
      <c r="R217">
        <v>0</v>
      </c>
      <c r="S217">
        <v>0</v>
      </c>
      <c r="T217">
        <v>5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</row>
    <row r="218" spans="1:29" x14ac:dyDescent="0.35">
      <c r="A218">
        <v>684</v>
      </c>
      <c r="B218">
        <v>684</v>
      </c>
      <c r="C218">
        <v>40</v>
      </c>
      <c r="D218">
        <v>16</v>
      </c>
      <c r="E218">
        <v>82</v>
      </c>
      <c r="F218">
        <v>1</v>
      </c>
      <c r="G218">
        <v>3.6</v>
      </c>
      <c r="H218">
        <v>2</v>
      </c>
      <c r="I218">
        <v>0</v>
      </c>
      <c r="J218">
        <v>0</v>
      </c>
      <c r="K218">
        <v>0</v>
      </c>
      <c r="L218">
        <v>91311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15</v>
      </c>
      <c r="U218">
        <v>0.91935483870967005</v>
      </c>
      <c r="V218">
        <v>8.0645161290319997E-2</v>
      </c>
      <c r="W218">
        <v>0.91935483870967005</v>
      </c>
      <c r="X218">
        <v>8.0645161290319997E-2</v>
      </c>
      <c r="Y218">
        <v>0.86</v>
      </c>
      <c r="Z218">
        <v>0.14000000000000001</v>
      </c>
      <c r="AA218">
        <v>8.0645161290329906E-2</v>
      </c>
      <c r="AB218">
        <v>-8.0645161290319997E-2</v>
      </c>
      <c r="AC218">
        <v>0</v>
      </c>
    </row>
    <row r="219" spans="1:29" x14ac:dyDescent="0.35">
      <c r="A219">
        <v>685</v>
      </c>
      <c r="B219">
        <v>685</v>
      </c>
      <c r="C219">
        <v>43</v>
      </c>
      <c r="D219">
        <v>17</v>
      </c>
      <c r="E219">
        <v>164</v>
      </c>
      <c r="F219">
        <v>1</v>
      </c>
      <c r="G219">
        <v>2.4</v>
      </c>
      <c r="H219">
        <v>1</v>
      </c>
      <c r="I219">
        <v>449</v>
      </c>
      <c r="J219">
        <v>1</v>
      </c>
      <c r="K219">
        <v>0</v>
      </c>
      <c r="L219">
        <v>90266</v>
      </c>
      <c r="M219">
        <v>0</v>
      </c>
      <c r="N219">
        <v>0</v>
      </c>
      <c r="O219">
        <v>0</v>
      </c>
      <c r="Q219">
        <v>1</v>
      </c>
      <c r="R219">
        <v>0</v>
      </c>
      <c r="S219">
        <v>0</v>
      </c>
      <c r="T219">
        <v>22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</row>
    <row r="220" spans="1:29" x14ac:dyDescent="0.35">
      <c r="A220">
        <v>687</v>
      </c>
      <c r="B220">
        <v>687</v>
      </c>
      <c r="C220">
        <v>24</v>
      </c>
      <c r="D220">
        <v>-1</v>
      </c>
      <c r="E220">
        <v>38</v>
      </c>
      <c r="F220">
        <v>4</v>
      </c>
      <c r="G220">
        <v>0.6</v>
      </c>
      <c r="H220">
        <v>2</v>
      </c>
      <c r="I220">
        <v>0</v>
      </c>
      <c r="J220">
        <v>1</v>
      </c>
      <c r="K220">
        <v>0</v>
      </c>
      <c r="L220">
        <v>92612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5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</row>
    <row r="221" spans="1:29" x14ac:dyDescent="0.35">
      <c r="A221">
        <v>711</v>
      </c>
      <c r="B221">
        <v>711</v>
      </c>
      <c r="C221">
        <v>43</v>
      </c>
      <c r="D221">
        <v>17</v>
      </c>
      <c r="E221">
        <v>59</v>
      </c>
      <c r="F221">
        <v>3</v>
      </c>
      <c r="G221">
        <v>0.9</v>
      </c>
      <c r="H221">
        <v>3</v>
      </c>
      <c r="I221">
        <v>87</v>
      </c>
      <c r="J221">
        <v>1</v>
      </c>
      <c r="K221">
        <v>1</v>
      </c>
      <c r="L221">
        <v>94085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5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</row>
    <row r="222" spans="1:29" x14ac:dyDescent="0.35">
      <c r="A222">
        <v>712</v>
      </c>
      <c r="B222">
        <v>712</v>
      </c>
      <c r="C222">
        <v>62</v>
      </c>
      <c r="D222">
        <v>37</v>
      </c>
      <c r="E222">
        <v>83</v>
      </c>
      <c r="F222">
        <v>3</v>
      </c>
      <c r="G222">
        <v>1.8</v>
      </c>
      <c r="H222">
        <v>2</v>
      </c>
      <c r="I222">
        <v>187</v>
      </c>
      <c r="J222">
        <v>0</v>
      </c>
      <c r="K222">
        <v>0</v>
      </c>
      <c r="L222">
        <v>91754</v>
      </c>
      <c r="M222">
        <v>0</v>
      </c>
      <c r="N222">
        <v>1</v>
      </c>
      <c r="O222">
        <v>0</v>
      </c>
      <c r="Q222">
        <v>0</v>
      </c>
      <c r="R222">
        <v>0</v>
      </c>
      <c r="S222">
        <v>0</v>
      </c>
      <c r="T222">
        <v>5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</row>
    <row r="223" spans="1:29" x14ac:dyDescent="0.35">
      <c r="A223">
        <v>713</v>
      </c>
      <c r="B223">
        <v>713</v>
      </c>
      <c r="C223">
        <v>41</v>
      </c>
      <c r="D223">
        <v>16</v>
      </c>
      <c r="E223">
        <v>10</v>
      </c>
      <c r="F223">
        <v>2</v>
      </c>
      <c r="G223">
        <v>0.3</v>
      </c>
      <c r="H223">
        <v>2</v>
      </c>
      <c r="I223">
        <v>0</v>
      </c>
      <c r="J223">
        <v>1</v>
      </c>
      <c r="K223">
        <v>0</v>
      </c>
      <c r="L223">
        <v>94123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5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</row>
    <row r="224" spans="1:29" x14ac:dyDescent="0.35">
      <c r="A224">
        <v>718</v>
      </c>
      <c r="B224">
        <v>718</v>
      </c>
      <c r="C224">
        <v>59</v>
      </c>
      <c r="D224">
        <v>34</v>
      </c>
      <c r="E224">
        <v>94</v>
      </c>
      <c r="F224">
        <v>3</v>
      </c>
      <c r="G224">
        <v>0.5</v>
      </c>
      <c r="H224">
        <v>1</v>
      </c>
      <c r="I224">
        <v>0</v>
      </c>
      <c r="J224">
        <v>0</v>
      </c>
      <c r="K224">
        <v>1</v>
      </c>
      <c r="L224">
        <v>93940</v>
      </c>
      <c r="M224">
        <v>0</v>
      </c>
      <c r="N224">
        <v>0</v>
      </c>
      <c r="O224">
        <v>0</v>
      </c>
      <c r="Q224">
        <v>1</v>
      </c>
      <c r="R224">
        <v>0</v>
      </c>
      <c r="S224">
        <v>0</v>
      </c>
      <c r="T224">
        <v>5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</row>
    <row r="225" spans="1:29" x14ac:dyDescent="0.35">
      <c r="A225">
        <v>728</v>
      </c>
      <c r="B225">
        <v>728</v>
      </c>
      <c r="C225">
        <v>62</v>
      </c>
      <c r="D225">
        <v>37</v>
      </c>
      <c r="E225">
        <v>18</v>
      </c>
      <c r="F225">
        <v>3</v>
      </c>
      <c r="G225">
        <v>1.3</v>
      </c>
      <c r="H225">
        <v>2</v>
      </c>
      <c r="I225">
        <v>0</v>
      </c>
      <c r="J225">
        <v>1</v>
      </c>
      <c r="K225">
        <v>0</v>
      </c>
      <c r="L225">
        <v>92037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5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</row>
    <row r="226" spans="1:29" x14ac:dyDescent="0.35">
      <c r="A226">
        <v>733</v>
      </c>
      <c r="B226">
        <v>733</v>
      </c>
      <c r="C226">
        <v>26</v>
      </c>
      <c r="D226">
        <v>1</v>
      </c>
      <c r="E226">
        <v>85</v>
      </c>
      <c r="F226">
        <v>1</v>
      </c>
      <c r="G226">
        <v>1.9</v>
      </c>
      <c r="H226">
        <v>1</v>
      </c>
      <c r="I226">
        <v>0</v>
      </c>
      <c r="J226">
        <v>1</v>
      </c>
      <c r="K226">
        <v>0</v>
      </c>
      <c r="L226">
        <v>90064</v>
      </c>
      <c r="M226">
        <v>0</v>
      </c>
      <c r="N226">
        <v>0</v>
      </c>
      <c r="O226">
        <v>0</v>
      </c>
      <c r="Q226">
        <v>1</v>
      </c>
      <c r="R226">
        <v>0</v>
      </c>
      <c r="S226">
        <v>0</v>
      </c>
      <c r="T226">
        <v>5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</row>
    <row r="227" spans="1:29" x14ac:dyDescent="0.35">
      <c r="A227">
        <v>737</v>
      </c>
      <c r="B227">
        <v>737</v>
      </c>
      <c r="C227">
        <v>61</v>
      </c>
      <c r="D227">
        <v>35</v>
      </c>
      <c r="E227">
        <v>152</v>
      </c>
      <c r="F227">
        <v>3</v>
      </c>
      <c r="G227">
        <v>3.3</v>
      </c>
      <c r="H227">
        <v>3</v>
      </c>
      <c r="I227">
        <v>0</v>
      </c>
      <c r="J227">
        <v>1</v>
      </c>
      <c r="K227">
        <v>0</v>
      </c>
      <c r="L227">
        <v>91016</v>
      </c>
      <c r="M227">
        <v>1</v>
      </c>
      <c r="N227">
        <v>0</v>
      </c>
      <c r="O227">
        <v>0</v>
      </c>
      <c r="Q227">
        <v>0</v>
      </c>
      <c r="R227">
        <v>1</v>
      </c>
      <c r="S227">
        <v>1</v>
      </c>
      <c r="T227">
        <v>10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1</v>
      </c>
      <c r="AA227">
        <v>0</v>
      </c>
      <c r="AB227">
        <v>0</v>
      </c>
      <c r="AC227">
        <v>1</v>
      </c>
    </row>
    <row r="228" spans="1:29" x14ac:dyDescent="0.35">
      <c r="A228">
        <v>739</v>
      </c>
      <c r="B228">
        <v>739</v>
      </c>
      <c r="C228">
        <v>36</v>
      </c>
      <c r="D228">
        <v>10</v>
      </c>
      <c r="E228">
        <v>80</v>
      </c>
      <c r="F228">
        <v>4</v>
      </c>
      <c r="G228">
        <v>2.2000000000000002</v>
      </c>
      <c r="H228">
        <v>2</v>
      </c>
      <c r="I228">
        <v>0</v>
      </c>
      <c r="J228">
        <v>1</v>
      </c>
      <c r="K228">
        <v>0</v>
      </c>
      <c r="L228">
        <v>94596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5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</row>
    <row r="229" spans="1:29" x14ac:dyDescent="0.35">
      <c r="A229">
        <v>742</v>
      </c>
      <c r="B229">
        <v>742</v>
      </c>
      <c r="C229">
        <v>61</v>
      </c>
      <c r="D229">
        <v>37</v>
      </c>
      <c r="E229">
        <v>22</v>
      </c>
      <c r="F229">
        <v>1</v>
      </c>
      <c r="G229">
        <v>1.2</v>
      </c>
      <c r="H229">
        <v>3</v>
      </c>
      <c r="I229">
        <v>0</v>
      </c>
      <c r="J229">
        <v>1</v>
      </c>
      <c r="K229">
        <v>0</v>
      </c>
      <c r="L229">
        <v>94590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5</v>
      </c>
      <c r="U229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</row>
    <row r="230" spans="1:29" x14ac:dyDescent="0.35">
      <c r="A230">
        <v>744</v>
      </c>
      <c r="B230">
        <v>744</v>
      </c>
      <c r="C230">
        <v>61</v>
      </c>
      <c r="D230">
        <v>37</v>
      </c>
      <c r="E230">
        <v>40</v>
      </c>
      <c r="F230">
        <v>4</v>
      </c>
      <c r="G230">
        <v>2.2000000000000002</v>
      </c>
      <c r="H230">
        <v>1</v>
      </c>
      <c r="I230">
        <v>0</v>
      </c>
      <c r="J230">
        <v>1</v>
      </c>
      <c r="K230">
        <v>1</v>
      </c>
      <c r="L230">
        <v>94539</v>
      </c>
      <c r="M230">
        <v>0</v>
      </c>
      <c r="N230">
        <v>1</v>
      </c>
      <c r="O230">
        <v>1</v>
      </c>
      <c r="Q230">
        <v>1</v>
      </c>
      <c r="R230">
        <v>0</v>
      </c>
      <c r="S230">
        <v>0</v>
      </c>
      <c r="T230">
        <v>5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</row>
    <row r="231" spans="1:29" x14ac:dyDescent="0.35">
      <c r="A231">
        <v>748</v>
      </c>
      <c r="B231">
        <v>748</v>
      </c>
      <c r="C231">
        <v>57</v>
      </c>
      <c r="D231">
        <v>32</v>
      </c>
      <c r="E231">
        <v>21</v>
      </c>
      <c r="F231">
        <v>3</v>
      </c>
      <c r="G231">
        <v>0.1</v>
      </c>
      <c r="H231">
        <v>2</v>
      </c>
      <c r="I231">
        <v>0</v>
      </c>
      <c r="J231">
        <v>1</v>
      </c>
      <c r="K231">
        <v>0</v>
      </c>
      <c r="L231">
        <v>94112</v>
      </c>
      <c r="M231">
        <v>0</v>
      </c>
      <c r="N231">
        <v>1</v>
      </c>
      <c r="O231">
        <v>1</v>
      </c>
      <c r="Q231">
        <v>0</v>
      </c>
      <c r="R231">
        <v>0</v>
      </c>
      <c r="S231">
        <v>0</v>
      </c>
      <c r="T231">
        <v>5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</row>
    <row r="232" spans="1:29" x14ac:dyDescent="0.35">
      <c r="A232">
        <v>749</v>
      </c>
      <c r="B232">
        <v>749</v>
      </c>
      <c r="C232">
        <v>41</v>
      </c>
      <c r="D232">
        <v>17</v>
      </c>
      <c r="E232">
        <v>14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91330</v>
      </c>
      <c r="M232">
        <v>0</v>
      </c>
      <c r="N232">
        <v>0</v>
      </c>
      <c r="O232">
        <v>0</v>
      </c>
      <c r="Q232">
        <v>1</v>
      </c>
      <c r="R232">
        <v>0</v>
      </c>
      <c r="S232">
        <v>0</v>
      </c>
      <c r="T232">
        <v>5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</row>
    <row r="233" spans="1:29" x14ac:dyDescent="0.35">
      <c r="A233">
        <v>750</v>
      </c>
      <c r="B233">
        <v>750</v>
      </c>
      <c r="C233">
        <v>58</v>
      </c>
      <c r="D233">
        <v>34</v>
      </c>
      <c r="E233">
        <v>60</v>
      </c>
      <c r="F233">
        <v>4</v>
      </c>
      <c r="G233">
        <v>1.6</v>
      </c>
      <c r="H233">
        <v>2</v>
      </c>
      <c r="I233">
        <v>0</v>
      </c>
      <c r="J233">
        <v>0</v>
      </c>
      <c r="K233">
        <v>1</v>
      </c>
      <c r="L233">
        <v>92008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5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</row>
    <row r="234" spans="1:29" x14ac:dyDescent="0.35">
      <c r="A234">
        <v>756</v>
      </c>
      <c r="B234">
        <v>756</v>
      </c>
      <c r="C234">
        <v>56</v>
      </c>
      <c r="D234">
        <v>30</v>
      </c>
      <c r="E234">
        <v>45</v>
      </c>
      <c r="F234">
        <v>4</v>
      </c>
      <c r="G234">
        <v>0.7</v>
      </c>
      <c r="H234">
        <v>2</v>
      </c>
      <c r="I234">
        <v>0</v>
      </c>
      <c r="J234">
        <v>0</v>
      </c>
      <c r="K234">
        <v>1</v>
      </c>
      <c r="L234">
        <v>91103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5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</row>
    <row r="235" spans="1:29" x14ac:dyDescent="0.35">
      <c r="A235">
        <v>758</v>
      </c>
      <c r="B235">
        <v>758</v>
      </c>
      <c r="C235">
        <v>52</v>
      </c>
      <c r="D235">
        <v>28</v>
      </c>
      <c r="E235">
        <v>81</v>
      </c>
      <c r="F235">
        <v>3</v>
      </c>
      <c r="G235">
        <v>1.8</v>
      </c>
      <c r="H235">
        <v>2</v>
      </c>
      <c r="I235">
        <v>0</v>
      </c>
      <c r="J235">
        <v>0</v>
      </c>
      <c r="K235">
        <v>0</v>
      </c>
      <c r="L235">
        <v>91745</v>
      </c>
      <c r="M235">
        <v>0</v>
      </c>
      <c r="N235">
        <v>1</v>
      </c>
      <c r="O235">
        <v>0</v>
      </c>
      <c r="Q235">
        <v>0</v>
      </c>
      <c r="R235">
        <v>0</v>
      </c>
      <c r="S235">
        <v>0</v>
      </c>
      <c r="T235">
        <v>5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</row>
    <row r="236" spans="1:29" x14ac:dyDescent="0.35">
      <c r="A236">
        <v>762</v>
      </c>
      <c r="B236">
        <v>762</v>
      </c>
      <c r="C236">
        <v>48</v>
      </c>
      <c r="D236">
        <v>24</v>
      </c>
      <c r="E236">
        <v>84</v>
      </c>
      <c r="F236">
        <v>3</v>
      </c>
      <c r="G236">
        <v>0.7</v>
      </c>
      <c r="H236">
        <v>1</v>
      </c>
      <c r="I236">
        <v>166</v>
      </c>
      <c r="J236">
        <v>1</v>
      </c>
      <c r="K236">
        <v>0</v>
      </c>
      <c r="L236">
        <v>92152</v>
      </c>
      <c r="M236">
        <v>0</v>
      </c>
      <c r="N236">
        <v>0</v>
      </c>
      <c r="O236">
        <v>0</v>
      </c>
      <c r="Q236">
        <v>1</v>
      </c>
      <c r="R236">
        <v>0</v>
      </c>
      <c r="S236">
        <v>0</v>
      </c>
      <c r="T236">
        <v>5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</row>
    <row r="237" spans="1:29" x14ac:dyDescent="0.35">
      <c r="A237">
        <v>763</v>
      </c>
      <c r="B237">
        <v>763</v>
      </c>
      <c r="C237">
        <v>32</v>
      </c>
      <c r="D237">
        <v>6</v>
      </c>
      <c r="E237">
        <v>85</v>
      </c>
      <c r="F237">
        <v>1</v>
      </c>
      <c r="G237">
        <v>2.7</v>
      </c>
      <c r="H237">
        <v>2</v>
      </c>
      <c r="I237">
        <v>100</v>
      </c>
      <c r="J237">
        <v>1</v>
      </c>
      <c r="K237">
        <v>0</v>
      </c>
      <c r="L237">
        <v>90504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5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</row>
    <row r="238" spans="1:29" x14ac:dyDescent="0.35">
      <c r="A238">
        <v>767</v>
      </c>
      <c r="B238">
        <v>767</v>
      </c>
      <c r="C238">
        <v>37</v>
      </c>
      <c r="D238">
        <v>12</v>
      </c>
      <c r="E238">
        <v>81</v>
      </c>
      <c r="F238">
        <v>1</v>
      </c>
      <c r="G238">
        <v>2.8</v>
      </c>
      <c r="H238">
        <v>1</v>
      </c>
      <c r="I238">
        <v>0</v>
      </c>
      <c r="J238">
        <v>0</v>
      </c>
      <c r="K238">
        <v>0</v>
      </c>
      <c r="L238">
        <v>94538</v>
      </c>
      <c r="M238">
        <v>0</v>
      </c>
      <c r="N238">
        <v>0</v>
      </c>
      <c r="O238">
        <v>0</v>
      </c>
      <c r="Q238">
        <v>1</v>
      </c>
      <c r="R238">
        <v>0</v>
      </c>
      <c r="S238">
        <v>0</v>
      </c>
      <c r="T238">
        <v>5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</row>
    <row r="239" spans="1:29" x14ac:dyDescent="0.35">
      <c r="A239">
        <v>769</v>
      </c>
      <c r="B239">
        <v>769</v>
      </c>
      <c r="C239">
        <v>43</v>
      </c>
      <c r="D239">
        <v>19</v>
      </c>
      <c r="E239">
        <v>72</v>
      </c>
      <c r="F239">
        <v>2</v>
      </c>
      <c r="G239">
        <v>1.7</v>
      </c>
      <c r="H239">
        <v>1</v>
      </c>
      <c r="I239">
        <v>0</v>
      </c>
      <c r="J239">
        <v>1</v>
      </c>
      <c r="K239">
        <v>0</v>
      </c>
      <c r="L239">
        <v>90024</v>
      </c>
      <c r="M239">
        <v>0</v>
      </c>
      <c r="N239">
        <v>0</v>
      </c>
      <c r="O239">
        <v>0</v>
      </c>
      <c r="Q239">
        <v>1</v>
      </c>
      <c r="R239">
        <v>0</v>
      </c>
      <c r="S239">
        <v>0</v>
      </c>
      <c r="T239">
        <v>5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</row>
    <row r="240" spans="1:29" x14ac:dyDescent="0.35">
      <c r="A240">
        <v>770</v>
      </c>
      <c r="B240">
        <v>770</v>
      </c>
      <c r="C240">
        <v>33</v>
      </c>
      <c r="D240">
        <v>6</v>
      </c>
      <c r="E240">
        <v>78</v>
      </c>
      <c r="F240">
        <v>4</v>
      </c>
      <c r="G240">
        <v>2</v>
      </c>
      <c r="H240">
        <v>2</v>
      </c>
      <c r="I240">
        <v>119</v>
      </c>
      <c r="J240">
        <v>1</v>
      </c>
      <c r="K240">
        <v>0</v>
      </c>
      <c r="L240">
        <v>90250</v>
      </c>
      <c r="M240">
        <v>0</v>
      </c>
      <c r="N240">
        <v>1</v>
      </c>
      <c r="O240">
        <v>0</v>
      </c>
      <c r="Q240">
        <v>0</v>
      </c>
      <c r="R240">
        <v>0</v>
      </c>
      <c r="S240">
        <v>0</v>
      </c>
      <c r="T240">
        <v>5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</row>
    <row r="241" spans="1:29" x14ac:dyDescent="0.35">
      <c r="A241">
        <v>771</v>
      </c>
      <c r="B241">
        <v>771</v>
      </c>
      <c r="C241">
        <v>26</v>
      </c>
      <c r="D241">
        <v>2</v>
      </c>
      <c r="E241">
        <v>172</v>
      </c>
      <c r="F241">
        <v>2</v>
      </c>
      <c r="G241">
        <v>6.9</v>
      </c>
      <c r="H241">
        <v>2</v>
      </c>
      <c r="I241">
        <v>0</v>
      </c>
      <c r="J241">
        <v>1</v>
      </c>
      <c r="K241">
        <v>0</v>
      </c>
      <c r="L241">
        <v>94551</v>
      </c>
      <c r="M241">
        <v>1</v>
      </c>
      <c r="N241">
        <v>0</v>
      </c>
      <c r="O241">
        <v>0</v>
      </c>
      <c r="Q241">
        <v>0</v>
      </c>
      <c r="R241">
        <v>1</v>
      </c>
      <c r="S241">
        <v>1</v>
      </c>
      <c r="T241">
        <v>10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1</v>
      </c>
      <c r="AA241">
        <v>0</v>
      </c>
      <c r="AB241">
        <v>0</v>
      </c>
      <c r="AC241">
        <v>1</v>
      </c>
    </row>
    <row r="242" spans="1:29" x14ac:dyDescent="0.35">
      <c r="A242">
        <v>772</v>
      </c>
      <c r="B242">
        <v>772</v>
      </c>
      <c r="C242">
        <v>42</v>
      </c>
      <c r="D242">
        <v>18</v>
      </c>
      <c r="E242">
        <v>71</v>
      </c>
      <c r="F242">
        <v>3</v>
      </c>
      <c r="G242">
        <v>2.33</v>
      </c>
      <c r="H242">
        <v>1</v>
      </c>
      <c r="I242">
        <v>106</v>
      </c>
      <c r="J242">
        <v>1</v>
      </c>
      <c r="K242">
        <v>0</v>
      </c>
      <c r="L242">
        <v>91614</v>
      </c>
      <c r="M242">
        <v>0</v>
      </c>
      <c r="N242">
        <v>1</v>
      </c>
      <c r="O242">
        <v>0</v>
      </c>
      <c r="Q242">
        <v>1</v>
      </c>
      <c r="R242">
        <v>0</v>
      </c>
      <c r="S242">
        <v>0</v>
      </c>
      <c r="T242">
        <v>5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</row>
    <row r="243" spans="1:29" x14ac:dyDescent="0.35">
      <c r="A243">
        <v>775</v>
      </c>
      <c r="B243">
        <v>775</v>
      </c>
      <c r="C243">
        <v>55</v>
      </c>
      <c r="D243">
        <v>29</v>
      </c>
      <c r="E243">
        <v>39</v>
      </c>
      <c r="F243">
        <v>1</v>
      </c>
      <c r="G243">
        <v>0.2</v>
      </c>
      <c r="H243">
        <v>1</v>
      </c>
      <c r="I243">
        <v>0</v>
      </c>
      <c r="J243">
        <v>0</v>
      </c>
      <c r="K243">
        <v>1</v>
      </c>
      <c r="L243">
        <v>92154</v>
      </c>
      <c r="M243">
        <v>0</v>
      </c>
      <c r="N243">
        <v>0</v>
      </c>
      <c r="O243">
        <v>0</v>
      </c>
      <c r="Q243">
        <v>1</v>
      </c>
      <c r="R243">
        <v>0</v>
      </c>
      <c r="S243">
        <v>0</v>
      </c>
      <c r="T243">
        <v>5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</row>
    <row r="244" spans="1:29" x14ac:dyDescent="0.35">
      <c r="A244">
        <v>778</v>
      </c>
      <c r="B244">
        <v>778</v>
      </c>
      <c r="C244">
        <v>55</v>
      </c>
      <c r="D244">
        <v>31</v>
      </c>
      <c r="E244">
        <v>12</v>
      </c>
      <c r="F244">
        <v>2</v>
      </c>
      <c r="G244">
        <v>0.2</v>
      </c>
      <c r="H244">
        <v>1</v>
      </c>
      <c r="I244">
        <v>76</v>
      </c>
      <c r="J244">
        <v>1</v>
      </c>
      <c r="K244">
        <v>1</v>
      </c>
      <c r="L244">
        <v>95060</v>
      </c>
      <c r="M244">
        <v>0</v>
      </c>
      <c r="N244">
        <v>0</v>
      </c>
      <c r="O244">
        <v>0</v>
      </c>
      <c r="Q244">
        <v>1</v>
      </c>
      <c r="R244">
        <v>0</v>
      </c>
      <c r="S244">
        <v>0</v>
      </c>
      <c r="T244">
        <v>5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</row>
    <row r="245" spans="1:29" x14ac:dyDescent="0.35">
      <c r="A245">
        <v>784</v>
      </c>
      <c r="B245">
        <v>784</v>
      </c>
      <c r="C245">
        <v>44</v>
      </c>
      <c r="D245">
        <v>20</v>
      </c>
      <c r="E245">
        <v>160</v>
      </c>
      <c r="F245">
        <v>2</v>
      </c>
      <c r="G245">
        <v>7.6</v>
      </c>
      <c r="H245">
        <v>1</v>
      </c>
      <c r="I245">
        <v>0</v>
      </c>
      <c r="J245">
        <v>0</v>
      </c>
      <c r="K245">
        <v>0</v>
      </c>
      <c r="L245">
        <v>94606</v>
      </c>
      <c r="M245">
        <v>0</v>
      </c>
      <c r="N245">
        <v>1</v>
      </c>
      <c r="O245">
        <v>0</v>
      </c>
      <c r="Q245">
        <v>1</v>
      </c>
      <c r="R245">
        <v>0</v>
      </c>
      <c r="S245">
        <v>0</v>
      </c>
      <c r="T245">
        <v>22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</row>
    <row r="246" spans="1:29" x14ac:dyDescent="0.35">
      <c r="A246">
        <v>785</v>
      </c>
      <c r="B246">
        <v>785</v>
      </c>
      <c r="C246">
        <v>48</v>
      </c>
      <c r="D246">
        <v>22</v>
      </c>
      <c r="E246">
        <v>98</v>
      </c>
      <c r="F246">
        <v>2</v>
      </c>
      <c r="G246">
        <v>6.3</v>
      </c>
      <c r="H246">
        <v>1</v>
      </c>
      <c r="I246">
        <v>0</v>
      </c>
      <c r="J246">
        <v>0</v>
      </c>
      <c r="K246">
        <v>0</v>
      </c>
      <c r="L246">
        <v>94115</v>
      </c>
      <c r="M246">
        <v>0</v>
      </c>
      <c r="N246">
        <v>0</v>
      </c>
      <c r="O246">
        <v>0</v>
      </c>
      <c r="Q246">
        <v>1</v>
      </c>
      <c r="R246">
        <v>0</v>
      </c>
      <c r="S246">
        <v>0</v>
      </c>
      <c r="T246">
        <v>16</v>
      </c>
      <c r="U246">
        <v>0.58333333333333004</v>
      </c>
      <c r="V246">
        <v>0.41666666666666002</v>
      </c>
      <c r="W246">
        <v>0.58333333333333004</v>
      </c>
      <c r="X246">
        <v>0.41666666666666002</v>
      </c>
      <c r="Y246">
        <v>0.77777777777777002</v>
      </c>
      <c r="Z246">
        <v>0.22222222222221999</v>
      </c>
      <c r="AA246">
        <v>0.41666666666666902</v>
      </c>
      <c r="AB246">
        <v>-0.41666666666666002</v>
      </c>
      <c r="AC246">
        <v>0</v>
      </c>
    </row>
    <row r="247" spans="1:29" x14ac:dyDescent="0.35">
      <c r="A247">
        <v>789</v>
      </c>
      <c r="B247">
        <v>789</v>
      </c>
      <c r="C247">
        <v>58</v>
      </c>
      <c r="D247">
        <v>34</v>
      </c>
      <c r="E247">
        <v>10</v>
      </c>
      <c r="F247">
        <v>4</v>
      </c>
      <c r="G247">
        <v>0.7</v>
      </c>
      <c r="H247">
        <v>1</v>
      </c>
      <c r="I247">
        <v>0</v>
      </c>
      <c r="J247">
        <v>0</v>
      </c>
      <c r="K247">
        <v>0</v>
      </c>
      <c r="L247">
        <v>92521</v>
      </c>
      <c r="M247">
        <v>0</v>
      </c>
      <c r="N247">
        <v>0</v>
      </c>
      <c r="O247">
        <v>0</v>
      </c>
      <c r="Q247">
        <v>1</v>
      </c>
      <c r="R247">
        <v>0</v>
      </c>
      <c r="S247">
        <v>0</v>
      </c>
      <c r="T247">
        <v>5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</row>
    <row r="248" spans="1:29" x14ac:dyDescent="0.35">
      <c r="A248">
        <v>791</v>
      </c>
      <c r="B248">
        <v>791</v>
      </c>
      <c r="C248">
        <v>55</v>
      </c>
      <c r="D248">
        <v>30</v>
      </c>
      <c r="E248">
        <v>58</v>
      </c>
      <c r="F248">
        <v>4</v>
      </c>
      <c r="G248">
        <v>0.9</v>
      </c>
      <c r="H248">
        <v>1</v>
      </c>
      <c r="I248">
        <v>0</v>
      </c>
      <c r="J248">
        <v>1</v>
      </c>
      <c r="K248">
        <v>1</v>
      </c>
      <c r="L248">
        <v>92028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5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</row>
    <row r="249" spans="1:29" x14ac:dyDescent="0.35">
      <c r="A249">
        <v>795</v>
      </c>
      <c r="B249">
        <v>795</v>
      </c>
      <c r="C249">
        <v>54</v>
      </c>
      <c r="D249">
        <v>29</v>
      </c>
      <c r="E249">
        <v>44</v>
      </c>
      <c r="F249">
        <v>2</v>
      </c>
      <c r="G249">
        <v>2.2999999999999998</v>
      </c>
      <c r="H249">
        <v>3</v>
      </c>
      <c r="I249">
        <v>0</v>
      </c>
      <c r="J249">
        <v>1</v>
      </c>
      <c r="K249">
        <v>0</v>
      </c>
      <c r="L249">
        <v>91301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5</v>
      </c>
      <c r="U249">
        <v>1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</row>
    <row r="250" spans="1:29" x14ac:dyDescent="0.35">
      <c r="A250">
        <v>797</v>
      </c>
      <c r="B250">
        <v>797</v>
      </c>
      <c r="C250">
        <v>30</v>
      </c>
      <c r="D250">
        <v>6</v>
      </c>
      <c r="E250">
        <v>82</v>
      </c>
      <c r="F250">
        <v>2</v>
      </c>
      <c r="G250">
        <v>2.5</v>
      </c>
      <c r="H250">
        <v>1</v>
      </c>
      <c r="I250">
        <v>0</v>
      </c>
      <c r="J250">
        <v>0</v>
      </c>
      <c r="K250">
        <v>0</v>
      </c>
      <c r="L250">
        <v>93657</v>
      </c>
      <c r="M250">
        <v>0</v>
      </c>
      <c r="N250">
        <v>0</v>
      </c>
      <c r="O250">
        <v>0</v>
      </c>
      <c r="Q250">
        <v>1</v>
      </c>
      <c r="R250">
        <v>0</v>
      </c>
      <c r="S250">
        <v>0</v>
      </c>
      <c r="T250">
        <v>5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</row>
    <row r="251" spans="1:29" x14ac:dyDescent="0.35">
      <c r="A251">
        <v>798</v>
      </c>
      <c r="B251">
        <v>798</v>
      </c>
      <c r="C251">
        <v>42</v>
      </c>
      <c r="D251">
        <v>17</v>
      </c>
      <c r="E251">
        <v>61</v>
      </c>
      <c r="F251">
        <v>3</v>
      </c>
      <c r="G251">
        <v>0.5</v>
      </c>
      <c r="H251">
        <v>3</v>
      </c>
      <c r="I251">
        <v>0</v>
      </c>
      <c r="J251">
        <v>1</v>
      </c>
      <c r="K251">
        <v>0</v>
      </c>
      <c r="L251">
        <v>94998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5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</row>
    <row r="252" spans="1:29" x14ac:dyDescent="0.35">
      <c r="A252">
        <v>799</v>
      </c>
      <c r="B252">
        <v>799</v>
      </c>
      <c r="C252">
        <v>29</v>
      </c>
      <c r="D252">
        <v>2</v>
      </c>
      <c r="E252">
        <v>38</v>
      </c>
      <c r="F252">
        <v>1</v>
      </c>
      <c r="G252">
        <v>2</v>
      </c>
      <c r="H252">
        <v>2</v>
      </c>
      <c r="I252">
        <v>0</v>
      </c>
      <c r="J252">
        <v>0</v>
      </c>
      <c r="K252">
        <v>0</v>
      </c>
      <c r="L252">
        <v>93063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5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</row>
    <row r="253" spans="1:29" x14ac:dyDescent="0.35">
      <c r="A253">
        <v>800</v>
      </c>
      <c r="B253">
        <v>800</v>
      </c>
      <c r="C253">
        <v>29</v>
      </c>
      <c r="D253">
        <v>3</v>
      </c>
      <c r="E253">
        <v>39</v>
      </c>
      <c r="F253">
        <v>4</v>
      </c>
      <c r="G253">
        <v>2.1</v>
      </c>
      <c r="H253">
        <v>3</v>
      </c>
      <c r="I253">
        <v>0</v>
      </c>
      <c r="J253">
        <v>1</v>
      </c>
      <c r="K253">
        <v>0</v>
      </c>
      <c r="L253">
        <v>95051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5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</row>
    <row r="254" spans="1:29" x14ac:dyDescent="0.35">
      <c r="A254">
        <v>802</v>
      </c>
      <c r="B254">
        <v>802</v>
      </c>
      <c r="C254">
        <v>47</v>
      </c>
      <c r="D254">
        <v>23</v>
      </c>
      <c r="E254">
        <v>8</v>
      </c>
      <c r="F254">
        <v>4</v>
      </c>
      <c r="G254">
        <v>0.2</v>
      </c>
      <c r="H254">
        <v>1</v>
      </c>
      <c r="I254">
        <v>0</v>
      </c>
      <c r="J254">
        <v>1</v>
      </c>
      <c r="K254">
        <v>0</v>
      </c>
      <c r="L254">
        <v>92612</v>
      </c>
      <c r="M254">
        <v>0</v>
      </c>
      <c r="N254">
        <v>0</v>
      </c>
      <c r="O254">
        <v>0</v>
      </c>
      <c r="Q254">
        <v>1</v>
      </c>
      <c r="R254">
        <v>0</v>
      </c>
      <c r="S254">
        <v>0</v>
      </c>
      <c r="T254">
        <v>5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</row>
    <row r="255" spans="1:29" x14ac:dyDescent="0.35">
      <c r="A255">
        <v>808</v>
      </c>
      <c r="B255">
        <v>808</v>
      </c>
      <c r="C255">
        <v>52</v>
      </c>
      <c r="D255">
        <v>27</v>
      </c>
      <c r="E255">
        <v>162</v>
      </c>
      <c r="F255">
        <v>1</v>
      </c>
      <c r="G255">
        <v>8.1</v>
      </c>
      <c r="H255">
        <v>1</v>
      </c>
      <c r="I255">
        <v>0</v>
      </c>
      <c r="J255">
        <v>1</v>
      </c>
      <c r="K255">
        <v>0</v>
      </c>
      <c r="L255">
        <v>92096</v>
      </c>
      <c r="M255">
        <v>0</v>
      </c>
      <c r="N255">
        <v>0</v>
      </c>
      <c r="O255">
        <v>0</v>
      </c>
      <c r="Q255">
        <v>1</v>
      </c>
      <c r="R255">
        <v>0</v>
      </c>
      <c r="S255">
        <v>0</v>
      </c>
      <c r="T255">
        <v>22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</row>
    <row r="256" spans="1:29" x14ac:dyDescent="0.35">
      <c r="A256">
        <v>812</v>
      </c>
      <c r="B256">
        <v>812</v>
      </c>
      <c r="C256">
        <v>63</v>
      </c>
      <c r="D256">
        <v>33</v>
      </c>
      <c r="E256">
        <v>52</v>
      </c>
      <c r="F256">
        <v>4</v>
      </c>
      <c r="G256">
        <v>1.67</v>
      </c>
      <c r="H256">
        <v>3</v>
      </c>
      <c r="I256">
        <v>0</v>
      </c>
      <c r="J256">
        <v>0</v>
      </c>
      <c r="K256">
        <v>0</v>
      </c>
      <c r="L256">
        <v>94720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5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</row>
    <row r="257" spans="1:29" x14ac:dyDescent="0.35">
      <c r="A257">
        <v>818</v>
      </c>
      <c r="B257">
        <v>818</v>
      </c>
      <c r="C257">
        <v>41</v>
      </c>
      <c r="D257">
        <v>15</v>
      </c>
      <c r="E257">
        <v>38</v>
      </c>
      <c r="F257">
        <v>2</v>
      </c>
      <c r="G257">
        <v>0.7</v>
      </c>
      <c r="H257">
        <v>1</v>
      </c>
      <c r="I257">
        <v>91</v>
      </c>
      <c r="J257">
        <v>1</v>
      </c>
      <c r="K257">
        <v>0</v>
      </c>
      <c r="L257">
        <v>90291</v>
      </c>
      <c r="M257">
        <v>0</v>
      </c>
      <c r="N257">
        <v>0</v>
      </c>
      <c r="O257">
        <v>0</v>
      </c>
      <c r="Q257">
        <v>1</v>
      </c>
      <c r="R257">
        <v>0</v>
      </c>
      <c r="S257">
        <v>0</v>
      </c>
      <c r="T257">
        <v>5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</row>
    <row r="258" spans="1:29" x14ac:dyDescent="0.35">
      <c r="A258">
        <v>821</v>
      </c>
      <c r="B258">
        <v>821</v>
      </c>
      <c r="C258">
        <v>51</v>
      </c>
      <c r="D258">
        <v>25</v>
      </c>
      <c r="E258">
        <v>145</v>
      </c>
      <c r="F258">
        <v>1</v>
      </c>
      <c r="G258">
        <v>0.3</v>
      </c>
      <c r="H258">
        <v>1</v>
      </c>
      <c r="I258">
        <v>0</v>
      </c>
      <c r="J258">
        <v>1</v>
      </c>
      <c r="K258">
        <v>0</v>
      </c>
      <c r="L258">
        <v>90740</v>
      </c>
      <c r="M258">
        <v>0</v>
      </c>
      <c r="N258">
        <v>0</v>
      </c>
      <c r="O258">
        <v>0</v>
      </c>
      <c r="Q258">
        <v>1</v>
      </c>
      <c r="R258">
        <v>0</v>
      </c>
      <c r="S258">
        <v>0</v>
      </c>
      <c r="T258">
        <v>22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</row>
    <row r="259" spans="1:29" x14ac:dyDescent="0.35">
      <c r="A259">
        <v>824</v>
      </c>
      <c r="B259">
        <v>824</v>
      </c>
      <c r="C259">
        <v>35</v>
      </c>
      <c r="D259">
        <v>9</v>
      </c>
      <c r="E259">
        <v>45</v>
      </c>
      <c r="F259">
        <v>1</v>
      </c>
      <c r="G259">
        <v>2</v>
      </c>
      <c r="H259">
        <v>1</v>
      </c>
      <c r="I259">
        <v>0</v>
      </c>
      <c r="J259">
        <v>1</v>
      </c>
      <c r="K259">
        <v>1</v>
      </c>
      <c r="L259">
        <v>90509</v>
      </c>
      <c r="M259">
        <v>0</v>
      </c>
      <c r="N259">
        <v>0</v>
      </c>
      <c r="O259">
        <v>0</v>
      </c>
      <c r="Q259">
        <v>1</v>
      </c>
      <c r="R259">
        <v>0</v>
      </c>
      <c r="S259">
        <v>0</v>
      </c>
      <c r="T259">
        <v>5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</row>
    <row r="260" spans="1:29" x14ac:dyDescent="0.35">
      <c r="A260">
        <v>828</v>
      </c>
      <c r="B260">
        <v>828</v>
      </c>
      <c r="C260">
        <v>63</v>
      </c>
      <c r="D260">
        <v>37</v>
      </c>
      <c r="E260">
        <v>45</v>
      </c>
      <c r="F260">
        <v>2</v>
      </c>
      <c r="G260">
        <v>1</v>
      </c>
      <c r="H260">
        <v>3</v>
      </c>
      <c r="I260">
        <v>88</v>
      </c>
      <c r="J260">
        <v>1</v>
      </c>
      <c r="K260">
        <v>1</v>
      </c>
      <c r="L260">
        <v>94542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5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</row>
    <row r="261" spans="1:29" x14ac:dyDescent="0.35">
      <c r="A261">
        <v>831</v>
      </c>
      <c r="B261">
        <v>831</v>
      </c>
      <c r="C261">
        <v>29</v>
      </c>
      <c r="D261">
        <v>5</v>
      </c>
      <c r="E261">
        <v>72</v>
      </c>
      <c r="F261">
        <v>3</v>
      </c>
      <c r="G261">
        <v>0.7</v>
      </c>
      <c r="H261">
        <v>2</v>
      </c>
      <c r="I261">
        <v>81</v>
      </c>
      <c r="J261">
        <v>0</v>
      </c>
      <c r="K261">
        <v>0</v>
      </c>
      <c r="L261">
        <v>92407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5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</row>
    <row r="262" spans="1:29" x14ac:dyDescent="0.35">
      <c r="A262">
        <v>836</v>
      </c>
      <c r="B262">
        <v>836</v>
      </c>
      <c r="C262">
        <v>58</v>
      </c>
      <c r="D262">
        <v>33</v>
      </c>
      <c r="E262">
        <v>142</v>
      </c>
      <c r="F262">
        <v>2</v>
      </c>
      <c r="G262">
        <v>3.9</v>
      </c>
      <c r="H262">
        <v>1</v>
      </c>
      <c r="I262">
        <v>193</v>
      </c>
      <c r="J262">
        <v>1</v>
      </c>
      <c r="K262">
        <v>1</v>
      </c>
      <c r="L262">
        <v>92691</v>
      </c>
      <c r="M262">
        <v>0</v>
      </c>
      <c r="N262">
        <v>0</v>
      </c>
      <c r="O262">
        <v>0</v>
      </c>
      <c r="Q262">
        <v>1</v>
      </c>
      <c r="R262">
        <v>0</v>
      </c>
      <c r="S262">
        <v>0</v>
      </c>
      <c r="T262">
        <v>22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</row>
    <row r="263" spans="1:29" x14ac:dyDescent="0.35">
      <c r="A263">
        <v>838</v>
      </c>
      <c r="B263">
        <v>838</v>
      </c>
      <c r="C263">
        <v>30</v>
      </c>
      <c r="D263">
        <v>4</v>
      </c>
      <c r="E263">
        <v>24</v>
      </c>
      <c r="F263">
        <v>1</v>
      </c>
      <c r="G263">
        <v>0.4</v>
      </c>
      <c r="H263">
        <v>2</v>
      </c>
      <c r="I263">
        <v>81</v>
      </c>
      <c r="J263">
        <v>1</v>
      </c>
      <c r="K263">
        <v>0</v>
      </c>
      <c r="L263">
        <v>92096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5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</row>
    <row r="264" spans="1:29" x14ac:dyDescent="0.35">
      <c r="A264">
        <v>846</v>
      </c>
      <c r="B264">
        <v>846</v>
      </c>
      <c r="C264">
        <v>44</v>
      </c>
      <c r="D264">
        <v>17</v>
      </c>
      <c r="E264">
        <v>29</v>
      </c>
      <c r="F264">
        <v>3</v>
      </c>
      <c r="G264">
        <v>1</v>
      </c>
      <c r="H264">
        <v>2</v>
      </c>
      <c r="I264">
        <v>0</v>
      </c>
      <c r="J264">
        <v>1</v>
      </c>
      <c r="K264">
        <v>1</v>
      </c>
      <c r="L264">
        <v>94706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5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</row>
    <row r="265" spans="1:29" x14ac:dyDescent="0.35">
      <c r="A265">
        <v>850</v>
      </c>
      <c r="B265">
        <v>850</v>
      </c>
      <c r="C265">
        <v>33</v>
      </c>
      <c r="D265">
        <v>8</v>
      </c>
      <c r="E265">
        <v>58</v>
      </c>
      <c r="F265">
        <v>2</v>
      </c>
      <c r="G265">
        <v>0.1</v>
      </c>
      <c r="H265">
        <v>1</v>
      </c>
      <c r="I265">
        <v>0</v>
      </c>
      <c r="J265">
        <v>1</v>
      </c>
      <c r="K265">
        <v>1</v>
      </c>
      <c r="L265">
        <v>94305</v>
      </c>
      <c r="M265">
        <v>0</v>
      </c>
      <c r="N265">
        <v>1</v>
      </c>
      <c r="O265">
        <v>1</v>
      </c>
      <c r="Q265">
        <v>1</v>
      </c>
      <c r="R265">
        <v>0</v>
      </c>
      <c r="S265">
        <v>0</v>
      </c>
      <c r="T265">
        <v>5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</row>
    <row r="266" spans="1:29" x14ac:dyDescent="0.35">
      <c r="A266">
        <v>852</v>
      </c>
      <c r="B266">
        <v>852</v>
      </c>
      <c r="C266">
        <v>41</v>
      </c>
      <c r="D266">
        <v>16</v>
      </c>
      <c r="E266">
        <v>23</v>
      </c>
      <c r="F266">
        <v>2</v>
      </c>
      <c r="G266">
        <v>1.4</v>
      </c>
      <c r="H266">
        <v>2</v>
      </c>
      <c r="I266">
        <v>0</v>
      </c>
      <c r="J266">
        <v>1</v>
      </c>
      <c r="K266">
        <v>0</v>
      </c>
      <c r="L266">
        <v>94521</v>
      </c>
      <c r="M266">
        <v>0</v>
      </c>
      <c r="N266">
        <v>1</v>
      </c>
      <c r="O266">
        <v>0</v>
      </c>
      <c r="Q266">
        <v>0</v>
      </c>
      <c r="R266">
        <v>0</v>
      </c>
      <c r="S266">
        <v>0</v>
      </c>
      <c r="T266">
        <v>5</v>
      </c>
      <c r="U266">
        <v>1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</row>
    <row r="267" spans="1:29" x14ac:dyDescent="0.35">
      <c r="A267">
        <v>853</v>
      </c>
      <c r="B267">
        <v>853</v>
      </c>
      <c r="C267">
        <v>33</v>
      </c>
      <c r="D267">
        <v>7</v>
      </c>
      <c r="E267">
        <v>29</v>
      </c>
      <c r="F267">
        <v>1</v>
      </c>
      <c r="G267">
        <v>0.6</v>
      </c>
      <c r="H267">
        <v>3</v>
      </c>
      <c r="I267">
        <v>127</v>
      </c>
      <c r="J267">
        <v>0</v>
      </c>
      <c r="K267">
        <v>1</v>
      </c>
      <c r="L267">
        <v>92064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5</v>
      </c>
      <c r="U267">
        <v>1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</row>
    <row r="268" spans="1:29" x14ac:dyDescent="0.35">
      <c r="A268">
        <v>854</v>
      </c>
      <c r="B268">
        <v>854</v>
      </c>
      <c r="C268">
        <v>27</v>
      </c>
      <c r="D268">
        <v>2</v>
      </c>
      <c r="E268">
        <v>155</v>
      </c>
      <c r="F268">
        <v>1</v>
      </c>
      <c r="G268">
        <v>0.8</v>
      </c>
      <c r="H268">
        <v>1</v>
      </c>
      <c r="I268">
        <v>0</v>
      </c>
      <c r="J268">
        <v>0</v>
      </c>
      <c r="K268">
        <v>0</v>
      </c>
      <c r="L268">
        <v>95138</v>
      </c>
      <c r="M268">
        <v>0</v>
      </c>
      <c r="N268">
        <v>0</v>
      </c>
      <c r="O268">
        <v>0</v>
      </c>
      <c r="Q268">
        <v>1</v>
      </c>
      <c r="R268">
        <v>0</v>
      </c>
      <c r="S268">
        <v>0</v>
      </c>
      <c r="T268">
        <v>22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</row>
    <row r="269" spans="1:29" x14ac:dyDescent="0.35">
      <c r="A269">
        <v>864</v>
      </c>
      <c r="B269">
        <v>864</v>
      </c>
      <c r="C269">
        <v>54</v>
      </c>
      <c r="D269">
        <v>30</v>
      </c>
      <c r="E269">
        <v>70</v>
      </c>
      <c r="F269">
        <v>1</v>
      </c>
      <c r="G269">
        <v>1.6</v>
      </c>
      <c r="H269">
        <v>3</v>
      </c>
      <c r="I269">
        <v>265</v>
      </c>
      <c r="J269">
        <v>0</v>
      </c>
      <c r="K269">
        <v>0</v>
      </c>
      <c r="L269">
        <v>90095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5</v>
      </c>
      <c r="U269">
        <v>1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</row>
    <row r="270" spans="1:29" x14ac:dyDescent="0.35">
      <c r="A270">
        <v>865</v>
      </c>
      <c r="B270">
        <v>865</v>
      </c>
      <c r="C270">
        <v>28</v>
      </c>
      <c r="D270">
        <v>2</v>
      </c>
      <c r="E270">
        <v>10</v>
      </c>
      <c r="F270">
        <v>1</v>
      </c>
      <c r="G270">
        <v>0.1</v>
      </c>
      <c r="H270">
        <v>2</v>
      </c>
      <c r="I270">
        <v>0</v>
      </c>
      <c r="J270">
        <v>1</v>
      </c>
      <c r="K270">
        <v>0</v>
      </c>
      <c r="L270">
        <v>94080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5</v>
      </c>
      <c r="U270">
        <v>1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</row>
    <row r="271" spans="1:29" x14ac:dyDescent="0.35">
      <c r="A271">
        <v>866</v>
      </c>
      <c r="B271">
        <v>866</v>
      </c>
      <c r="C271">
        <v>60</v>
      </c>
      <c r="D271">
        <v>34</v>
      </c>
      <c r="E271">
        <v>22</v>
      </c>
      <c r="F271">
        <v>3</v>
      </c>
      <c r="G271">
        <v>0.3</v>
      </c>
      <c r="H271">
        <v>3</v>
      </c>
      <c r="I271">
        <v>139</v>
      </c>
      <c r="J271">
        <v>1</v>
      </c>
      <c r="K271">
        <v>1</v>
      </c>
      <c r="L271">
        <v>92037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5</v>
      </c>
      <c r="U271">
        <v>1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</row>
    <row r="272" spans="1:29" x14ac:dyDescent="0.35">
      <c r="A272">
        <v>867</v>
      </c>
      <c r="B272">
        <v>867</v>
      </c>
      <c r="C272">
        <v>44</v>
      </c>
      <c r="D272">
        <v>20</v>
      </c>
      <c r="E272">
        <v>70</v>
      </c>
      <c r="F272">
        <v>4</v>
      </c>
      <c r="G272">
        <v>1.9</v>
      </c>
      <c r="H272">
        <v>1</v>
      </c>
      <c r="I272">
        <v>0</v>
      </c>
      <c r="J272">
        <v>1</v>
      </c>
      <c r="K272">
        <v>0</v>
      </c>
      <c r="L272">
        <v>94611</v>
      </c>
      <c r="M272">
        <v>0</v>
      </c>
      <c r="N272">
        <v>0</v>
      </c>
      <c r="O272">
        <v>0</v>
      </c>
      <c r="Q272">
        <v>1</v>
      </c>
      <c r="R272">
        <v>0</v>
      </c>
      <c r="S272">
        <v>0</v>
      </c>
      <c r="T272">
        <v>5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</row>
    <row r="273" spans="1:29" x14ac:dyDescent="0.35">
      <c r="A273">
        <v>869</v>
      </c>
      <c r="B273">
        <v>869</v>
      </c>
      <c r="C273">
        <v>40</v>
      </c>
      <c r="D273">
        <v>15</v>
      </c>
      <c r="E273">
        <v>161</v>
      </c>
      <c r="F273">
        <v>2</v>
      </c>
      <c r="G273">
        <v>3.3</v>
      </c>
      <c r="H273">
        <v>1</v>
      </c>
      <c r="I273">
        <v>0</v>
      </c>
      <c r="J273">
        <v>0</v>
      </c>
      <c r="K273">
        <v>1</v>
      </c>
      <c r="L273">
        <v>94596</v>
      </c>
      <c r="M273">
        <v>0</v>
      </c>
      <c r="N273">
        <v>1</v>
      </c>
      <c r="O273">
        <v>0</v>
      </c>
      <c r="Q273">
        <v>1</v>
      </c>
      <c r="R273">
        <v>0</v>
      </c>
      <c r="S273">
        <v>0</v>
      </c>
      <c r="T273">
        <v>22</v>
      </c>
      <c r="U273">
        <v>1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</row>
    <row r="274" spans="1:29" x14ac:dyDescent="0.35">
      <c r="A274">
        <v>873</v>
      </c>
      <c r="B274">
        <v>873</v>
      </c>
      <c r="C274">
        <v>32</v>
      </c>
      <c r="D274">
        <v>7</v>
      </c>
      <c r="E274">
        <v>44</v>
      </c>
      <c r="F274">
        <v>4</v>
      </c>
      <c r="G274">
        <v>0.8</v>
      </c>
      <c r="H274">
        <v>1</v>
      </c>
      <c r="I274">
        <v>0</v>
      </c>
      <c r="J274">
        <v>1</v>
      </c>
      <c r="K274">
        <v>0</v>
      </c>
      <c r="L274">
        <v>90095</v>
      </c>
      <c r="M274">
        <v>0</v>
      </c>
      <c r="N274">
        <v>0</v>
      </c>
      <c r="O274">
        <v>0</v>
      </c>
      <c r="Q274">
        <v>1</v>
      </c>
      <c r="R274">
        <v>0</v>
      </c>
      <c r="S274">
        <v>0</v>
      </c>
      <c r="T274">
        <v>5</v>
      </c>
      <c r="U274">
        <v>1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</row>
    <row r="275" spans="1:29" x14ac:dyDescent="0.35">
      <c r="A275">
        <v>875</v>
      </c>
      <c r="B275">
        <v>875</v>
      </c>
      <c r="C275">
        <v>30</v>
      </c>
      <c r="D275">
        <v>4</v>
      </c>
      <c r="E275">
        <v>40</v>
      </c>
      <c r="F275">
        <v>4</v>
      </c>
      <c r="G275">
        <v>2.1</v>
      </c>
      <c r="H275">
        <v>3</v>
      </c>
      <c r="I275">
        <v>0</v>
      </c>
      <c r="J275">
        <v>1</v>
      </c>
      <c r="K275">
        <v>1</v>
      </c>
      <c r="L275">
        <v>92056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5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</row>
    <row r="276" spans="1:29" x14ac:dyDescent="0.35">
      <c r="A276">
        <v>876</v>
      </c>
      <c r="B276">
        <v>876</v>
      </c>
      <c r="C276">
        <v>61</v>
      </c>
      <c r="D276">
        <v>36</v>
      </c>
      <c r="E276">
        <v>21</v>
      </c>
      <c r="F276">
        <v>4</v>
      </c>
      <c r="G276">
        <v>0.4</v>
      </c>
      <c r="H276">
        <v>2</v>
      </c>
      <c r="I276">
        <v>123</v>
      </c>
      <c r="J276">
        <v>0</v>
      </c>
      <c r="K276">
        <v>0</v>
      </c>
      <c r="L276">
        <v>95616</v>
      </c>
      <c r="M276">
        <v>0</v>
      </c>
      <c r="N276">
        <v>0</v>
      </c>
      <c r="O276">
        <v>0</v>
      </c>
      <c r="Q276">
        <v>0</v>
      </c>
      <c r="R276">
        <v>0</v>
      </c>
      <c r="S276">
        <v>0</v>
      </c>
      <c r="T276">
        <v>5</v>
      </c>
      <c r="U276">
        <v>1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</row>
    <row r="277" spans="1:29" x14ac:dyDescent="0.35">
      <c r="A277">
        <v>881</v>
      </c>
      <c r="B277">
        <v>881</v>
      </c>
      <c r="C277">
        <v>57</v>
      </c>
      <c r="D277">
        <v>31</v>
      </c>
      <c r="E277">
        <v>58</v>
      </c>
      <c r="F277">
        <v>1</v>
      </c>
      <c r="G277">
        <v>0.2</v>
      </c>
      <c r="H277">
        <v>1</v>
      </c>
      <c r="I277">
        <v>177</v>
      </c>
      <c r="J277">
        <v>1</v>
      </c>
      <c r="K277">
        <v>0</v>
      </c>
      <c r="L277">
        <v>91604</v>
      </c>
      <c r="M277">
        <v>0</v>
      </c>
      <c r="N277">
        <v>0</v>
      </c>
      <c r="O277">
        <v>0</v>
      </c>
      <c r="Q277">
        <v>1</v>
      </c>
      <c r="R277">
        <v>0</v>
      </c>
      <c r="S277">
        <v>0</v>
      </c>
      <c r="T277">
        <v>5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</row>
    <row r="278" spans="1:29" x14ac:dyDescent="0.35">
      <c r="A278">
        <v>882</v>
      </c>
      <c r="B278">
        <v>882</v>
      </c>
      <c r="C278">
        <v>44</v>
      </c>
      <c r="D278">
        <v>19</v>
      </c>
      <c r="E278">
        <v>154</v>
      </c>
      <c r="F278">
        <v>2</v>
      </c>
      <c r="G278">
        <v>8.8000000000000007</v>
      </c>
      <c r="H278">
        <v>1</v>
      </c>
      <c r="I278">
        <v>0</v>
      </c>
      <c r="J278">
        <v>1</v>
      </c>
      <c r="K278">
        <v>0</v>
      </c>
      <c r="L278">
        <v>92116</v>
      </c>
      <c r="M278">
        <v>0</v>
      </c>
      <c r="N278">
        <v>0</v>
      </c>
      <c r="O278">
        <v>0</v>
      </c>
      <c r="Q278">
        <v>1</v>
      </c>
      <c r="R278">
        <v>0</v>
      </c>
      <c r="S278">
        <v>0</v>
      </c>
      <c r="T278">
        <v>22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</row>
    <row r="279" spans="1:29" x14ac:dyDescent="0.35">
      <c r="A279">
        <v>884</v>
      </c>
      <c r="B279">
        <v>884</v>
      </c>
      <c r="C279">
        <v>51</v>
      </c>
      <c r="D279">
        <v>26</v>
      </c>
      <c r="E279">
        <v>78</v>
      </c>
      <c r="F279">
        <v>1</v>
      </c>
      <c r="G279">
        <v>1.2</v>
      </c>
      <c r="H279">
        <v>1</v>
      </c>
      <c r="I279">
        <v>305</v>
      </c>
      <c r="J279">
        <v>1</v>
      </c>
      <c r="K279">
        <v>0</v>
      </c>
      <c r="L279">
        <v>92703</v>
      </c>
      <c r="M279">
        <v>0</v>
      </c>
      <c r="N279">
        <v>0</v>
      </c>
      <c r="O279">
        <v>0</v>
      </c>
      <c r="Q279">
        <v>1</v>
      </c>
      <c r="R279">
        <v>0</v>
      </c>
      <c r="S279">
        <v>0</v>
      </c>
      <c r="T279">
        <v>5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</row>
    <row r="280" spans="1:29" x14ac:dyDescent="0.35">
      <c r="A280">
        <v>891</v>
      </c>
      <c r="B280">
        <v>891</v>
      </c>
      <c r="C280">
        <v>55</v>
      </c>
      <c r="D280">
        <v>29</v>
      </c>
      <c r="E280">
        <v>29</v>
      </c>
      <c r="F280">
        <v>4</v>
      </c>
      <c r="G280">
        <v>1.5</v>
      </c>
      <c r="H280">
        <v>3</v>
      </c>
      <c r="I280">
        <v>79</v>
      </c>
      <c r="J280">
        <v>1</v>
      </c>
      <c r="K280">
        <v>0</v>
      </c>
      <c r="L280">
        <v>92780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5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</row>
    <row r="281" spans="1:29" x14ac:dyDescent="0.35">
      <c r="A281">
        <v>898</v>
      </c>
      <c r="B281">
        <v>898</v>
      </c>
      <c r="C281">
        <v>62</v>
      </c>
      <c r="D281">
        <v>37</v>
      </c>
      <c r="E281">
        <v>21</v>
      </c>
      <c r="F281">
        <v>4</v>
      </c>
      <c r="G281">
        <v>0.4</v>
      </c>
      <c r="H281">
        <v>2</v>
      </c>
      <c r="I281">
        <v>137</v>
      </c>
      <c r="J281">
        <v>1</v>
      </c>
      <c r="K281">
        <v>1</v>
      </c>
      <c r="L281">
        <v>92691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5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</row>
    <row r="282" spans="1:29" x14ac:dyDescent="0.35">
      <c r="A282">
        <v>903</v>
      </c>
      <c r="B282">
        <v>903</v>
      </c>
      <c r="C282">
        <v>57</v>
      </c>
      <c r="D282">
        <v>33</v>
      </c>
      <c r="E282">
        <v>95</v>
      </c>
      <c r="F282">
        <v>2</v>
      </c>
      <c r="G282">
        <v>1.6</v>
      </c>
      <c r="H282">
        <v>1</v>
      </c>
      <c r="I282">
        <v>0</v>
      </c>
      <c r="J282">
        <v>0</v>
      </c>
      <c r="K282">
        <v>0</v>
      </c>
      <c r="L282">
        <v>95054</v>
      </c>
      <c r="M282">
        <v>0</v>
      </c>
      <c r="N282">
        <v>0</v>
      </c>
      <c r="O282">
        <v>0</v>
      </c>
      <c r="Q282">
        <v>1</v>
      </c>
      <c r="R282">
        <v>0</v>
      </c>
      <c r="S282">
        <v>0</v>
      </c>
      <c r="T282">
        <v>5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</row>
    <row r="283" spans="1:29" x14ac:dyDescent="0.35">
      <c r="A283">
        <v>906</v>
      </c>
      <c r="B283">
        <v>906</v>
      </c>
      <c r="C283">
        <v>46</v>
      </c>
      <c r="D283">
        <v>22</v>
      </c>
      <c r="E283">
        <v>28</v>
      </c>
      <c r="F283">
        <v>1</v>
      </c>
      <c r="G283">
        <v>1</v>
      </c>
      <c r="H283">
        <v>1</v>
      </c>
      <c r="I283">
        <v>84</v>
      </c>
      <c r="J283">
        <v>1</v>
      </c>
      <c r="K283">
        <v>1</v>
      </c>
      <c r="L283">
        <v>94720</v>
      </c>
      <c r="M283">
        <v>0</v>
      </c>
      <c r="N283">
        <v>0</v>
      </c>
      <c r="O283">
        <v>0</v>
      </c>
      <c r="Q283">
        <v>1</v>
      </c>
      <c r="R283">
        <v>0</v>
      </c>
      <c r="S283">
        <v>0</v>
      </c>
      <c r="T283">
        <v>5</v>
      </c>
      <c r="U283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</row>
    <row r="284" spans="1:29" x14ac:dyDescent="0.35">
      <c r="A284">
        <v>914</v>
      </c>
      <c r="B284">
        <v>914</v>
      </c>
      <c r="C284">
        <v>57</v>
      </c>
      <c r="D284">
        <v>32</v>
      </c>
      <c r="E284">
        <v>34</v>
      </c>
      <c r="F284">
        <v>2</v>
      </c>
      <c r="G284">
        <v>2</v>
      </c>
      <c r="H284">
        <v>2</v>
      </c>
      <c r="I284">
        <v>0</v>
      </c>
      <c r="J284">
        <v>0</v>
      </c>
      <c r="K284">
        <v>0</v>
      </c>
      <c r="L284">
        <v>92507</v>
      </c>
      <c r="M284">
        <v>0</v>
      </c>
      <c r="N284">
        <v>1</v>
      </c>
      <c r="O284">
        <v>0</v>
      </c>
      <c r="Q284">
        <v>0</v>
      </c>
      <c r="R284">
        <v>0</v>
      </c>
      <c r="S284">
        <v>0</v>
      </c>
      <c r="T284">
        <v>5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</row>
    <row r="285" spans="1:29" x14ac:dyDescent="0.35">
      <c r="A285">
        <v>919</v>
      </c>
      <c r="B285">
        <v>919</v>
      </c>
      <c r="C285">
        <v>41</v>
      </c>
      <c r="D285">
        <v>16</v>
      </c>
      <c r="E285">
        <v>64</v>
      </c>
      <c r="F285">
        <v>3</v>
      </c>
      <c r="G285">
        <v>0.5</v>
      </c>
      <c r="H285">
        <v>3</v>
      </c>
      <c r="I285">
        <v>0</v>
      </c>
      <c r="J285">
        <v>0</v>
      </c>
      <c r="K285">
        <v>0</v>
      </c>
      <c r="L285">
        <v>92325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5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</row>
    <row r="286" spans="1:29" x14ac:dyDescent="0.35">
      <c r="A286">
        <v>922</v>
      </c>
      <c r="B286">
        <v>922</v>
      </c>
      <c r="C286">
        <v>31</v>
      </c>
      <c r="D286">
        <v>5</v>
      </c>
      <c r="E286">
        <v>91</v>
      </c>
      <c r="F286">
        <v>3</v>
      </c>
      <c r="G286">
        <v>1.6</v>
      </c>
      <c r="H286">
        <v>1</v>
      </c>
      <c r="I286">
        <v>126</v>
      </c>
      <c r="J286">
        <v>1</v>
      </c>
      <c r="K286">
        <v>1</v>
      </c>
      <c r="L286">
        <v>92096</v>
      </c>
      <c r="M286">
        <v>0</v>
      </c>
      <c r="N286">
        <v>0</v>
      </c>
      <c r="O286">
        <v>0</v>
      </c>
      <c r="Q286">
        <v>1</v>
      </c>
      <c r="R286">
        <v>0</v>
      </c>
      <c r="S286">
        <v>0</v>
      </c>
      <c r="T286">
        <v>5</v>
      </c>
      <c r="U286">
        <v>1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</row>
    <row r="287" spans="1:29" x14ac:dyDescent="0.35">
      <c r="A287">
        <v>923</v>
      </c>
      <c r="B287">
        <v>923</v>
      </c>
      <c r="C287">
        <v>32</v>
      </c>
      <c r="D287">
        <v>6</v>
      </c>
      <c r="E287">
        <v>38</v>
      </c>
      <c r="F287">
        <v>1</v>
      </c>
      <c r="G287">
        <v>0.3</v>
      </c>
      <c r="H287">
        <v>1</v>
      </c>
      <c r="I287">
        <v>0</v>
      </c>
      <c r="J287">
        <v>1</v>
      </c>
      <c r="K287">
        <v>0</v>
      </c>
      <c r="L287">
        <v>92868</v>
      </c>
      <c r="M287">
        <v>0</v>
      </c>
      <c r="N287">
        <v>1</v>
      </c>
      <c r="O287">
        <v>1</v>
      </c>
      <c r="Q287">
        <v>1</v>
      </c>
      <c r="R287">
        <v>0</v>
      </c>
      <c r="S287">
        <v>0</v>
      </c>
      <c r="T287">
        <v>5</v>
      </c>
      <c r="U287">
        <v>1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</row>
    <row r="288" spans="1:29" x14ac:dyDescent="0.35">
      <c r="A288">
        <v>924</v>
      </c>
      <c r="B288">
        <v>924</v>
      </c>
      <c r="C288">
        <v>55</v>
      </c>
      <c r="D288">
        <v>30</v>
      </c>
      <c r="E288">
        <v>28</v>
      </c>
      <c r="F288">
        <v>1</v>
      </c>
      <c r="G288">
        <v>1.5</v>
      </c>
      <c r="H288">
        <v>2</v>
      </c>
      <c r="I288">
        <v>0</v>
      </c>
      <c r="J288">
        <v>0</v>
      </c>
      <c r="K288">
        <v>0</v>
      </c>
      <c r="L288">
        <v>95123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5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</row>
    <row r="289" spans="1:29" x14ac:dyDescent="0.35">
      <c r="A289">
        <v>926</v>
      </c>
      <c r="B289">
        <v>926</v>
      </c>
      <c r="C289">
        <v>42</v>
      </c>
      <c r="D289">
        <v>18</v>
      </c>
      <c r="E289">
        <v>31</v>
      </c>
      <c r="F289">
        <v>1</v>
      </c>
      <c r="G289">
        <v>0.3</v>
      </c>
      <c r="H289">
        <v>3</v>
      </c>
      <c r="I289">
        <v>0</v>
      </c>
      <c r="J289">
        <v>0</v>
      </c>
      <c r="K289">
        <v>1</v>
      </c>
      <c r="L289">
        <v>94720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5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</row>
    <row r="290" spans="1:29" x14ac:dyDescent="0.35">
      <c r="A290">
        <v>933</v>
      </c>
      <c r="B290">
        <v>933</v>
      </c>
      <c r="C290">
        <v>51</v>
      </c>
      <c r="D290">
        <v>27</v>
      </c>
      <c r="E290">
        <v>112</v>
      </c>
      <c r="F290">
        <v>3</v>
      </c>
      <c r="G290">
        <v>1.8</v>
      </c>
      <c r="H290">
        <v>2</v>
      </c>
      <c r="I290">
        <v>0</v>
      </c>
      <c r="J290">
        <v>1</v>
      </c>
      <c r="K290">
        <v>1</v>
      </c>
      <c r="L290">
        <v>94720</v>
      </c>
      <c r="M290">
        <v>0</v>
      </c>
      <c r="N290">
        <v>1</v>
      </c>
      <c r="O290">
        <v>1</v>
      </c>
      <c r="Q290">
        <v>0</v>
      </c>
      <c r="R290">
        <v>0</v>
      </c>
      <c r="S290">
        <v>0</v>
      </c>
      <c r="T290">
        <v>13</v>
      </c>
      <c r="U290">
        <v>0.88607594936708001</v>
      </c>
      <c r="V290">
        <v>0.11392405063291</v>
      </c>
      <c r="W290">
        <v>0.88607594936708001</v>
      </c>
      <c r="X290">
        <v>0.11392405063291</v>
      </c>
      <c r="Y290">
        <v>0.86842105263156999</v>
      </c>
      <c r="Z290">
        <v>0.13157894736841999</v>
      </c>
      <c r="AA290">
        <v>0.11392405063291999</v>
      </c>
      <c r="AB290">
        <v>-0.11392405063291</v>
      </c>
      <c r="AC290">
        <v>0</v>
      </c>
    </row>
    <row r="291" spans="1:29" x14ac:dyDescent="0.35">
      <c r="A291">
        <v>940</v>
      </c>
      <c r="B291">
        <v>940</v>
      </c>
      <c r="C291">
        <v>56</v>
      </c>
      <c r="D291">
        <v>32</v>
      </c>
      <c r="E291">
        <v>8</v>
      </c>
      <c r="F291">
        <v>2</v>
      </c>
      <c r="G291">
        <v>0.3</v>
      </c>
      <c r="H291">
        <v>1</v>
      </c>
      <c r="I291">
        <v>0</v>
      </c>
      <c r="J291">
        <v>1</v>
      </c>
      <c r="K291">
        <v>1</v>
      </c>
      <c r="L291">
        <v>93943</v>
      </c>
      <c r="M291">
        <v>0</v>
      </c>
      <c r="N291">
        <v>0</v>
      </c>
      <c r="O291">
        <v>0</v>
      </c>
      <c r="Q291">
        <v>1</v>
      </c>
      <c r="R291">
        <v>0</v>
      </c>
      <c r="S291">
        <v>0</v>
      </c>
      <c r="T291">
        <v>5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</row>
    <row r="292" spans="1:29" x14ac:dyDescent="0.35">
      <c r="A292">
        <v>941</v>
      </c>
      <c r="B292">
        <v>941</v>
      </c>
      <c r="C292">
        <v>61</v>
      </c>
      <c r="D292">
        <v>36</v>
      </c>
      <c r="E292">
        <v>193</v>
      </c>
      <c r="F292">
        <v>1</v>
      </c>
      <c r="G292">
        <v>4.7</v>
      </c>
      <c r="H292">
        <v>3</v>
      </c>
      <c r="I292">
        <v>203</v>
      </c>
      <c r="J292">
        <v>1</v>
      </c>
      <c r="K292">
        <v>0</v>
      </c>
      <c r="L292">
        <v>94303</v>
      </c>
      <c r="M292">
        <v>1</v>
      </c>
      <c r="N292">
        <v>0</v>
      </c>
      <c r="O292">
        <v>0</v>
      </c>
      <c r="Q292">
        <v>0</v>
      </c>
      <c r="R292">
        <v>1</v>
      </c>
      <c r="S292">
        <v>1</v>
      </c>
      <c r="T292">
        <v>10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0</v>
      </c>
      <c r="AC292">
        <v>1</v>
      </c>
    </row>
    <row r="293" spans="1:29" x14ac:dyDescent="0.35">
      <c r="A293">
        <v>945</v>
      </c>
      <c r="B293">
        <v>945</v>
      </c>
      <c r="C293">
        <v>41</v>
      </c>
      <c r="D293">
        <v>15</v>
      </c>
      <c r="E293">
        <v>22</v>
      </c>
      <c r="F293">
        <v>4</v>
      </c>
      <c r="G293">
        <v>1.5</v>
      </c>
      <c r="H293">
        <v>3</v>
      </c>
      <c r="I293">
        <v>0</v>
      </c>
      <c r="J293">
        <v>0</v>
      </c>
      <c r="K293">
        <v>1</v>
      </c>
      <c r="L293">
        <v>90503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5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</row>
    <row r="294" spans="1:29" x14ac:dyDescent="0.35">
      <c r="A294">
        <v>951</v>
      </c>
      <c r="B294">
        <v>951</v>
      </c>
      <c r="C294">
        <v>32</v>
      </c>
      <c r="D294">
        <v>6</v>
      </c>
      <c r="E294">
        <v>112</v>
      </c>
      <c r="F294">
        <v>4</v>
      </c>
      <c r="G294">
        <v>1.8</v>
      </c>
      <c r="H294">
        <v>2</v>
      </c>
      <c r="I294">
        <v>0</v>
      </c>
      <c r="J294">
        <v>1</v>
      </c>
      <c r="K294">
        <v>0</v>
      </c>
      <c r="L294">
        <v>95054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13</v>
      </c>
      <c r="U294">
        <v>0.88607594936708001</v>
      </c>
      <c r="V294">
        <v>0.11392405063291</v>
      </c>
      <c r="W294">
        <v>0.88607594936708001</v>
      </c>
      <c r="X294">
        <v>0.11392405063291</v>
      </c>
      <c r="Y294">
        <v>0.86842105263156999</v>
      </c>
      <c r="Z294">
        <v>0.13157894736841999</v>
      </c>
      <c r="AA294">
        <v>0.11392405063291999</v>
      </c>
      <c r="AB294">
        <v>-0.11392405063291</v>
      </c>
      <c r="AC294">
        <v>0</v>
      </c>
    </row>
    <row r="295" spans="1:29" x14ac:dyDescent="0.35">
      <c r="A295">
        <v>961</v>
      </c>
      <c r="B295">
        <v>961</v>
      </c>
      <c r="C295">
        <v>46</v>
      </c>
      <c r="D295">
        <v>22</v>
      </c>
      <c r="E295">
        <v>144</v>
      </c>
      <c r="F295">
        <v>2</v>
      </c>
      <c r="G295">
        <v>3.3</v>
      </c>
      <c r="H295">
        <v>1</v>
      </c>
      <c r="I295">
        <v>0</v>
      </c>
      <c r="J295">
        <v>1</v>
      </c>
      <c r="K295">
        <v>1</v>
      </c>
      <c r="L295">
        <v>93611</v>
      </c>
      <c r="M295">
        <v>0</v>
      </c>
      <c r="N295">
        <v>0</v>
      </c>
      <c r="O295">
        <v>0</v>
      </c>
      <c r="Q295">
        <v>1</v>
      </c>
      <c r="R295">
        <v>0</v>
      </c>
      <c r="S295">
        <v>0</v>
      </c>
      <c r="T295">
        <v>22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</row>
    <row r="296" spans="1:29" x14ac:dyDescent="0.35">
      <c r="A296">
        <v>964</v>
      </c>
      <c r="B296">
        <v>964</v>
      </c>
      <c r="C296">
        <v>39</v>
      </c>
      <c r="D296">
        <v>14</v>
      </c>
      <c r="E296">
        <v>24</v>
      </c>
      <c r="F296">
        <v>2</v>
      </c>
      <c r="G296">
        <v>0.3</v>
      </c>
      <c r="H296">
        <v>2</v>
      </c>
      <c r="I296">
        <v>0</v>
      </c>
      <c r="J296">
        <v>0</v>
      </c>
      <c r="K296">
        <v>0</v>
      </c>
      <c r="L296">
        <v>94305</v>
      </c>
      <c r="M296">
        <v>0</v>
      </c>
      <c r="N296">
        <v>0</v>
      </c>
      <c r="O296">
        <v>0</v>
      </c>
      <c r="Q296">
        <v>0</v>
      </c>
      <c r="R296">
        <v>0</v>
      </c>
      <c r="S296">
        <v>0</v>
      </c>
      <c r="T296">
        <v>5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</row>
    <row r="297" spans="1:29" x14ac:dyDescent="0.35">
      <c r="A297">
        <v>966</v>
      </c>
      <c r="B297">
        <v>966</v>
      </c>
      <c r="C297">
        <v>62</v>
      </c>
      <c r="D297">
        <v>36</v>
      </c>
      <c r="E297">
        <v>135</v>
      </c>
      <c r="F297">
        <v>2</v>
      </c>
      <c r="G297">
        <v>5.2</v>
      </c>
      <c r="H297">
        <v>2</v>
      </c>
      <c r="I297">
        <v>0</v>
      </c>
      <c r="J297">
        <v>1</v>
      </c>
      <c r="K297">
        <v>0</v>
      </c>
      <c r="L297">
        <v>94301</v>
      </c>
      <c r="M297">
        <v>1</v>
      </c>
      <c r="N297">
        <v>0</v>
      </c>
      <c r="O297">
        <v>0</v>
      </c>
      <c r="Q297">
        <v>0</v>
      </c>
      <c r="R297">
        <v>1</v>
      </c>
      <c r="S297">
        <v>1</v>
      </c>
      <c r="T297">
        <v>10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0</v>
      </c>
      <c r="AC297">
        <v>1</v>
      </c>
    </row>
    <row r="298" spans="1:29" x14ac:dyDescent="0.35">
      <c r="A298">
        <v>971</v>
      </c>
      <c r="B298">
        <v>971</v>
      </c>
      <c r="C298">
        <v>57</v>
      </c>
      <c r="D298">
        <v>32</v>
      </c>
      <c r="E298">
        <v>75</v>
      </c>
      <c r="F298">
        <v>2</v>
      </c>
      <c r="G298">
        <v>3.7</v>
      </c>
      <c r="H298">
        <v>1</v>
      </c>
      <c r="I298">
        <v>236</v>
      </c>
      <c r="J298">
        <v>1</v>
      </c>
      <c r="K298">
        <v>0</v>
      </c>
      <c r="L298">
        <v>94928</v>
      </c>
      <c r="M298">
        <v>0</v>
      </c>
      <c r="N298">
        <v>0</v>
      </c>
      <c r="O298">
        <v>0</v>
      </c>
      <c r="Q298">
        <v>1</v>
      </c>
      <c r="R298">
        <v>0</v>
      </c>
      <c r="S298">
        <v>0</v>
      </c>
      <c r="T298">
        <v>15</v>
      </c>
      <c r="U298">
        <v>0.91935483870967005</v>
      </c>
      <c r="V298">
        <v>8.0645161290319997E-2</v>
      </c>
      <c r="W298">
        <v>0.91935483870967005</v>
      </c>
      <c r="X298">
        <v>8.0645161290319997E-2</v>
      </c>
      <c r="Y298">
        <v>0.86</v>
      </c>
      <c r="Z298">
        <v>0.14000000000000001</v>
      </c>
      <c r="AA298">
        <v>8.0645161290329906E-2</v>
      </c>
      <c r="AB298">
        <v>-8.0645161290319997E-2</v>
      </c>
      <c r="AC298">
        <v>0</v>
      </c>
    </row>
    <row r="299" spans="1:29" x14ac:dyDescent="0.35">
      <c r="A299">
        <v>975</v>
      </c>
      <c r="B299">
        <v>975</v>
      </c>
      <c r="C299">
        <v>63</v>
      </c>
      <c r="D299">
        <v>38</v>
      </c>
      <c r="E299">
        <v>54</v>
      </c>
      <c r="F299">
        <v>3</v>
      </c>
      <c r="G299">
        <v>2.2000000000000002</v>
      </c>
      <c r="H299">
        <v>1</v>
      </c>
      <c r="I299">
        <v>0</v>
      </c>
      <c r="J299">
        <v>1</v>
      </c>
      <c r="K299">
        <v>0</v>
      </c>
      <c r="L299">
        <v>90401</v>
      </c>
      <c r="M299">
        <v>0</v>
      </c>
      <c r="N299">
        <v>0</v>
      </c>
      <c r="O299">
        <v>0</v>
      </c>
      <c r="Q299">
        <v>1</v>
      </c>
      <c r="R299">
        <v>0</v>
      </c>
      <c r="S299">
        <v>0</v>
      </c>
      <c r="T299">
        <v>5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</row>
    <row r="300" spans="1:29" x14ac:dyDescent="0.35">
      <c r="A300">
        <v>976</v>
      </c>
      <c r="B300">
        <v>976</v>
      </c>
      <c r="C300">
        <v>63</v>
      </c>
      <c r="D300">
        <v>38</v>
      </c>
      <c r="E300">
        <v>83</v>
      </c>
      <c r="F300">
        <v>2</v>
      </c>
      <c r="G300">
        <v>3.4</v>
      </c>
      <c r="H300">
        <v>1</v>
      </c>
      <c r="I300">
        <v>0</v>
      </c>
      <c r="J300">
        <v>0</v>
      </c>
      <c r="K300">
        <v>0</v>
      </c>
      <c r="L300">
        <v>92122</v>
      </c>
      <c r="M300">
        <v>1</v>
      </c>
      <c r="N300">
        <v>0</v>
      </c>
      <c r="O300">
        <v>0</v>
      </c>
      <c r="Q300">
        <v>1</v>
      </c>
      <c r="R300">
        <v>1</v>
      </c>
      <c r="S300">
        <v>0</v>
      </c>
      <c r="T300">
        <v>15</v>
      </c>
      <c r="U300">
        <v>0.91935483870967005</v>
      </c>
      <c r="V300">
        <v>8.0645161290319997E-2</v>
      </c>
      <c r="W300">
        <v>0.91935483870967005</v>
      </c>
      <c r="X300">
        <v>8.0645161290319997E-2</v>
      </c>
      <c r="Y300">
        <v>0.86</v>
      </c>
      <c r="Z300">
        <v>0.14000000000000001</v>
      </c>
      <c r="AA300">
        <v>-0.91935483870967005</v>
      </c>
      <c r="AB300">
        <v>0.91935483870968004</v>
      </c>
      <c r="AC300">
        <v>0</v>
      </c>
    </row>
    <row r="301" spans="1:29" x14ac:dyDescent="0.35">
      <c r="A301">
        <v>977</v>
      </c>
      <c r="B301">
        <v>977</v>
      </c>
      <c r="C301">
        <v>54</v>
      </c>
      <c r="D301">
        <v>30</v>
      </c>
      <c r="E301">
        <v>24</v>
      </c>
      <c r="F301">
        <v>4</v>
      </c>
      <c r="G301">
        <v>0.2</v>
      </c>
      <c r="H301">
        <v>1</v>
      </c>
      <c r="I301">
        <v>0</v>
      </c>
      <c r="J301">
        <v>0</v>
      </c>
      <c r="K301">
        <v>0</v>
      </c>
      <c r="L301">
        <v>94109</v>
      </c>
      <c r="M301">
        <v>0</v>
      </c>
      <c r="N301">
        <v>1</v>
      </c>
      <c r="O301">
        <v>0</v>
      </c>
      <c r="Q301">
        <v>1</v>
      </c>
      <c r="R301">
        <v>0</v>
      </c>
      <c r="S301">
        <v>0</v>
      </c>
      <c r="T301">
        <v>5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</row>
    <row r="302" spans="1:29" x14ac:dyDescent="0.35">
      <c r="A302">
        <v>985</v>
      </c>
      <c r="B302">
        <v>985</v>
      </c>
      <c r="C302">
        <v>50</v>
      </c>
      <c r="D302">
        <v>25</v>
      </c>
      <c r="E302">
        <v>15</v>
      </c>
      <c r="F302">
        <v>1</v>
      </c>
      <c r="G302">
        <v>0.4</v>
      </c>
      <c r="H302">
        <v>3</v>
      </c>
      <c r="I302">
        <v>0</v>
      </c>
      <c r="J302">
        <v>0</v>
      </c>
      <c r="K302">
        <v>0</v>
      </c>
      <c r="L302">
        <v>92173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5</v>
      </c>
      <c r="U302">
        <v>1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</row>
    <row r="303" spans="1:29" x14ac:dyDescent="0.35">
      <c r="A303">
        <v>1002</v>
      </c>
      <c r="B303">
        <v>1002</v>
      </c>
      <c r="C303">
        <v>57</v>
      </c>
      <c r="D303">
        <v>32</v>
      </c>
      <c r="E303">
        <v>55</v>
      </c>
      <c r="F303">
        <v>4</v>
      </c>
      <c r="G303">
        <v>2.1</v>
      </c>
      <c r="H303">
        <v>1</v>
      </c>
      <c r="I303">
        <v>108</v>
      </c>
      <c r="J303">
        <v>1</v>
      </c>
      <c r="K303">
        <v>0</v>
      </c>
      <c r="L303">
        <v>90717</v>
      </c>
      <c r="M303">
        <v>0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5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</row>
    <row r="304" spans="1:29" x14ac:dyDescent="0.35">
      <c r="A304">
        <v>1006</v>
      </c>
      <c r="B304">
        <v>1006</v>
      </c>
      <c r="C304">
        <v>38</v>
      </c>
      <c r="D304">
        <v>12</v>
      </c>
      <c r="E304">
        <v>138</v>
      </c>
      <c r="F304">
        <v>2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95112</v>
      </c>
      <c r="M304">
        <v>0</v>
      </c>
      <c r="N304">
        <v>1</v>
      </c>
      <c r="O304">
        <v>0</v>
      </c>
      <c r="Q304">
        <v>1</v>
      </c>
      <c r="R304">
        <v>0</v>
      </c>
      <c r="S304">
        <v>0</v>
      </c>
      <c r="T304">
        <v>22</v>
      </c>
      <c r="U304">
        <v>1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</row>
    <row r="305" spans="1:29" x14ac:dyDescent="0.35">
      <c r="A305">
        <v>1010</v>
      </c>
      <c r="B305">
        <v>1010</v>
      </c>
      <c r="C305">
        <v>28</v>
      </c>
      <c r="D305">
        <v>3</v>
      </c>
      <c r="E305">
        <v>25</v>
      </c>
      <c r="F305">
        <v>2</v>
      </c>
      <c r="G305">
        <v>0.9</v>
      </c>
      <c r="H305">
        <v>3</v>
      </c>
      <c r="I305">
        <v>140</v>
      </c>
      <c r="J305">
        <v>1</v>
      </c>
      <c r="K305">
        <v>0</v>
      </c>
      <c r="L305">
        <v>91330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5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</row>
    <row r="306" spans="1:29" x14ac:dyDescent="0.35">
      <c r="A306">
        <v>1011</v>
      </c>
      <c r="B306">
        <v>1011</v>
      </c>
      <c r="C306">
        <v>27</v>
      </c>
      <c r="D306">
        <v>3</v>
      </c>
      <c r="E306">
        <v>98</v>
      </c>
      <c r="F306">
        <v>2</v>
      </c>
      <c r="G306">
        <v>2.5</v>
      </c>
      <c r="H306">
        <v>1</v>
      </c>
      <c r="I306">
        <v>361</v>
      </c>
      <c r="J306">
        <v>1</v>
      </c>
      <c r="K306">
        <v>1</v>
      </c>
      <c r="L306">
        <v>95616</v>
      </c>
      <c r="M306">
        <v>0</v>
      </c>
      <c r="N306">
        <v>1</v>
      </c>
      <c r="O306">
        <v>1</v>
      </c>
      <c r="Q306">
        <v>1</v>
      </c>
      <c r="R306">
        <v>0</v>
      </c>
      <c r="S306">
        <v>0</v>
      </c>
      <c r="T306">
        <v>5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</row>
    <row r="307" spans="1:29" x14ac:dyDescent="0.35">
      <c r="A307">
        <v>1015</v>
      </c>
      <c r="B307">
        <v>1015</v>
      </c>
      <c r="C307">
        <v>50</v>
      </c>
      <c r="D307">
        <v>26</v>
      </c>
      <c r="E307">
        <v>192</v>
      </c>
      <c r="F307">
        <v>2</v>
      </c>
      <c r="G307">
        <v>1.8</v>
      </c>
      <c r="H307">
        <v>3</v>
      </c>
      <c r="I307">
        <v>301</v>
      </c>
      <c r="J307">
        <v>1</v>
      </c>
      <c r="K307">
        <v>1</v>
      </c>
      <c r="L307">
        <v>90245</v>
      </c>
      <c r="M307">
        <v>1</v>
      </c>
      <c r="N307">
        <v>0</v>
      </c>
      <c r="O307">
        <v>1</v>
      </c>
      <c r="Q307">
        <v>0</v>
      </c>
      <c r="R307">
        <v>1</v>
      </c>
      <c r="S307">
        <v>1</v>
      </c>
      <c r="T307">
        <v>10</v>
      </c>
      <c r="U307">
        <v>0</v>
      </c>
      <c r="V307">
        <v>1</v>
      </c>
      <c r="W307">
        <v>0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1</v>
      </c>
    </row>
    <row r="308" spans="1:29" x14ac:dyDescent="0.35">
      <c r="A308">
        <v>1017</v>
      </c>
      <c r="B308">
        <v>1017</v>
      </c>
      <c r="C308">
        <v>30</v>
      </c>
      <c r="D308">
        <v>5</v>
      </c>
      <c r="E308">
        <v>69</v>
      </c>
      <c r="F308">
        <v>1</v>
      </c>
      <c r="G308">
        <v>0.8</v>
      </c>
      <c r="H308">
        <v>2</v>
      </c>
      <c r="I308">
        <v>0</v>
      </c>
      <c r="J308">
        <v>1</v>
      </c>
      <c r="K308">
        <v>0</v>
      </c>
      <c r="L308">
        <v>94720</v>
      </c>
      <c r="M308">
        <v>0</v>
      </c>
      <c r="N308">
        <v>1</v>
      </c>
      <c r="O308">
        <v>0</v>
      </c>
      <c r="Q308">
        <v>0</v>
      </c>
      <c r="R308">
        <v>0</v>
      </c>
      <c r="S308">
        <v>0</v>
      </c>
      <c r="T308">
        <v>5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</row>
    <row r="309" spans="1:29" x14ac:dyDescent="0.35">
      <c r="A309">
        <v>1020</v>
      </c>
      <c r="B309">
        <v>1020</v>
      </c>
      <c r="C309">
        <v>29</v>
      </c>
      <c r="D309">
        <v>3</v>
      </c>
      <c r="E309">
        <v>30</v>
      </c>
      <c r="F309">
        <v>4</v>
      </c>
      <c r="G309">
        <v>0.3</v>
      </c>
      <c r="H309">
        <v>2</v>
      </c>
      <c r="I309">
        <v>157</v>
      </c>
      <c r="J309">
        <v>0</v>
      </c>
      <c r="K309">
        <v>0</v>
      </c>
      <c r="L309">
        <v>91745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5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</row>
    <row r="310" spans="1:29" x14ac:dyDescent="0.35">
      <c r="A310">
        <v>1021</v>
      </c>
      <c r="B310">
        <v>1021</v>
      </c>
      <c r="C310">
        <v>54</v>
      </c>
      <c r="D310">
        <v>29</v>
      </c>
      <c r="E310">
        <v>29</v>
      </c>
      <c r="F310">
        <v>1</v>
      </c>
      <c r="G310">
        <v>1.5</v>
      </c>
      <c r="H310">
        <v>2</v>
      </c>
      <c r="I310">
        <v>97</v>
      </c>
      <c r="J310">
        <v>1</v>
      </c>
      <c r="K310">
        <v>0</v>
      </c>
      <c r="L310">
        <v>90071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5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</row>
    <row r="311" spans="1:29" x14ac:dyDescent="0.35">
      <c r="A311">
        <v>1022</v>
      </c>
      <c r="B311">
        <v>1022</v>
      </c>
      <c r="C311">
        <v>35</v>
      </c>
      <c r="D311">
        <v>8</v>
      </c>
      <c r="E311">
        <v>41</v>
      </c>
      <c r="F311">
        <v>2</v>
      </c>
      <c r="G311">
        <v>1</v>
      </c>
      <c r="H311">
        <v>2</v>
      </c>
      <c r="I311">
        <v>0</v>
      </c>
      <c r="J311">
        <v>1</v>
      </c>
      <c r="K311">
        <v>1</v>
      </c>
      <c r="L311">
        <v>92612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5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</row>
    <row r="312" spans="1:29" x14ac:dyDescent="0.35">
      <c r="A312">
        <v>1026</v>
      </c>
      <c r="B312">
        <v>1026</v>
      </c>
      <c r="C312">
        <v>62</v>
      </c>
      <c r="D312">
        <v>37</v>
      </c>
      <c r="E312">
        <v>50</v>
      </c>
      <c r="F312">
        <v>3</v>
      </c>
      <c r="G312">
        <v>1.5</v>
      </c>
      <c r="H312">
        <v>1</v>
      </c>
      <c r="I312">
        <v>169</v>
      </c>
      <c r="J312">
        <v>1</v>
      </c>
      <c r="K312">
        <v>0</v>
      </c>
      <c r="L312">
        <v>94545</v>
      </c>
      <c r="M312">
        <v>0</v>
      </c>
      <c r="N312">
        <v>0</v>
      </c>
      <c r="O312">
        <v>0</v>
      </c>
      <c r="Q312">
        <v>1</v>
      </c>
      <c r="R312">
        <v>0</v>
      </c>
      <c r="S312">
        <v>0</v>
      </c>
      <c r="T312">
        <v>5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</row>
    <row r="313" spans="1:29" x14ac:dyDescent="0.35">
      <c r="A313">
        <v>1027</v>
      </c>
      <c r="B313">
        <v>1027</v>
      </c>
      <c r="C313">
        <v>28</v>
      </c>
      <c r="D313">
        <v>4</v>
      </c>
      <c r="E313">
        <v>43</v>
      </c>
      <c r="F313">
        <v>3</v>
      </c>
      <c r="G313">
        <v>0.1</v>
      </c>
      <c r="H313">
        <v>2</v>
      </c>
      <c r="I313">
        <v>0</v>
      </c>
      <c r="J313">
        <v>1</v>
      </c>
      <c r="K313">
        <v>0</v>
      </c>
      <c r="L313">
        <v>95616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5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</row>
    <row r="314" spans="1:29" x14ac:dyDescent="0.35">
      <c r="A314">
        <v>1031</v>
      </c>
      <c r="B314">
        <v>1031</v>
      </c>
      <c r="C314">
        <v>61</v>
      </c>
      <c r="D314">
        <v>35</v>
      </c>
      <c r="E314">
        <v>112</v>
      </c>
      <c r="F314">
        <v>4</v>
      </c>
      <c r="G314">
        <v>1.7</v>
      </c>
      <c r="H314">
        <v>3</v>
      </c>
      <c r="I314">
        <v>0</v>
      </c>
      <c r="J314">
        <v>0</v>
      </c>
      <c r="K314">
        <v>1</v>
      </c>
      <c r="L314">
        <v>90024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13</v>
      </c>
      <c r="U314">
        <v>0.88607594936708001</v>
      </c>
      <c r="V314">
        <v>0.11392405063291</v>
      </c>
      <c r="W314">
        <v>0.88607594936708001</v>
      </c>
      <c r="X314">
        <v>0.11392405063291</v>
      </c>
      <c r="Y314">
        <v>0.86842105263156999</v>
      </c>
      <c r="Z314">
        <v>0.13157894736841999</v>
      </c>
      <c r="AA314">
        <v>0.11392405063291999</v>
      </c>
      <c r="AB314">
        <v>-0.11392405063291</v>
      </c>
      <c r="AC314">
        <v>0</v>
      </c>
    </row>
    <row r="315" spans="1:29" x14ac:dyDescent="0.35">
      <c r="A315">
        <v>1032</v>
      </c>
      <c r="B315">
        <v>1032</v>
      </c>
      <c r="C315">
        <v>56</v>
      </c>
      <c r="D315">
        <v>32</v>
      </c>
      <c r="E315">
        <v>25</v>
      </c>
      <c r="F315">
        <v>1</v>
      </c>
      <c r="G315">
        <v>0.1</v>
      </c>
      <c r="H315">
        <v>2</v>
      </c>
      <c r="I315">
        <v>136</v>
      </c>
      <c r="J315">
        <v>1</v>
      </c>
      <c r="K315">
        <v>0</v>
      </c>
      <c r="L315">
        <v>95403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5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</row>
    <row r="316" spans="1:29" x14ac:dyDescent="0.35">
      <c r="A316">
        <v>1033</v>
      </c>
      <c r="B316">
        <v>1033</v>
      </c>
      <c r="C316">
        <v>37</v>
      </c>
      <c r="D316">
        <v>12</v>
      </c>
      <c r="E316">
        <v>42</v>
      </c>
      <c r="F316">
        <v>3</v>
      </c>
      <c r="G316">
        <v>0.7</v>
      </c>
      <c r="H316">
        <v>2</v>
      </c>
      <c r="I316">
        <v>0</v>
      </c>
      <c r="J316">
        <v>1</v>
      </c>
      <c r="K316">
        <v>1</v>
      </c>
      <c r="L316">
        <v>94720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5</v>
      </c>
      <c r="U316">
        <v>1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</row>
    <row r="317" spans="1:29" x14ac:dyDescent="0.35">
      <c r="A317">
        <v>1038</v>
      </c>
      <c r="B317">
        <v>1038</v>
      </c>
      <c r="C317">
        <v>35</v>
      </c>
      <c r="D317">
        <v>11</v>
      </c>
      <c r="E317">
        <v>40</v>
      </c>
      <c r="F317">
        <v>1</v>
      </c>
      <c r="G317">
        <v>2.4</v>
      </c>
      <c r="H317">
        <v>2</v>
      </c>
      <c r="I317">
        <v>0</v>
      </c>
      <c r="J317">
        <v>1</v>
      </c>
      <c r="K317">
        <v>0</v>
      </c>
      <c r="L317">
        <v>93106</v>
      </c>
      <c r="M317">
        <v>0</v>
      </c>
      <c r="N317">
        <v>1</v>
      </c>
      <c r="O317">
        <v>0</v>
      </c>
      <c r="Q317">
        <v>0</v>
      </c>
      <c r="R317">
        <v>0</v>
      </c>
      <c r="S317">
        <v>0</v>
      </c>
      <c r="T317">
        <v>5</v>
      </c>
      <c r="U317">
        <v>1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</row>
    <row r="318" spans="1:29" x14ac:dyDescent="0.35">
      <c r="A318">
        <v>1041</v>
      </c>
      <c r="B318">
        <v>1041</v>
      </c>
      <c r="C318">
        <v>36</v>
      </c>
      <c r="D318">
        <v>6</v>
      </c>
      <c r="E318">
        <v>78</v>
      </c>
      <c r="F318">
        <v>4</v>
      </c>
      <c r="G318">
        <v>1.8</v>
      </c>
      <c r="H318">
        <v>3</v>
      </c>
      <c r="I318">
        <v>163</v>
      </c>
      <c r="J318">
        <v>0</v>
      </c>
      <c r="K318">
        <v>0</v>
      </c>
      <c r="L318">
        <v>91107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5</v>
      </c>
      <c r="U318">
        <v>1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</row>
    <row r="319" spans="1:29" x14ac:dyDescent="0.35">
      <c r="A319">
        <v>1043</v>
      </c>
      <c r="B319">
        <v>1043</v>
      </c>
      <c r="C319">
        <v>64</v>
      </c>
      <c r="D319">
        <v>34</v>
      </c>
      <c r="E319">
        <v>50</v>
      </c>
      <c r="F319">
        <v>4</v>
      </c>
      <c r="G319">
        <v>1.67</v>
      </c>
      <c r="H319">
        <v>3</v>
      </c>
      <c r="I319">
        <v>0</v>
      </c>
      <c r="J319">
        <v>1</v>
      </c>
      <c r="K319">
        <v>0</v>
      </c>
      <c r="L319">
        <v>95616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5</v>
      </c>
      <c r="U319">
        <v>1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</row>
    <row r="320" spans="1:29" x14ac:dyDescent="0.35">
      <c r="A320">
        <v>1045</v>
      </c>
      <c r="B320">
        <v>1045</v>
      </c>
      <c r="C320">
        <v>49</v>
      </c>
      <c r="D320">
        <v>24</v>
      </c>
      <c r="E320">
        <v>79</v>
      </c>
      <c r="F320">
        <v>1</v>
      </c>
      <c r="G320">
        <v>0.2</v>
      </c>
      <c r="H320">
        <v>2</v>
      </c>
      <c r="I320">
        <v>83</v>
      </c>
      <c r="J320">
        <v>1</v>
      </c>
      <c r="K320">
        <v>1</v>
      </c>
      <c r="L320">
        <v>95827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5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</row>
    <row r="321" spans="1:29" x14ac:dyDescent="0.35">
      <c r="A321">
        <v>1047</v>
      </c>
      <c r="B321">
        <v>1047</v>
      </c>
      <c r="C321">
        <v>51</v>
      </c>
      <c r="D321">
        <v>26</v>
      </c>
      <c r="E321">
        <v>34</v>
      </c>
      <c r="F321">
        <v>4</v>
      </c>
      <c r="G321">
        <v>0.4</v>
      </c>
      <c r="H321">
        <v>2</v>
      </c>
      <c r="I321">
        <v>0</v>
      </c>
      <c r="J321">
        <v>0</v>
      </c>
      <c r="K321">
        <v>0</v>
      </c>
      <c r="L321">
        <v>94105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5</v>
      </c>
      <c r="U321">
        <v>1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</row>
    <row r="322" spans="1:29" x14ac:dyDescent="0.35">
      <c r="A322">
        <v>1050</v>
      </c>
      <c r="B322">
        <v>1050</v>
      </c>
      <c r="C322">
        <v>35</v>
      </c>
      <c r="D322">
        <v>10</v>
      </c>
      <c r="E322">
        <v>23</v>
      </c>
      <c r="F322">
        <v>4</v>
      </c>
      <c r="G322">
        <v>0.2</v>
      </c>
      <c r="H322">
        <v>3</v>
      </c>
      <c r="I322">
        <v>0</v>
      </c>
      <c r="J322">
        <v>1</v>
      </c>
      <c r="K322">
        <v>0</v>
      </c>
      <c r="L322">
        <v>94501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5</v>
      </c>
      <c r="U322">
        <v>1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</row>
    <row r="323" spans="1:29" x14ac:dyDescent="0.35">
      <c r="A323">
        <v>1051</v>
      </c>
      <c r="B323">
        <v>1051</v>
      </c>
      <c r="C323">
        <v>53</v>
      </c>
      <c r="D323">
        <v>27</v>
      </c>
      <c r="E323">
        <v>145</v>
      </c>
      <c r="F323">
        <v>2</v>
      </c>
      <c r="G323">
        <v>6.1</v>
      </c>
      <c r="H323">
        <v>3</v>
      </c>
      <c r="I323">
        <v>294</v>
      </c>
      <c r="J323">
        <v>1</v>
      </c>
      <c r="K323">
        <v>1</v>
      </c>
      <c r="L323">
        <v>90095</v>
      </c>
      <c r="M323">
        <v>1</v>
      </c>
      <c r="N323">
        <v>0</v>
      </c>
      <c r="O323">
        <v>1</v>
      </c>
      <c r="Q323">
        <v>0</v>
      </c>
      <c r="R323">
        <v>1</v>
      </c>
      <c r="S323">
        <v>1</v>
      </c>
      <c r="T323">
        <v>10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1</v>
      </c>
    </row>
    <row r="324" spans="1:29" x14ac:dyDescent="0.35">
      <c r="A324">
        <v>1053</v>
      </c>
      <c r="B324">
        <v>1053</v>
      </c>
      <c r="C324">
        <v>43</v>
      </c>
      <c r="D324">
        <v>17</v>
      </c>
      <c r="E324">
        <v>49</v>
      </c>
      <c r="F324">
        <v>3</v>
      </c>
      <c r="G324">
        <v>2.2000000000000002</v>
      </c>
      <c r="H324">
        <v>2</v>
      </c>
      <c r="I324">
        <v>103</v>
      </c>
      <c r="J324">
        <v>1</v>
      </c>
      <c r="K324">
        <v>1</v>
      </c>
      <c r="L324">
        <v>95812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5</v>
      </c>
      <c r="U324">
        <v>1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</row>
    <row r="325" spans="1:29" x14ac:dyDescent="0.35">
      <c r="A325">
        <v>1059</v>
      </c>
      <c r="B325">
        <v>1059</v>
      </c>
      <c r="C325">
        <v>59</v>
      </c>
      <c r="D325">
        <v>34</v>
      </c>
      <c r="E325">
        <v>24</v>
      </c>
      <c r="F325">
        <v>2</v>
      </c>
      <c r="G325">
        <v>0.2</v>
      </c>
      <c r="H325">
        <v>3</v>
      </c>
      <c r="I325">
        <v>86</v>
      </c>
      <c r="J325">
        <v>1</v>
      </c>
      <c r="K325">
        <v>0</v>
      </c>
      <c r="L325">
        <v>94105</v>
      </c>
      <c r="M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5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</row>
    <row r="326" spans="1:29" x14ac:dyDescent="0.35">
      <c r="A326">
        <v>1064</v>
      </c>
      <c r="B326">
        <v>1064</v>
      </c>
      <c r="C326">
        <v>56</v>
      </c>
      <c r="D326">
        <v>30</v>
      </c>
      <c r="E326">
        <v>39</v>
      </c>
      <c r="F326">
        <v>3</v>
      </c>
      <c r="G326">
        <v>1.4</v>
      </c>
      <c r="H326">
        <v>1</v>
      </c>
      <c r="I326">
        <v>131</v>
      </c>
      <c r="J326">
        <v>0</v>
      </c>
      <c r="K326">
        <v>1</v>
      </c>
      <c r="L326">
        <v>90024</v>
      </c>
      <c r="M326">
        <v>0</v>
      </c>
      <c r="N326">
        <v>0</v>
      </c>
      <c r="O326">
        <v>0</v>
      </c>
      <c r="Q326">
        <v>1</v>
      </c>
      <c r="R326">
        <v>0</v>
      </c>
      <c r="S326">
        <v>0</v>
      </c>
      <c r="T326">
        <v>5</v>
      </c>
      <c r="U326">
        <v>1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</row>
    <row r="327" spans="1:29" x14ac:dyDescent="0.35">
      <c r="A327">
        <v>1065</v>
      </c>
      <c r="B327">
        <v>1065</v>
      </c>
      <c r="C327">
        <v>41</v>
      </c>
      <c r="D327">
        <v>17</v>
      </c>
      <c r="E327">
        <v>138</v>
      </c>
      <c r="F327">
        <v>3</v>
      </c>
      <c r="G327">
        <v>6.9</v>
      </c>
      <c r="H327">
        <v>2</v>
      </c>
      <c r="I327">
        <v>0</v>
      </c>
      <c r="J327">
        <v>1</v>
      </c>
      <c r="K327">
        <v>0</v>
      </c>
      <c r="L327">
        <v>95008</v>
      </c>
      <c r="M327">
        <v>1</v>
      </c>
      <c r="N327">
        <v>0</v>
      </c>
      <c r="O327">
        <v>0</v>
      </c>
      <c r="Q327">
        <v>0</v>
      </c>
      <c r="R327">
        <v>1</v>
      </c>
      <c r="S327">
        <v>1</v>
      </c>
      <c r="T327">
        <v>10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</row>
    <row r="328" spans="1:29" x14ac:dyDescent="0.35">
      <c r="A328">
        <v>1072</v>
      </c>
      <c r="B328">
        <v>1072</v>
      </c>
      <c r="C328">
        <v>39</v>
      </c>
      <c r="D328">
        <v>14</v>
      </c>
      <c r="E328">
        <v>61</v>
      </c>
      <c r="F328">
        <v>3</v>
      </c>
      <c r="G328">
        <v>0.5</v>
      </c>
      <c r="H328">
        <v>3</v>
      </c>
      <c r="I328">
        <v>137</v>
      </c>
      <c r="J328">
        <v>1</v>
      </c>
      <c r="K328">
        <v>0</v>
      </c>
      <c r="L328">
        <v>94005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5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</row>
    <row r="329" spans="1:29" x14ac:dyDescent="0.35">
      <c r="A329">
        <v>1073</v>
      </c>
      <c r="B329">
        <v>1073</v>
      </c>
      <c r="C329">
        <v>54</v>
      </c>
      <c r="D329">
        <v>24</v>
      </c>
      <c r="E329">
        <v>75</v>
      </c>
      <c r="F329">
        <v>2</v>
      </c>
      <c r="G329">
        <v>4.5</v>
      </c>
      <c r="H329">
        <v>3</v>
      </c>
      <c r="I329">
        <v>0</v>
      </c>
      <c r="J329">
        <v>0</v>
      </c>
      <c r="K329">
        <v>0</v>
      </c>
      <c r="L329">
        <v>90089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15</v>
      </c>
      <c r="U329">
        <v>0.91935483870967005</v>
      </c>
      <c r="V329">
        <v>8.0645161290319997E-2</v>
      </c>
      <c r="W329">
        <v>0.91935483870967005</v>
      </c>
      <c r="X329">
        <v>8.0645161290319997E-2</v>
      </c>
      <c r="Y329">
        <v>0.86</v>
      </c>
      <c r="Z329">
        <v>0.14000000000000001</v>
      </c>
      <c r="AA329">
        <v>8.0645161290329906E-2</v>
      </c>
      <c r="AB329">
        <v>-8.0645161290319997E-2</v>
      </c>
      <c r="AC329">
        <v>0</v>
      </c>
    </row>
    <row r="330" spans="1:29" x14ac:dyDescent="0.35">
      <c r="A330">
        <v>1075</v>
      </c>
      <c r="B330">
        <v>1075</v>
      </c>
      <c r="C330">
        <v>39</v>
      </c>
      <c r="D330">
        <v>14</v>
      </c>
      <c r="E330">
        <v>75</v>
      </c>
      <c r="F330">
        <v>3</v>
      </c>
      <c r="G330">
        <v>3</v>
      </c>
      <c r="H330">
        <v>1</v>
      </c>
      <c r="I330">
        <v>0</v>
      </c>
      <c r="J330">
        <v>0</v>
      </c>
      <c r="K330">
        <v>1</v>
      </c>
      <c r="L330">
        <v>95762</v>
      </c>
      <c r="M330">
        <v>0</v>
      </c>
      <c r="N330">
        <v>0</v>
      </c>
      <c r="O330">
        <v>0</v>
      </c>
      <c r="Q330">
        <v>1</v>
      </c>
      <c r="R330">
        <v>0</v>
      </c>
      <c r="S330">
        <v>0</v>
      </c>
      <c r="T330">
        <v>15</v>
      </c>
      <c r="U330">
        <v>0.91935483870967005</v>
      </c>
      <c r="V330">
        <v>8.0645161290319997E-2</v>
      </c>
      <c r="W330">
        <v>0.91935483870967005</v>
      </c>
      <c r="X330">
        <v>8.0645161290319997E-2</v>
      </c>
      <c r="Y330">
        <v>0.86</v>
      </c>
      <c r="Z330">
        <v>0.14000000000000001</v>
      </c>
      <c r="AA330">
        <v>8.0645161290329906E-2</v>
      </c>
      <c r="AB330">
        <v>-8.0645161290319997E-2</v>
      </c>
      <c r="AC330">
        <v>0</v>
      </c>
    </row>
    <row r="331" spans="1:29" x14ac:dyDescent="0.35">
      <c r="A331">
        <v>1081</v>
      </c>
      <c r="B331">
        <v>1081</v>
      </c>
      <c r="C331">
        <v>47</v>
      </c>
      <c r="D331">
        <v>22</v>
      </c>
      <c r="E331">
        <v>24</v>
      </c>
      <c r="F331">
        <v>4</v>
      </c>
      <c r="G331">
        <v>0.4</v>
      </c>
      <c r="H331">
        <v>2</v>
      </c>
      <c r="I331">
        <v>142</v>
      </c>
      <c r="J331">
        <v>1</v>
      </c>
      <c r="K331">
        <v>0</v>
      </c>
      <c r="L331">
        <v>90717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5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</row>
    <row r="332" spans="1:29" x14ac:dyDescent="0.35">
      <c r="A332">
        <v>1084</v>
      </c>
      <c r="B332">
        <v>1084</v>
      </c>
      <c r="C332">
        <v>28</v>
      </c>
      <c r="D332">
        <v>3</v>
      </c>
      <c r="E332">
        <v>65</v>
      </c>
      <c r="F332">
        <v>3</v>
      </c>
      <c r="G332">
        <v>2.6</v>
      </c>
      <c r="H332">
        <v>3</v>
      </c>
      <c r="I332">
        <v>0</v>
      </c>
      <c r="J332">
        <v>0</v>
      </c>
      <c r="K332">
        <v>0</v>
      </c>
      <c r="L332">
        <v>95014</v>
      </c>
      <c r="M332">
        <v>0</v>
      </c>
      <c r="N332">
        <v>1</v>
      </c>
      <c r="O332">
        <v>0</v>
      </c>
      <c r="Q332">
        <v>0</v>
      </c>
      <c r="R332">
        <v>0</v>
      </c>
      <c r="S332">
        <v>0</v>
      </c>
      <c r="T332">
        <v>5</v>
      </c>
      <c r="U332">
        <v>1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</row>
    <row r="333" spans="1:29" x14ac:dyDescent="0.35">
      <c r="A333">
        <v>1087</v>
      </c>
      <c r="B333">
        <v>1087</v>
      </c>
      <c r="C333">
        <v>63</v>
      </c>
      <c r="D333">
        <v>37</v>
      </c>
      <c r="E333">
        <v>40</v>
      </c>
      <c r="F333">
        <v>2</v>
      </c>
      <c r="G333">
        <v>1</v>
      </c>
      <c r="H333">
        <v>3</v>
      </c>
      <c r="I333">
        <v>167</v>
      </c>
      <c r="J333">
        <v>0</v>
      </c>
      <c r="K333">
        <v>0</v>
      </c>
      <c r="L333">
        <v>94024</v>
      </c>
      <c r="M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5</v>
      </c>
      <c r="U333">
        <v>1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</row>
    <row r="334" spans="1:29" x14ac:dyDescent="0.35">
      <c r="A334">
        <v>1093</v>
      </c>
      <c r="B334">
        <v>1093</v>
      </c>
      <c r="C334">
        <v>25</v>
      </c>
      <c r="D334">
        <v>1</v>
      </c>
      <c r="E334">
        <v>70</v>
      </c>
      <c r="F334">
        <v>4</v>
      </c>
      <c r="G334">
        <v>2.6</v>
      </c>
      <c r="H334">
        <v>1</v>
      </c>
      <c r="I334">
        <v>0</v>
      </c>
      <c r="J334">
        <v>1</v>
      </c>
      <c r="K334">
        <v>0</v>
      </c>
      <c r="L334">
        <v>92120</v>
      </c>
      <c r="M334">
        <v>0</v>
      </c>
      <c r="N334">
        <v>1</v>
      </c>
      <c r="O334">
        <v>0</v>
      </c>
      <c r="Q334">
        <v>1</v>
      </c>
      <c r="R334">
        <v>0</v>
      </c>
      <c r="S334">
        <v>0</v>
      </c>
      <c r="T334">
        <v>5</v>
      </c>
      <c r="U334">
        <v>1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</row>
    <row r="335" spans="1:29" x14ac:dyDescent="0.35">
      <c r="A335">
        <v>1094</v>
      </c>
      <c r="B335">
        <v>1094</v>
      </c>
      <c r="C335">
        <v>27</v>
      </c>
      <c r="D335">
        <v>3</v>
      </c>
      <c r="E335">
        <v>40</v>
      </c>
      <c r="F335">
        <v>3</v>
      </c>
      <c r="G335">
        <v>0.1</v>
      </c>
      <c r="H335">
        <v>2</v>
      </c>
      <c r="I335">
        <v>111</v>
      </c>
      <c r="J335">
        <v>1</v>
      </c>
      <c r="K335">
        <v>0</v>
      </c>
      <c r="L335">
        <v>94550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5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</row>
    <row r="336" spans="1:29" x14ac:dyDescent="0.35">
      <c r="A336">
        <v>1095</v>
      </c>
      <c r="B336">
        <v>1095</v>
      </c>
      <c r="C336">
        <v>50</v>
      </c>
      <c r="D336">
        <v>24</v>
      </c>
      <c r="E336">
        <v>44</v>
      </c>
      <c r="F336">
        <v>4</v>
      </c>
      <c r="G336">
        <v>1.8</v>
      </c>
      <c r="H336">
        <v>1</v>
      </c>
      <c r="I336">
        <v>0</v>
      </c>
      <c r="J336">
        <v>1</v>
      </c>
      <c r="K336">
        <v>1</v>
      </c>
      <c r="L336">
        <v>94086</v>
      </c>
      <c r="M336">
        <v>0</v>
      </c>
      <c r="N336">
        <v>0</v>
      </c>
      <c r="O336">
        <v>0</v>
      </c>
      <c r="Q336">
        <v>1</v>
      </c>
      <c r="R336">
        <v>0</v>
      </c>
      <c r="S336">
        <v>0</v>
      </c>
      <c r="T336">
        <v>5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</row>
    <row r="337" spans="1:29" x14ac:dyDescent="0.35">
      <c r="A337">
        <v>1098</v>
      </c>
      <c r="B337">
        <v>1098</v>
      </c>
      <c r="C337">
        <v>50</v>
      </c>
      <c r="D337">
        <v>24</v>
      </c>
      <c r="E337">
        <v>188</v>
      </c>
      <c r="F337">
        <v>3</v>
      </c>
      <c r="G337">
        <v>1.3</v>
      </c>
      <c r="H337">
        <v>1</v>
      </c>
      <c r="I337">
        <v>184</v>
      </c>
      <c r="J337">
        <v>0</v>
      </c>
      <c r="K337">
        <v>1</v>
      </c>
      <c r="L337">
        <v>92007</v>
      </c>
      <c r="M337">
        <v>1</v>
      </c>
      <c r="N337">
        <v>0</v>
      </c>
      <c r="O337">
        <v>0</v>
      </c>
      <c r="Q337">
        <v>1</v>
      </c>
      <c r="R337">
        <v>1</v>
      </c>
      <c r="S337">
        <v>1</v>
      </c>
      <c r="T337">
        <v>20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1</v>
      </c>
    </row>
    <row r="338" spans="1:29" x14ac:dyDescent="0.35">
      <c r="A338">
        <v>1106</v>
      </c>
      <c r="B338">
        <v>1106</v>
      </c>
      <c r="C338">
        <v>35</v>
      </c>
      <c r="D338">
        <v>10</v>
      </c>
      <c r="E338">
        <v>182</v>
      </c>
      <c r="F338">
        <v>1</v>
      </c>
      <c r="G338">
        <v>0.3</v>
      </c>
      <c r="H338">
        <v>2</v>
      </c>
      <c r="I338">
        <v>229</v>
      </c>
      <c r="J338">
        <v>1</v>
      </c>
      <c r="K338">
        <v>1</v>
      </c>
      <c r="L338">
        <v>95051</v>
      </c>
      <c r="M338">
        <v>1</v>
      </c>
      <c r="N338">
        <v>0</v>
      </c>
      <c r="O338">
        <v>1</v>
      </c>
      <c r="Q338">
        <v>0</v>
      </c>
      <c r="R338">
        <v>1</v>
      </c>
      <c r="S338">
        <v>1</v>
      </c>
      <c r="T338">
        <v>10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1</v>
      </c>
    </row>
    <row r="339" spans="1:29" x14ac:dyDescent="0.35">
      <c r="A339">
        <v>1108</v>
      </c>
      <c r="B339">
        <v>1108</v>
      </c>
      <c r="C339">
        <v>47</v>
      </c>
      <c r="D339">
        <v>21</v>
      </c>
      <c r="E339">
        <v>79</v>
      </c>
      <c r="F339">
        <v>3</v>
      </c>
      <c r="G339">
        <v>1.1000000000000001</v>
      </c>
      <c r="H339">
        <v>1</v>
      </c>
      <c r="I339">
        <v>185</v>
      </c>
      <c r="J339">
        <v>1</v>
      </c>
      <c r="K339">
        <v>1</v>
      </c>
      <c r="L339">
        <v>94110</v>
      </c>
      <c r="M339">
        <v>0</v>
      </c>
      <c r="N339">
        <v>0</v>
      </c>
      <c r="O339">
        <v>0</v>
      </c>
      <c r="Q339">
        <v>1</v>
      </c>
      <c r="R339">
        <v>0</v>
      </c>
      <c r="S339">
        <v>0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</row>
    <row r="340" spans="1:29" x14ac:dyDescent="0.35">
      <c r="A340">
        <v>1109</v>
      </c>
      <c r="B340">
        <v>1109</v>
      </c>
      <c r="C340">
        <v>55</v>
      </c>
      <c r="D340">
        <v>29</v>
      </c>
      <c r="E340">
        <v>61</v>
      </c>
      <c r="F340">
        <v>4</v>
      </c>
      <c r="G340">
        <v>2.8</v>
      </c>
      <c r="H340">
        <v>2</v>
      </c>
      <c r="I340">
        <v>0</v>
      </c>
      <c r="J340">
        <v>1</v>
      </c>
      <c r="K340">
        <v>1</v>
      </c>
      <c r="L340">
        <v>95051</v>
      </c>
      <c r="M340">
        <v>0</v>
      </c>
      <c r="N340">
        <v>0</v>
      </c>
      <c r="O340">
        <v>0</v>
      </c>
      <c r="Q340">
        <v>0</v>
      </c>
      <c r="R340">
        <v>0</v>
      </c>
      <c r="S340">
        <v>0</v>
      </c>
      <c r="T340">
        <v>5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</row>
    <row r="341" spans="1:29" x14ac:dyDescent="0.35">
      <c r="A341">
        <v>1111</v>
      </c>
      <c r="B341">
        <v>1111</v>
      </c>
      <c r="C341">
        <v>58</v>
      </c>
      <c r="D341">
        <v>33</v>
      </c>
      <c r="E341">
        <v>34</v>
      </c>
      <c r="F341">
        <v>3</v>
      </c>
      <c r="G341">
        <v>0.2</v>
      </c>
      <c r="H341">
        <v>1</v>
      </c>
      <c r="I341">
        <v>83</v>
      </c>
      <c r="J341">
        <v>1</v>
      </c>
      <c r="K341">
        <v>0</v>
      </c>
      <c r="L341">
        <v>92028</v>
      </c>
      <c r="M341">
        <v>0</v>
      </c>
      <c r="N341">
        <v>0</v>
      </c>
      <c r="O341">
        <v>0</v>
      </c>
      <c r="Q341">
        <v>1</v>
      </c>
      <c r="R341">
        <v>0</v>
      </c>
      <c r="S341">
        <v>0</v>
      </c>
      <c r="T341">
        <v>5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</row>
    <row r="342" spans="1:29" x14ac:dyDescent="0.35">
      <c r="A342">
        <v>1112</v>
      </c>
      <c r="B342">
        <v>1112</v>
      </c>
      <c r="C342">
        <v>54</v>
      </c>
      <c r="D342">
        <v>28</v>
      </c>
      <c r="E342">
        <v>183</v>
      </c>
      <c r="F342">
        <v>1</v>
      </c>
      <c r="G342">
        <v>1</v>
      </c>
      <c r="H342">
        <v>1</v>
      </c>
      <c r="I342">
        <v>442</v>
      </c>
      <c r="J342">
        <v>0</v>
      </c>
      <c r="K342">
        <v>0</v>
      </c>
      <c r="L342">
        <v>90071</v>
      </c>
      <c r="M342">
        <v>0</v>
      </c>
      <c r="N342">
        <v>0</v>
      </c>
      <c r="O342">
        <v>0</v>
      </c>
      <c r="Q342">
        <v>1</v>
      </c>
      <c r="R342">
        <v>0</v>
      </c>
      <c r="S342">
        <v>0</v>
      </c>
      <c r="T342">
        <v>22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</row>
    <row r="343" spans="1:29" x14ac:dyDescent="0.35">
      <c r="A343">
        <v>1114</v>
      </c>
      <c r="B343">
        <v>1114</v>
      </c>
      <c r="C343">
        <v>28</v>
      </c>
      <c r="D343">
        <v>2</v>
      </c>
      <c r="E343">
        <v>70</v>
      </c>
      <c r="F343">
        <v>3</v>
      </c>
      <c r="G343">
        <v>0.3</v>
      </c>
      <c r="H343">
        <v>3</v>
      </c>
      <c r="I343">
        <v>0</v>
      </c>
      <c r="J343">
        <v>0</v>
      </c>
      <c r="K343">
        <v>1</v>
      </c>
      <c r="L343">
        <v>90630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5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</row>
    <row r="344" spans="1:29" x14ac:dyDescent="0.35">
      <c r="A344">
        <v>1120</v>
      </c>
      <c r="B344">
        <v>1120</v>
      </c>
      <c r="C344">
        <v>41</v>
      </c>
      <c r="D344">
        <v>16</v>
      </c>
      <c r="E344">
        <v>79</v>
      </c>
      <c r="F344">
        <v>1</v>
      </c>
      <c r="G344">
        <v>1</v>
      </c>
      <c r="H344">
        <v>3</v>
      </c>
      <c r="I344">
        <v>233</v>
      </c>
      <c r="J344">
        <v>1</v>
      </c>
      <c r="K344">
        <v>0</v>
      </c>
      <c r="L344">
        <v>96064</v>
      </c>
      <c r="M344">
        <v>0</v>
      </c>
      <c r="N344">
        <v>0</v>
      </c>
      <c r="O344">
        <v>0</v>
      </c>
      <c r="Q344">
        <v>0</v>
      </c>
      <c r="R344">
        <v>0</v>
      </c>
      <c r="S344">
        <v>0</v>
      </c>
      <c r="T344">
        <v>5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</row>
    <row r="345" spans="1:29" x14ac:dyDescent="0.35">
      <c r="A345">
        <v>1126</v>
      </c>
      <c r="B345">
        <v>1126</v>
      </c>
      <c r="C345">
        <v>37</v>
      </c>
      <c r="D345">
        <v>13</v>
      </c>
      <c r="E345">
        <v>172</v>
      </c>
      <c r="F345">
        <v>2</v>
      </c>
      <c r="G345">
        <v>6.5</v>
      </c>
      <c r="H345">
        <v>1</v>
      </c>
      <c r="I345">
        <v>0</v>
      </c>
      <c r="J345">
        <v>0</v>
      </c>
      <c r="K345">
        <v>0</v>
      </c>
      <c r="L345">
        <v>95003</v>
      </c>
      <c r="M345">
        <v>0</v>
      </c>
      <c r="N345">
        <v>0</v>
      </c>
      <c r="O345">
        <v>0</v>
      </c>
      <c r="Q345">
        <v>1</v>
      </c>
      <c r="R345">
        <v>0</v>
      </c>
      <c r="S345">
        <v>0</v>
      </c>
      <c r="T345">
        <v>22</v>
      </c>
      <c r="U345">
        <v>1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1:29" x14ac:dyDescent="0.35">
      <c r="A346">
        <v>1128</v>
      </c>
      <c r="B346">
        <v>1128</v>
      </c>
      <c r="C346">
        <v>35</v>
      </c>
      <c r="D346">
        <v>9</v>
      </c>
      <c r="E346">
        <v>58</v>
      </c>
      <c r="F346">
        <v>1</v>
      </c>
      <c r="G346">
        <v>2.5</v>
      </c>
      <c r="H346">
        <v>1</v>
      </c>
      <c r="I346">
        <v>0</v>
      </c>
      <c r="J346">
        <v>1</v>
      </c>
      <c r="K346">
        <v>1</v>
      </c>
      <c r="L346">
        <v>91101</v>
      </c>
      <c r="M346">
        <v>0</v>
      </c>
      <c r="N346">
        <v>0</v>
      </c>
      <c r="O346">
        <v>0</v>
      </c>
      <c r="Q346">
        <v>1</v>
      </c>
      <c r="R346">
        <v>0</v>
      </c>
      <c r="S346">
        <v>0</v>
      </c>
      <c r="T346">
        <v>5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</row>
    <row r="347" spans="1:29" x14ac:dyDescent="0.35">
      <c r="A347">
        <v>1130</v>
      </c>
      <c r="B347">
        <v>1130</v>
      </c>
      <c r="C347">
        <v>30</v>
      </c>
      <c r="D347">
        <v>4</v>
      </c>
      <c r="E347">
        <v>73</v>
      </c>
      <c r="F347">
        <v>3</v>
      </c>
      <c r="G347">
        <v>3.3</v>
      </c>
      <c r="H347">
        <v>1</v>
      </c>
      <c r="I347">
        <v>0</v>
      </c>
      <c r="J347">
        <v>1</v>
      </c>
      <c r="K347">
        <v>1</v>
      </c>
      <c r="L347">
        <v>94305</v>
      </c>
      <c r="M347">
        <v>1</v>
      </c>
      <c r="N347">
        <v>0</v>
      </c>
      <c r="O347">
        <v>1</v>
      </c>
      <c r="Q347">
        <v>1</v>
      </c>
      <c r="R347">
        <v>1</v>
      </c>
      <c r="S347">
        <v>1</v>
      </c>
      <c r="T347">
        <v>11</v>
      </c>
      <c r="U347">
        <v>0.27272727272726999</v>
      </c>
      <c r="V347">
        <v>0.72727272727271997</v>
      </c>
      <c r="W347">
        <v>0.27272727272726999</v>
      </c>
      <c r="X347">
        <v>0.72727272727271997</v>
      </c>
      <c r="Y347">
        <v>0</v>
      </c>
      <c r="Z347">
        <v>1</v>
      </c>
      <c r="AA347">
        <v>-0.27272727272726999</v>
      </c>
      <c r="AB347">
        <v>0.27272727272727998</v>
      </c>
      <c r="AC347">
        <v>1</v>
      </c>
    </row>
    <row r="348" spans="1:29" x14ac:dyDescent="0.35">
      <c r="A348">
        <v>1133</v>
      </c>
      <c r="B348">
        <v>1133</v>
      </c>
      <c r="C348">
        <v>34</v>
      </c>
      <c r="D348">
        <v>9</v>
      </c>
      <c r="E348">
        <v>55</v>
      </c>
      <c r="F348">
        <v>3</v>
      </c>
      <c r="G348">
        <v>2.2999999999999998</v>
      </c>
      <c r="H348">
        <v>1</v>
      </c>
      <c r="I348">
        <v>0</v>
      </c>
      <c r="J348">
        <v>1</v>
      </c>
      <c r="K348">
        <v>1</v>
      </c>
      <c r="L348">
        <v>94920</v>
      </c>
      <c r="M348">
        <v>0</v>
      </c>
      <c r="N348">
        <v>1</v>
      </c>
      <c r="O348">
        <v>1</v>
      </c>
      <c r="Q348">
        <v>1</v>
      </c>
      <c r="R348">
        <v>0</v>
      </c>
      <c r="S348">
        <v>0</v>
      </c>
      <c r="T348">
        <v>5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</row>
    <row r="349" spans="1:29" x14ac:dyDescent="0.35">
      <c r="A349">
        <v>1134</v>
      </c>
      <c r="B349">
        <v>1134</v>
      </c>
      <c r="C349">
        <v>31</v>
      </c>
      <c r="D349">
        <v>4</v>
      </c>
      <c r="E349">
        <v>28</v>
      </c>
      <c r="F349">
        <v>1</v>
      </c>
      <c r="G349">
        <v>2</v>
      </c>
      <c r="H349">
        <v>2</v>
      </c>
      <c r="I349">
        <v>0</v>
      </c>
      <c r="J349">
        <v>0</v>
      </c>
      <c r="K349">
        <v>0</v>
      </c>
      <c r="L349">
        <v>94126</v>
      </c>
      <c r="M349">
        <v>0</v>
      </c>
      <c r="N349">
        <v>0</v>
      </c>
      <c r="O349">
        <v>0</v>
      </c>
      <c r="Q349">
        <v>0</v>
      </c>
      <c r="R349">
        <v>0</v>
      </c>
      <c r="S349">
        <v>0</v>
      </c>
      <c r="T349">
        <v>5</v>
      </c>
      <c r="U349">
        <v>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</row>
    <row r="350" spans="1:29" x14ac:dyDescent="0.35">
      <c r="A350">
        <v>1138</v>
      </c>
      <c r="B350">
        <v>1138</v>
      </c>
      <c r="C350">
        <v>51</v>
      </c>
      <c r="D350">
        <v>26</v>
      </c>
      <c r="E350">
        <v>134</v>
      </c>
      <c r="F350">
        <v>4</v>
      </c>
      <c r="G350">
        <v>4.5</v>
      </c>
      <c r="H350">
        <v>3</v>
      </c>
      <c r="I350">
        <v>0</v>
      </c>
      <c r="J350">
        <v>1</v>
      </c>
      <c r="K350">
        <v>0</v>
      </c>
      <c r="L350">
        <v>90230</v>
      </c>
      <c r="M350">
        <v>1</v>
      </c>
      <c r="N350">
        <v>1</v>
      </c>
      <c r="O350">
        <v>1</v>
      </c>
      <c r="Q350">
        <v>0</v>
      </c>
      <c r="R350">
        <v>1</v>
      </c>
      <c r="S350">
        <v>1</v>
      </c>
      <c r="T350">
        <v>10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1</v>
      </c>
      <c r="AA350">
        <v>0</v>
      </c>
      <c r="AB350">
        <v>0</v>
      </c>
      <c r="AC350">
        <v>1</v>
      </c>
    </row>
    <row r="351" spans="1:29" x14ac:dyDescent="0.35">
      <c r="A351">
        <v>1140</v>
      </c>
      <c r="B351">
        <v>1140</v>
      </c>
      <c r="C351">
        <v>55</v>
      </c>
      <c r="D351">
        <v>28</v>
      </c>
      <c r="E351">
        <v>38</v>
      </c>
      <c r="F351">
        <v>3</v>
      </c>
      <c r="G351">
        <v>1</v>
      </c>
      <c r="H351">
        <v>2</v>
      </c>
      <c r="I351">
        <v>0</v>
      </c>
      <c r="J351">
        <v>1</v>
      </c>
      <c r="K351">
        <v>0</v>
      </c>
      <c r="L351">
        <v>95616</v>
      </c>
      <c r="M351">
        <v>0</v>
      </c>
      <c r="N351">
        <v>0</v>
      </c>
      <c r="O351">
        <v>0</v>
      </c>
      <c r="Q351">
        <v>0</v>
      </c>
      <c r="R351">
        <v>0</v>
      </c>
      <c r="S351">
        <v>0</v>
      </c>
      <c r="T351">
        <v>5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</row>
    <row r="352" spans="1:29" x14ac:dyDescent="0.35">
      <c r="A352">
        <v>1142</v>
      </c>
      <c r="B352">
        <v>1142</v>
      </c>
      <c r="C352">
        <v>32</v>
      </c>
      <c r="D352">
        <v>7</v>
      </c>
      <c r="E352">
        <v>143</v>
      </c>
      <c r="F352">
        <v>3</v>
      </c>
      <c r="G352">
        <v>2.9</v>
      </c>
      <c r="H352">
        <v>3</v>
      </c>
      <c r="I352">
        <v>0</v>
      </c>
      <c r="J352">
        <v>1</v>
      </c>
      <c r="K352">
        <v>0</v>
      </c>
      <c r="L352">
        <v>91365</v>
      </c>
      <c r="M352">
        <v>1</v>
      </c>
      <c r="N352">
        <v>0</v>
      </c>
      <c r="O352">
        <v>0</v>
      </c>
      <c r="Q352">
        <v>0</v>
      </c>
      <c r="R352">
        <v>1</v>
      </c>
      <c r="S352">
        <v>1</v>
      </c>
      <c r="T352">
        <v>10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1</v>
      </c>
    </row>
    <row r="353" spans="1:29" x14ac:dyDescent="0.35">
      <c r="A353">
        <v>1151</v>
      </c>
      <c r="B353">
        <v>1151</v>
      </c>
      <c r="C353">
        <v>55</v>
      </c>
      <c r="D353">
        <v>31</v>
      </c>
      <c r="E353">
        <v>81</v>
      </c>
      <c r="F353">
        <v>3</v>
      </c>
      <c r="G353">
        <v>2.67</v>
      </c>
      <c r="H353">
        <v>1</v>
      </c>
      <c r="I353">
        <v>0</v>
      </c>
      <c r="J353">
        <v>1</v>
      </c>
      <c r="K353">
        <v>0</v>
      </c>
      <c r="L353">
        <v>95521</v>
      </c>
      <c r="M353">
        <v>0</v>
      </c>
      <c r="N353">
        <v>0</v>
      </c>
      <c r="O353">
        <v>0</v>
      </c>
      <c r="Q353">
        <v>1</v>
      </c>
      <c r="R353">
        <v>0</v>
      </c>
      <c r="S353">
        <v>0</v>
      </c>
      <c r="T353">
        <v>5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</row>
    <row r="354" spans="1:29" x14ac:dyDescent="0.35">
      <c r="A354">
        <v>1156</v>
      </c>
      <c r="B354">
        <v>1156</v>
      </c>
      <c r="C354">
        <v>41</v>
      </c>
      <c r="D354">
        <v>16</v>
      </c>
      <c r="E354">
        <v>81</v>
      </c>
      <c r="F354">
        <v>2</v>
      </c>
      <c r="G354">
        <v>0.4</v>
      </c>
      <c r="H354">
        <v>1</v>
      </c>
      <c r="I354">
        <v>0</v>
      </c>
      <c r="J354">
        <v>0</v>
      </c>
      <c r="K354">
        <v>1</v>
      </c>
      <c r="L354">
        <v>92653</v>
      </c>
      <c r="M354">
        <v>0</v>
      </c>
      <c r="N354">
        <v>0</v>
      </c>
      <c r="O354">
        <v>0</v>
      </c>
      <c r="Q354">
        <v>1</v>
      </c>
      <c r="R354">
        <v>0</v>
      </c>
      <c r="S354">
        <v>0</v>
      </c>
      <c r="T354">
        <v>5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</row>
    <row r="355" spans="1:29" x14ac:dyDescent="0.35">
      <c r="A355">
        <v>1163</v>
      </c>
      <c r="B355">
        <v>1163</v>
      </c>
      <c r="C355">
        <v>38</v>
      </c>
      <c r="D355">
        <v>14</v>
      </c>
      <c r="E355">
        <v>112</v>
      </c>
      <c r="F355">
        <v>2</v>
      </c>
      <c r="G355">
        <v>2.2000000000000002</v>
      </c>
      <c r="H355">
        <v>1</v>
      </c>
      <c r="I355">
        <v>394</v>
      </c>
      <c r="J355">
        <v>0</v>
      </c>
      <c r="K355">
        <v>0</v>
      </c>
      <c r="L355">
        <v>94501</v>
      </c>
      <c r="M355">
        <v>0</v>
      </c>
      <c r="N355">
        <v>0</v>
      </c>
      <c r="O355">
        <v>0</v>
      </c>
      <c r="Q355">
        <v>1</v>
      </c>
      <c r="R355">
        <v>0</v>
      </c>
      <c r="S355">
        <v>0</v>
      </c>
      <c r="T355">
        <v>22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</row>
    <row r="356" spans="1:29" x14ac:dyDescent="0.35">
      <c r="A356">
        <v>1172</v>
      </c>
      <c r="B356">
        <v>1172</v>
      </c>
      <c r="C356">
        <v>64</v>
      </c>
      <c r="D356">
        <v>40</v>
      </c>
      <c r="E356">
        <v>43</v>
      </c>
      <c r="F356">
        <v>1</v>
      </c>
      <c r="G356">
        <v>1.9</v>
      </c>
      <c r="H356">
        <v>2</v>
      </c>
      <c r="I356">
        <v>0</v>
      </c>
      <c r="J356">
        <v>1</v>
      </c>
      <c r="K356">
        <v>0</v>
      </c>
      <c r="L356">
        <v>95014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5</v>
      </c>
      <c r="U356">
        <v>1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</row>
    <row r="357" spans="1:29" x14ac:dyDescent="0.35">
      <c r="A357">
        <v>1181</v>
      </c>
      <c r="B357">
        <v>1181</v>
      </c>
      <c r="C357">
        <v>42</v>
      </c>
      <c r="D357">
        <v>17</v>
      </c>
      <c r="E357">
        <v>90</v>
      </c>
      <c r="F357">
        <v>1</v>
      </c>
      <c r="G357">
        <v>0.1</v>
      </c>
      <c r="H357">
        <v>2</v>
      </c>
      <c r="I357">
        <v>0</v>
      </c>
      <c r="J357">
        <v>0</v>
      </c>
      <c r="K357">
        <v>1</v>
      </c>
      <c r="L357">
        <v>90504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5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</row>
    <row r="358" spans="1:29" x14ac:dyDescent="0.35">
      <c r="A358">
        <v>1186</v>
      </c>
      <c r="B358">
        <v>1186</v>
      </c>
      <c r="C358">
        <v>43</v>
      </c>
      <c r="D358">
        <v>19</v>
      </c>
      <c r="E358">
        <v>31</v>
      </c>
      <c r="F358">
        <v>3</v>
      </c>
      <c r="G358">
        <v>0.5</v>
      </c>
      <c r="H358">
        <v>1</v>
      </c>
      <c r="I358">
        <v>0</v>
      </c>
      <c r="J358">
        <v>0</v>
      </c>
      <c r="K358">
        <v>0</v>
      </c>
      <c r="L358">
        <v>94025</v>
      </c>
      <c r="M358">
        <v>0</v>
      </c>
      <c r="N358">
        <v>0</v>
      </c>
      <c r="O358">
        <v>0</v>
      </c>
      <c r="Q358">
        <v>1</v>
      </c>
      <c r="R358">
        <v>0</v>
      </c>
      <c r="S358">
        <v>0</v>
      </c>
      <c r="T358">
        <v>5</v>
      </c>
      <c r="U358">
        <v>1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</row>
    <row r="359" spans="1:29" x14ac:dyDescent="0.35">
      <c r="A359">
        <v>1190</v>
      </c>
      <c r="B359">
        <v>1190</v>
      </c>
      <c r="C359">
        <v>42</v>
      </c>
      <c r="D359">
        <v>17</v>
      </c>
      <c r="E359">
        <v>115</v>
      </c>
      <c r="F359">
        <v>2</v>
      </c>
      <c r="G359">
        <v>0.4</v>
      </c>
      <c r="H359">
        <v>1</v>
      </c>
      <c r="I359">
        <v>0</v>
      </c>
      <c r="J359">
        <v>1</v>
      </c>
      <c r="K359">
        <v>0</v>
      </c>
      <c r="L359">
        <v>92717</v>
      </c>
      <c r="M359">
        <v>0</v>
      </c>
      <c r="N359">
        <v>0</v>
      </c>
      <c r="O359">
        <v>0</v>
      </c>
      <c r="Q359">
        <v>1</v>
      </c>
      <c r="R359">
        <v>0</v>
      </c>
      <c r="S359">
        <v>0</v>
      </c>
      <c r="T359">
        <v>22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</row>
    <row r="360" spans="1:29" x14ac:dyDescent="0.35">
      <c r="A360">
        <v>1191</v>
      </c>
      <c r="B360">
        <v>1191</v>
      </c>
      <c r="C360">
        <v>39</v>
      </c>
      <c r="D360">
        <v>15</v>
      </c>
      <c r="E360">
        <v>168</v>
      </c>
      <c r="F360">
        <v>2</v>
      </c>
      <c r="G360">
        <v>8</v>
      </c>
      <c r="H360">
        <v>1</v>
      </c>
      <c r="I360">
        <v>152</v>
      </c>
      <c r="J360">
        <v>0</v>
      </c>
      <c r="K360">
        <v>0</v>
      </c>
      <c r="L360">
        <v>93117</v>
      </c>
      <c r="M360">
        <v>0</v>
      </c>
      <c r="N360">
        <v>1</v>
      </c>
      <c r="O360">
        <v>0</v>
      </c>
      <c r="Q360">
        <v>1</v>
      </c>
      <c r="R360">
        <v>0</v>
      </c>
      <c r="S360">
        <v>0</v>
      </c>
      <c r="T360">
        <v>22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</row>
    <row r="361" spans="1:29" x14ac:dyDescent="0.35">
      <c r="A361">
        <v>1196</v>
      </c>
      <c r="B361">
        <v>1196</v>
      </c>
      <c r="C361">
        <v>32</v>
      </c>
      <c r="D361">
        <v>7</v>
      </c>
      <c r="E361">
        <v>123</v>
      </c>
      <c r="F361">
        <v>2</v>
      </c>
      <c r="G361">
        <v>2.9</v>
      </c>
      <c r="H361">
        <v>2</v>
      </c>
      <c r="I361">
        <v>0</v>
      </c>
      <c r="J361">
        <v>1</v>
      </c>
      <c r="K361">
        <v>0</v>
      </c>
      <c r="L361">
        <v>92407</v>
      </c>
      <c r="M361">
        <v>1</v>
      </c>
      <c r="N361">
        <v>0</v>
      </c>
      <c r="O361">
        <v>0</v>
      </c>
      <c r="Q361">
        <v>0</v>
      </c>
      <c r="R361">
        <v>1</v>
      </c>
      <c r="S361">
        <v>1</v>
      </c>
      <c r="T361">
        <v>10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1</v>
      </c>
    </row>
    <row r="362" spans="1:29" x14ac:dyDescent="0.35">
      <c r="A362">
        <v>1197</v>
      </c>
      <c r="B362">
        <v>1197</v>
      </c>
      <c r="C362">
        <v>37</v>
      </c>
      <c r="D362">
        <v>13</v>
      </c>
      <c r="E362">
        <v>71</v>
      </c>
      <c r="F362">
        <v>2</v>
      </c>
      <c r="G362">
        <v>2.7</v>
      </c>
      <c r="H362">
        <v>1</v>
      </c>
      <c r="I362">
        <v>94</v>
      </c>
      <c r="J362">
        <v>1</v>
      </c>
      <c r="K362">
        <v>0</v>
      </c>
      <c r="L362">
        <v>94609</v>
      </c>
      <c r="M362">
        <v>0</v>
      </c>
      <c r="N362">
        <v>0</v>
      </c>
      <c r="O362">
        <v>0</v>
      </c>
      <c r="Q362">
        <v>1</v>
      </c>
      <c r="R362">
        <v>0</v>
      </c>
      <c r="S362">
        <v>0</v>
      </c>
      <c r="T362">
        <v>5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</row>
    <row r="363" spans="1:29" x14ac:dyDescent="0.35">
      <c r="A363">
        <v>1206</v>
      </c>
      <c r="B363">
        <v>1206</v>
      </c>
      <c r="C363">
        <v>32</v>
      </c>
      <c r="D363">
        <v>7</v>
      </c>
      <c r="E363">
        <v>94</v>
      </c>
      <c r="F363">
        <v>2</v>
      </c>
      <c r="G363">
        <v>3.1</v>
      </c>
      <c r="H363">
        <v>1</v>
      </c>
      <c r="I363">
        <v>0</v>
      </c>
      <c r="J363">
        <v>1</v>
      </c>
      <c r="K363">
        <v>0</v>
      </c>
      <c r="L363">
        <v>91361</v>
      </c>
      <c r="M363">
        <v>0</v>
      </c>
      <c r="N363">
        <v>0</v>
      </c>
      <c r="O363">
        <v>0</v>
      </c>
      <c r="Q363">
        <v>1</v>
      </c>
      <c r="R363">
        <v>0</v>
      </c>
      <c r="S363">
        <v>0</v>
      </c>
      <c r="T363">
        <v>16</v>
      </c>
      <c r="U363">
        <v>0.58333333333333004</v>
      </c>
      <c r="V363">
        <v>0.41666666666666002</v>
      </c>
      <c r="W363">
        <v>0.58333333333333004</v>
      </c>
      <c r="X363">
        <v>0.41666666666666002</v>
      </c>
      <c r="Y363">
        <v>0.77777777777777002</v>
      </c>
      <c r="Z363">
        <v>0.22222222222221999</v>
      </c>
      <c r="AA363">
        <v>0.41666666666666902</v>
      </c>
      <c r="AB363">
        <v>-0.41666666666666002</v>
      </c>
      <c r="AC363">
        <v>0</v>
      </c>
    </row>
    <row r="364" spans="1:29" x14ac:dyDescent="0.35">
      <c r="A364">
        <v>1207</v>
      </c>
      <c r="B364">
        <v>1207</v>
      </c>
      <c r="C364">
        <v>63</v>
      </c>
      <c r="D364">
        <v>37</v>
      </c>
      <c r="E364">
        <v>165</v>
      </c>
      <c r="F364">
        <v>4</v>
      </c>
      <c r="G364">
        <v>5.0999999999999996</v>
      </c>
      <c r="H364">
        <v>3</v>
      </c>
      <c r="I364">
        <v>0</v>
      </c>
      <c r="J364">
        <v>0</v>
      </c>
      <c r="K364">
        <v>0</v>
      </c>
      <c r="L364">
        <v>95035</v>
      </c>
      <c r="M364">
        <v>1</v>
      </c>
      <c r="N364">
        <v>0</v>
      </c>
      <c r="O364">
        <v>0</v>
      </c>
      <c r="Q364">
        <v>0</v>
      </c>
      <c r="R364">
        <v>1</v>
      </c>
      <c r="S364">
        <v>1</v>
      </c>
      <c r="T364">
        <v>10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1</v>
      </c>
    </row>
    <row r="365" spans="1:29" x14ac:dyDescent="0.35">
      <c r="A365">
        <v>1209</v>
      </c>
      <c r="B365">
        <v>1209</v>
      </c>
      <c r="C365">
        <v>50</v>
      </c>
      <c r="D365">
        <v>26</v>
      </c>
      <c r="E365">
        <v>48</v>
      </c>
      <c r="F365">
        <v>1</v>
      </c>
      <c r="G365">
        <v>1.6</v>
      </c>
      <c r="H365">
        <v>2</v>
      </c>
      <c r="I365">
        <v>0</v>
      </c>
      <c r="J365">
        <v>0</v>
      </c>
      <c r="K365">
        <v>1</v>
      </c>
      <c r="L365">
        <v>91711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5</v>
      </c>
      <c r="U365">
        <v>1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</row>
    <row r="366" spans="1:29" x14ac:dyDescent="0.35">
      <c r="A366">
        <v>1211</v>
      </c>
      <c r="B366">
        <v>1211</v>
      </c>
      <c r="C366">
        <v>50</v>
      </c>
      <c r="D366">
        <v>24</v>
      </c>
      <c r="E366">
        <v>84</v>
      </c>
      <c r="F366">
        <v>4</v>
      </c>
      <c r="G366">
        <v>4.9000000000000004</v>
      </c>
      <c r="H366">
        <v>1</v>
      </c>
      <c r="I366">
        <v>0</v>
      </c>
      <c r="J366">
        <v>1</v>
      </c>
      <c r="K366">
        <v>0</v>
      </c>
      <c r="L366">
        <v>93943</v>
      </c>
      <c r="M366">
        <v>0</v>
      </c>
      <c r="N366">
        <v>0</v>
      </c>
      <c r="O366">
        <v>0</v>
      </c>
      <c r="Q366">
        <v>1</v>
      </c>
      <c r="R366">
        <v>0</v>
      </c>
      <c r="S366">
        <v>0</v>
      </c>
      <c r="T366">
        <v>15</v>
      </c>
      <c r="U366">
        <v>0.91935483870967005</v>
      </c>
      <c r="V366">
        <v>8.0645161290319997E-2</v>
      </c>
      <c r="W366">
        <v>0.91935483870967005</v>
      </c>
      <c r="X366">
        <v>8.0645161290319997E-2</v>
      </c>
      <c r="Y366">
        <v>0.86</v>
      </c>
      <c r="Z366">
        <v>0.14000000000000001</v>
      </c>
      <c r="AA366">
        <v>8.0645161290329906E-2</v>
      </c>
      <c r="AB366">
        <v>-8.0645161290319997E-2</v>
      </c>
      <c r="AC366">
        <v>0</v>
      </c>
    </row>
    <row r="367" spans="1:29" x14ac:dyDescent="0.35">
      <c r="A367">
        <v>1213</v>
      </c>
      <c r="B367">
        <v>1213</v>
      </c>
      <c r="C367">
        <v>34</v>
      </c>
      <c r="D367">
        <v>8</v>
      </c>
      <c r="E367">
        <v>44</v>
      </c>
      <c r="F367">
        <v>4</v>
      </c>
      <c r="G367">
        <v>0.2</v>
      </c>
      <c r="H367">
        <v>1</v>
      </c>
      <c r="I367">
        <v>0</v>
      </c>
      <c r="J367">
        <v>0</v>
      </c>
      <c r="K367">
        <v>0</v>
      </c>
      <c r="L367">
        <v>91101</v>
      </c>
      <c r="M367">
        <v>0</v>
      </c>
      <c r="N367">
        <v>0</v>
      </c>
      <c r="O367">
        <v>0</v>
      </c>
      <c r="Q367">
        <v>1</v>
      </c>
      <c r="R367">
        <v>0</v>
      </c>
      <c r="S367">
        <v>0</v>
      </c>
      <c r="T367">
        <v>5</v>
      </c>
      <c r="U367">
        <v>1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</row>
    <row r="368" spans="1:29" x14ac:dyDescent="0.35">
      <c r="A368">
        <v>1214</v>
      </c>
      <c r="B368">
        <v>1214</v>
      </c>
      <c r="C368">
        <v>27</v>
      </c>
      <c r="D368">
        <v>2</v>
      </c>
      <c r="E368">
        <v>78</v>
      </c>
      <c r="F368">
        <v>4</v>
      </c>
      <c r="G368">
        <v>0.2</v>
      </c>
      <c r="H368">
        <v>1</v>
      </c>
      <c r="I368">
        <v>87</v>
      </c>
      <c r="J368">
        <v>0</v>
      </c>
      <c r="K368">
        <v>0</v>
      </c>
      <c r="L368">
        <v>93943</v>
      </c>
      <c r="M368">
        <v>0</v>
      </c>
      <c r="N368">
        <v>0</v>
      </c>
      <c r="O368">
        <v>0</v>
      </c>
      <c r="Q368">
        <v>1</v>
      </c>
      <c r="R368">
        <v>0</v>
      </c>
      <c r="S368">
        <v>0</v>
      </c>
      <c r="T368">
        <v>5</v>
      </c>
      <c r="U368">
        <v>1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</row>
    <row r="369" spans="1:29" x14ac:dyDescent="0.35">
      <c r="A369">
        <v>1227</v>
      </c>
      <c r="B369">
        <v>1227</v>
      </c>
      <c r="C369">
        <v>60</v>
      </c>
      <c r="D369">
        <v>36</v>
      </c>
      <c r="E369">
        <v>14</v>
      </c>
      <c r="F369">
        <v>2</v>
      </c>
      <c r="G369">
        <v>0.3</v>
      </c>
      <c r="H369">
        <v>1</v>
      </c>
      <c r="I369">
        <v>109</v>
      </c>
      <c r="J369">
        <v>1</v>
      </c>
      <c r="K369">
        <v>1</v>
      </c>
      <c r="L369">
        <v>90089</v>
      </c>
      <c r="M369">
        <v>0</v>
      </c>
      <c r="N369">
        <v>0</v>
      </c>
      <c r="O369">
        <v>0</v>
      </c>
      <c r="Q369">
        <v>1</v>
      </c>
      <c r="R369">
        <v>0</v>
      </c>
      <c r="S369">
        <v>0</v>
      </c>
      <c r="T369">
        <v>5</v>
      </c>
      <c r="U369">
        <v>1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</row>
    <row r="370" spans="1:29" x14ac:dyDescent="0.35">
      <c r="A370">
        <v>1231</v>
      </c>
      <c r="B370">
        <v>1231</v>
      </c>
      <c r="C370">
        <v>27</v>
      </c>
      <c r="D370">
        <v>1</v>
      </c>
      <c r="E370">
        <v>25</v>
      </c>
      <c r="F370">
        <v>4</v>
      </c>
      <c r="G370">
        <v>0.3</v>
      </c>
      <c r="H370">
        <v>2</v>
      </c>
      <c r="I370">
        <v>0</v>
      </c>
      <c r="J370">
        <v>1</v>
      </c>
      <c r="K370">
        <v>1</v>
      </c>
      <c r="L370">
        <v>94920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5</v>
      </c>
      <c r="U370">
        <v>1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</row>
    <row r="371" spans="1:29" x14ac:dyDescent="0.35">
      <c r="A371">
        <v>1234</v>
      </c>
      <c r="B371">
        <v>1234</v>
      </c>
      <c r="C371">
        <v>53</v>
      </c>
      <c r="D371">
        <v>29</v>
      </c>
      <c r="E371">
        <v>22</v>
      </c>
      <c r="F371">
        <v>2</v>
      </c>
      <c r="G371">
        <v>0.4</v>
      </c>
      <c r="H371">
        <v>1</v>
      </c>
      <c r="I371">
        <v>0</v>
      </c>
      <c r="J371">
        <v>1</v>
      </c>
      <c r="K371">
        <v>0</v>
      </c>
      <c r="L371">
        <v>93943</v>
      </c>
      <c r="M371">
        <v>0</v>
      </c>
      <c r="N371">
        <v>0</v>
      </c>
      <c r="O371">
        <v>0</v>
      </c>
      <c r="Q371">
        <v>1</v>
      </c>
      <c r="R371">
        <v>0</v>
      </c>
      <c r="S371">
        <v>0</v>
      </c>
      <c r="T371">
        <v>5</v>
      </c>
      <c r="U371">
        <v>1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</row>
    <row r="372" spans="1:29" x14ac:dyDescent="0.35">
      <c r="A372">
        <v>1235</v>
      </c>
      <c r="B372">
        <v>1235</v>
      </c>
      <c r="C372">
        <v>44</v>
      </c>
      <c r="D372">
        <v>18</v>
      </c>
      <c r="E372">
        <v>33</v>
      </c>
      <c r="F372">
        <v>3</v>
      </c>
      <c r="G372">
        <v>1.5</v>
      </c>
      <c r="H372">
        <v>1</v>
      </c>
      <c r="I372">
        <v>0</v>
      </c>
      <c r="J372">
        <v>1</v>
      </c>
      <c r="K372">
        <v>1</v>
      </c>
      <c r="L372">
        <v>90405</v>
      </c>
      <c r="M372">
        <v>0</v>
      </c>
      <c r="N372">
        <v>0</v>
      </c>
      <c r="O372">
        <v>0</v>
      </c>
      <c r="Q372">
        <v>1</v>
      </c>
      <c r="R372">
        <v>0</v>
      </c>
      <c r="S372">
        <v>0</v>
      </c>
      <c r="T372">
        <v>5</v>
      </c>
      <c r="U372">
        <v>1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</row>
    <row r="373" spans="1:29" x14ac:dyDescent="0.35">
      <c r="A373">
        <v>1236</v>
      </c>
      <c r="B373">
        <v>1236</v>
      </c>
      <c r="C373">
        <v>54</v>
      </c>
      <c r="D373">
        <v>28</v>
      </c>
      <c r="E373">
        <v>60</v>
      </c>
      <c r="F373">
        <v>4</v>
      </c>
      <c r="G373">
        <v>2.6</v>
      </c>
      <c r="H373">
        <v>3</v>
      </c>
      <c r="I373">
        <v>0</v>
      </c>
      <c r="J373">
        <v>0</v>
      </c>
      <c r="K373">
        <v>0</v>
      </c>
      <c r="L373">
        <v>94110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0</v>
      </c>
      <c r="T373">
        <v>5</v>
      </c>
      <c r="U373">
        <v>1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</row>
    <row r="374" spans="1:29" x14ac:dyDescent="0.35">
      <c r="A374">
        <v>1239</v>
      </c>
      <c r="B374">
        <v>1239</v>
      </c>
      <c r="C374">
        <v>28</v>
      </c>
      <c r="D374">
        <v>2</v>
      </c>
      <c r="E374">
        <v>63</v>
      </c>
      <c r="F374">
        <v>2</v>
      </c>
      <c r="G374">
        <v>1.6</v>
      </c>
      <c r="H374">
        <v>3</v>
      </c>
      <c r="I374">
        <v>0</v>
      </c>
      <c r="J374">
        <v>1</v>
      </c>
      <c r="K374">
        <v>0</v>
      </c>
      <c r="L374">
        <v>91116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5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</row>
    <row r="375" spans="1:29" x14ac:dyDescent="0.35">
      <c r="A375">
        <v>1240</v>
      </c>
      <c r="B375">
        <v>1240</v>
      </c>
      <c r="C375">
        <v>51</v>
      </c>
      <c r="D375">
        <v>26</v>
      </c>
      <c r="E375">
        <v>12</v>
      </c>
      <c r="F375">
        <v>2</v>
      </c>
      <c r="G375">
        <v>0.7</v>
      </c>
      <c r="H375">
        <v>3</v>
      </c>
      <c r="I375">
        <v>109</v>
      </c>
      <c r="J375">
        <v>1</v>
      </c>
      <c r="K375">
        <v>1</v>
      </c>
      <c r="L375">
        <v>90245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5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</row>
    <row r="376" spans="1:29" x14ac:dyDescent="0.35">
      <c r="A376">
        <v>1249</v>
      </c>
      <c r="B376">
        <v>1249</v>
      </c>
      <c r="C376">
        <v>44</v>
      </c>
      <c r="D376">
        <v>19</v>
      </c>
      <c r="E376">
        <v>35</v>
      </c>
      <c r="F376">
        <v>4</v>
      </c>
      <c r="G376">
        <v>0</v>
      </c>
      <c r="H376">
        <v>2</v>
      </c>
      <c r="I376">
        <v>0</v>
      </c>
      <c r="J376">
        <v>1</v>
      </c>
      <c r="K376">
        <v>0</v>
      </c>
      <c r="L376">
        <v>94305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5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</row>
    <row r="377" spans="1:29" x14ac:dyDescent="0.35">
      <c r="A377">
        <v>1255</v>
      </c>
      <c r="B377">
        <v>1255</v>
      </c>
      <c r="C377">
        <v>36</v>
      </c>
      <c r="D377">
        <v>12</v>
      </c>
      <c r="E377">
        <v>40</v>
      </c>
      <c r="F377">
        <v>2</v>
      </c>
      <c r="G377">
        <v>0.6</v>
      </c>
      <c r="H377">
        <v>3</v>
      </c>
      <c r="I377">
        <v>0</v>
      </c>
      <c r="J377">
        <v>1</v>
      </c>
      <c r="K377">
        <v>1</v>
      </c>
      <c r="L377">
        <v>91101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5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</row>
    <row r="378" spans="1:29" x14ac:dyDescent="0.35">
      <c r="A378">
        <v>1260</v>
      </c>
      <c r="B378">
        <v>1260</v>
      </c>
      <c r="C378">
        <v>52</v>
      </c>
      <c r="D378">
        <v>27</v>
      </c>
      <c r="E378">
        <v>35</v>
      </c>
      <c r="F378">
        <v>4</v>
      </c>
      <c r="G378">
        <v>0.2</v>
      </c>
      <c r="H378">
        <v>2</v>
      </c>
      <c r="I378">
        <v>0</v>
      </c>
      <c r="J378">
        <v>1</v>
      </c>
      <c r="K378">
        <v>0</v>
      </c>
      <c r="L378">
        <v>95616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5</v>
      </c>
      <c r="U378">
        <v>1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</row>
    <row r="379" spans="1:29" x14ac:dyDescent="0.35">
      <c r="A379">
        <v>1261</v>
      </c>
      <c r="B379">
        <v>1261</v>
      </c>
      <c r="C379">
        <v>57</v>
      </c>
      <c r="D379">
        <v>31</v>
      </c>
      <c r="E379">
        <v>40</v>
      </c>
      <c r="F379">
        <v>3</v>
      </c>
      <c r="G379">
        <v>1.4</v>
      </c>
      <c r="H379">
        <v>3</v>
      </c>
      <c r="I379">
        <v>137</v>
      </c>
      <c r="J379">
        <v>1</v>
      </c>
      <c r="K379">
        <v>1</v>
      </c>
      <c r="L379">
        <v>91107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5</v>
      </c>
      <c r="U379">
        <v>1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</row>
    <row r="380" spans="1:29" x14ac:dyDescent="0.35">
      <c r="A380">
        <v>1263</v>
      </c>
      <c r="B380">
        <v>1263</v>
      </c>
      <c r="C380">
        <v>26</v>
      </c>
      <c r="D380">
        <v>1</v>
      </c>
      <c r="E380">
        <v>53</v>
      </c>
      <c r="F380">
        <v>2</v>
      </c>
      <c r="G380">
        <v>1.6</v>
      </c>
      <c r="H380">
        <v>3</v>
      </c>
      <c r="I380">
        <v>0</v>
      </c>
      <c r="J380">
        <v>1</v>
      </c>
      <c r="K380">
        <v>0</v>
      </c>
      <c r="L380">
        <v>94720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5</v>
      </c>
      <c r="U380">
        <v>1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</row>
    <row r="381" spans="1:29" x14ac:dyDescent="0.35">
      <c r="A381">
        <v>1268</v>
      </c>
      <c r="B381">
        <v>1268</v>
      </c>
      <c r="C381">
        <v>50</v>
      </c>
      <c r="D381">
        <v>23</v>
      </c>
      <c r="E381">
        <v>23</v>
      </c>
      <c r="F381">
        <v>2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94720</v>
      </c>
      <c r="M381">
        <v>0</v>
      </c>
      <c r="N381">
        <v>1</v>
      </c>
      <c r="O381">
        <v>0</v>
      </c>
      <c r="Q381">
        <v>0</v>
      </c>
      <c r="R381">
        <v>0</v>
      </c>
      <c r="S381">
        <v>0</v>
      </c>
      <c r="T381">
        <v>5</v>
      </c>
      <c r="U381">
        <v>1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</row>
    <row r="382" spans="1:29" x14ac:dyDescent="0.35">
      <c r="A382">
        <v>1270</v>
      </c>
      <c r="B382">
        <v>1270</v>
      </c>
      <c r="C382">
        <v>36</v>
      </c>
      <c r="D382">
        <v>11</v>
      </c>
      <c r="E382">
        <v>14</v>
      </c>
      <c r="F382">
        <v>4</v>
      </c>
      <c r="G382">
        <v>0.2</v>
      </c>
      <c r="H382">
        <v>3</v>
      </c>
      <c r="I382">
        <v>100</v>
      </c>
      <c r="J382">
        <v>1</v>
      </c>
      <c r="K382">
        <v>1</v>
      </c>
      <c r="L382">
        <v>92673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5</v>
      </c>
      <c r="U382">
        <v>1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</row>
    <row r="383" spans="1:29" x14ac:dyDescent="0.35">
      <c r="A383">
        <v>1271</v>
      </c>
      <c r="B383">
        <v>1271</v>
      </c>
      <c r="C383">
        <v>43</v>
      </c>
      <c r="D383">
        <v>18</v>
      </c>
      <c r="E383">
        <v>60</v>
      </c>
      <c r="F383">
        <v>2</v>
      </c>
      <c r="G383">
        <v>2.2000000000000002</v>
      </c>
      <c r="H383">
        <v>3</v>
      </c>
      <c r="I383">
        <v>0</v>
      </c>
      <c r="J383">
        <v>0</v>
      </c>
      <c r="K383">
        <v>1</v>
      </c>
      <c r="L383">
        <v>91311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5</v>
      </c>
      <c r="U383">
        <v>1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</row>
    <row r="384" spans="1:29" x14ac:dyDescent="0.35">
      <c r="A384">
        <v>1276</v>
      </c>
      <c r="B384">
        <v>1276</v>
      </c>
      <c r="C384">
        <v>27</v>
      </c>
      <c r="D384">
        <v>2</v>
      </c>
      <c r="E384">
        <v>92</v>
      </c>
      <c r="F384">
        <v>2</v>
      </c>
      <c r="G384">
        <v>3.1</v>
      </c>
      <c r="H384">
        <v>1</v>
      </c>
      <c r="I384">
        <v>178</v>
      </c>
      <c r="J384">
        <v>1</v>
      </c>
      <c r="K384">
        <v>0</v>
      </c>
      <c r="L384">
        <v>95616</v>
      </c>
      <c r="M384">
        <v>0</v>
      </c>
      <c r="N384">
        <v>0</v>
      </c>
      <c r="O384">
        <v>0</v>
      </c>
      <c r="Q384">
        <v>1</v>
      </c>
      <c r="R384">
        <v>0</v>
      </c>
      <c r="S384">
        <v>0</v>
      </c>
      <c r="T384">
        <v>15</v>
      </c>
      <c r="U384">
        <v>0.91935483870967005</v>
      </c>
      <c r="V384">
        <v>8.0645161290319997E-2</v>
      </c>
      <c r="W384">
        <v>0.91935483870967005</v>
      </c>
      <c r="X384">
        <v>8.0645161290319997E-2</v>
      </c>
      <c r="Y384">
        <v>0.86</v>
      </c>
      <c r="Z384">
        <v>0.14000000000000001</v>
      </c>
      <c r="AA384">
        <v>8.0645161290329906E-2</v>
      </c>
      <c r="AB384">
        <v>-8.0645161290319997E-2</v>
      </c>
      <c r="AC384">
        <v>0</v>
      </c>
    </row>
    <row r="385" spans="1:29" x14ac:dyDescent="0.35">
      <c r="A385">
        <v>1277</v>
      </c>
      <c r="B385">
        <v>1277</v>
      </c>
      <c r="C385">
        <v>42</v>
      </c>
      <c r="D385">
        <v>16</v>
      </c>
      <c r="E385">
        <v>20</v>
      </c>
      <c r="F385">
        <v>2</v>
      </c>
      <c r="G385">
        <v>0.8</v>
      </c>
      <c r="H385">
        <v>3</v>
      </c>
      <c r="I385">
        <v>117</v>
      </c>
      <c r="J385">
        <v>1</v>
      </c>
      <c r="K385">
        <v>1</v>
      </c>
      <c r="L385">
        <v>95351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5</v>
      </c>
      <c r="U385">
        <v>1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</row>
    <row r="386" spans="1:29" x14ac:dyDescent="0.35">
      <c r="A386">
        <v>1278</v>
      </c>
      <c r="B386">
        <v>1278</v>
      </c>
      <c r="C386">
        <v>45</v>
      </c>
      <c r="D386">
        <v>20</v>
      </c>
      <c r="E386">
        <v>194</v>
      </c>
      <c r="F386">
        <v>2</v>
      </c>
      <c r="G386">
        <v>8.8000000000000007</v>
      </c>
      <c r="H386">
        <v>1</v>
      </c>
      <c r="I386">
        <v>428</v>
      </c>
      <c r="J386">
        <v>0</v>
      </c>
      <c r="K386">
        <v>0</v>
      </c>
      <c r="L386">
        <v>92110</v>
      </c>
      <c r="M386">
        <v>0</v>
      </c>
      <c r="N386">
        <v>0</v>
      </c>
      <c r="O386">
        <v>0</v>
      </c>
      <c r="Q386">
        <v>1</v>
      </c>
      <c r="R386">
        <v>0</v>
      </c>
      <c r="S386">
        <v>0</v>
      </c>
      <c r="T386">
        <v>22</v>
      </c>
      <c r="U386">
        <v>1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</row>
    <row r="387" spans="1:29" x14ac:dyDescent="0.35">
      <c r="A387">
        <v>1280</v>
      </c>
      <c r="B387">
        <v>1280</v>
      </c>
      <c r="C387">
        <v>48</v>
      </c>
      <c r="D387">
        <v>22</v>
      </c>
      <c r="E387">
        <v>84</v>
      </c>
      <c r="F387">
        <v>2</v>
      </c>
      <c r="G387">
        <v>0.4</v>
      </c>
      <c r="H387">
        <v>3</v>
      </c>
      <c r="I387">
        <v>145</v>
      </c>
      <c r="J387">
        <v>0</v>
      </c>
      <c r="K387">
        <v>0</v>
      </c>
      <c r="L387">
        <v>90024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5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</row>
    <row r="388" spans="1:29" x14ac:dyDescent="0.35">
      <c r="A388">
        <v>1281</v>
      </c>
      <c r="B388">
        <v>1281</v>
      </c>
      <c r="C388">
        <v>65</v>
      </c>
      <c r="D388">
        <v>40</v>
      </c>
      <c r="E388">
        <v>98</v>
      </c>
      <c r="F388">
        <v>3</v>
      </c>
      <c r="G388">
        <v>1.8</v>
      </c>
      <c r="H388">
        <v>2</v>
      </c>
      <c r="I388">
        <v>333</v>
      </c>
      <c r="J388">
        <v>0</v>
      </c>
      <c r="K388">
        <v>0</v>
      </c>
      <c r="L388">
        <v>95064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5</v>
      </c>
      <c r="U388">
        <v>1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</row>
    <row r="389" spans="1:29" x14ac:dyDescent="0.35">
      <c r="A389">
        <v>1284</v>
      </c>
      <c r="B389">
        <v>1284</v>
      </c>
      <c r="C389">
        <v>30</v>
      </c>
      <c r="D389">
        <v>6</v>
      </c>
      <c r="E389">
        <v>64</v>
      </c>
      <c r="F389">
        <v>4</v>
      </c>
      <c r="G389">
        <v>3.4</v>
      </c>
      <c r="H389">
        <v>1</v>
      </c>
      <c r="I389">
        <v>117</v>
      </c>
      <c r="J389">
        <v>0</v>
      </c>
      <c r="K389">
        <v>0</v>
      </c>
      <c r="L389">
        <v>94305</v>
      </c>
      <c r="M389">
        <v>0</v>
      </c>
      <c r="N389">
        <v>0</v>
      </c>
      <c r="O389">
        <v>0</v>
      </c>
      <c r="Q389">
        <v>1</v>
      </c>
      <c r="R389">
        <v>0</v>
      </c>
      <c r="S389">
        <v>0</v>
      </c>
      <c r="T389">
        <v>15</v>
      </c>
      <c r="U389">
        <v>0.91935483870967005</v>
      </c>
      <c r="V389">
        <v>8.0645161290319997E-2</v>
      </c>
      <c r="W389">
        <v>0.91935483870967005</v>
      </c>
      <c r="X389">
        <v>8.0645161290319997E-2</v>
      </c>
      <c r="Y389">
        <v>0.86</v>
      </c>
      <c r="Z389">
        <v>0.14000000000000001</v>
      </c>
      <c r="AA389">
        <v>8.0645161290329906E-2</v>
      </c>
      <c r="AB389">
        <v>-8.0645161290319997E-2</v>
      </c>
      <c r="AC389">
        <v>0</v>
      </c>
    </row>
    <row r="390" spans="1:29" x14ac:dyDescent="0.35">
      <c r="A390">
        <v>1287</v>
      </c>
      <c r="B390">
        <v>1287</v>
      </c>
      <c r="C390">
        <v>29</v>
      </c>
      <c r="D390">
        <v>3</v>
      </c>
      <c r="E390">
        <v>50</v>
      </c>
      <c r="F390">
        <v>3</v>
      </c>
      <c r="G390">
        <v>1.1000000000000001</v>
      </c>
      <c r="H390">
        <v>2</v>
      </c>
      <c r="I390">
        <v>0</v>
      </c>
      <c r="J390">
        <v>0</v>
      </c>
      <c r="K390">
        <v>1</v>
      </c>
      <c r="L390">
        <v>94010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5</v>
      </c>
      <c r="U390">
        <v>1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</row>
    <row r="391" spans="1:29" x14ac:dyDescent="0.35">
      <c r="A391">
        <v>1291</v>
      </c>
      <c r="B391">
        <v>1291</v>
      </c>
      <c r="C391">
        <v>62</v>
      </c>
      <c r="D391">
        <v>38</v>
      </c>
      <c r="E391">
        <v>100</v>
      </c>
      <c r="F391">
        <v>4</v>
      </c>
      <c r="G391">
        <v>1.7</v>
      </c>
      <c r="H391">
        <v>2</v>
      </c>
      <c r="I391">
        <v>0</v>
      </c>
      <c r="J391">
        <v>1</v>
      </c>
      <c r="K391">
        <v>0</v>
      </c>
      <c r="L391">
        <v>90277</v>
      </c>
      <c r="M391">
        <v>0</v>
      </c>
      <c r="N391">
        <v>0</v>
      </c>
      <c r="O391">
        <v>0</v>
      </c>
      <c r="Q391">
        <v>0</v>
      </c>
      <c r="R391">
        <v>0</v>
      </c>
      <c r="S391">
        <v>0</v>
      </c>
      <c r="T391">
        <v>13</v>
      </c>
      <c r="U391">
        <v>0.88607594936708001</v>
      </c>
      <c r="V391">
        <v>0.11392405063291</v>
      </c>
      <c r="W391">
        <v>0.88607594936708001</v>
      </c>
      <c r="X391">
        <v>0.11392405063291</v>
      </c>
      <c r="Y391">
        <v>0.86842105263156999</v>
      </c>
      <c r="Z391">
        <v>0.13157894736841999</v>
      </c>
      <c r="AA391">
        <v>0.11392405063291999</v>
      </c>
      <c r="AB391">
        <v>-0.11392405063291</v>
      </c>
      <c r="AC391">
        <v>0</v>
      </c>
    </row>
    <row r="392" spans="1:29" x14ac:dyDescent="0.35">
      <c r="A392">
        <v>1294</v>
      </c>
      <c r="B392">
        <v>1294</v>
      </c>
      <c r="C392">
        <v>56</v>
      </c>
      <c r="D392">
        <v>31</v>
      </c>
      <c r="E392">
        <v>81</v>
      </c>
      <c r="F392">
        <v>2</v>
      </c>
      <c r="G392">
        <v>3.7</v>
      </c>
      <c r="H392">
        <v>1</v>
      </c>
      <c r="I392">
        <v>121</v>
      </c>
      <c r="J392">
        <v>1</v>
      </c>
      <c r="K392">
        <v>1</v>
      </c>
      <c r="L392">
        <v>92373</v>
      </c>
      <c r="M392">
        <v>0</v>
      </c>
      <c r="N392">
        <v>0</v>
      </c>
      <c r="O392">
        <v>0</v>
      </c>
      <c r="Q392">
        <v>1</v>
      </c>
      <c r="R392">
        <v>0</v>
      </c>
      <c r="S392">
        <v>0</v>
      </c>
      <c r="T392">
        <v>15</v>
      </c>
      <c r="U392">
        <v>0.91935483870967005</v>
      </c>
      <c r="V392">
        <v>8.0645161290319997E-2</v>
      </c>
      <c r="W392">
        <v>0.91935483870967005</v>
      </c>
      <c r="X392">
        <v>8.0645161290319997E-2</v>
      </c>
      <c r="Y392">
        <v>0.86</v>
      </c>
      <c r="Z392">
        <v>0.14000000000000001</v>
      </c>
      <c r="AA392">
        <v>8.0645161290329906E-2</v>
      </c>
      <c r="AB392">
        <v>-8.0645161290319997E-2</v>
      </c>
      <c r="AC392">
        <v>0</v>
      </c>
    </row>
    <row r="393" spans="1:29" x14ac:dyDescent="0.35">
      <c r="A393">
        <v>1295</v>
      </c>
      <c r="B393">
        <v>1295</v>
      </c>
      <c r="C393">
        <v>34</v>
      </c>
      <c r="D393">
        <v>10</v>
      </c>
      <c r="E393">
        <v>71</v>
      </c>
      <c r="F393">
        <v>1</v>
      </c>
      <c r="G393">
        <v>0.1</v>
      </c>
      <c r="H393">
        <v>1</v>
      </c>
      <c r="I393">
        <v>257</v>
      </c>
      <c r="J393">
        <v>1</v>
      </c>
      <c r="K393">
        <v>1</v>
      </c>
      <c r="L393">
        <v>95003</v>
      </c>
      <c r="M393">
        <v>0</v>
      </c>
      <c r="N393">
        <v>0</v>
      </c>
      <c r="O393">
        <v>0</v>
      </c>
      <c r="Q393">
        <v>1</v>
      </c>
      <c r="R393">
        <v>0</v>
      </c>
      <c r="S393">
        <v>0</v>
      </c>
      <c r="T393">
        <v>5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</row>
    <row r="394" spans="1:29" x14ac:dyDescent="0.35">
      <c r="A394">
        <v>1307</v>
      </c>
      <c r="B394">
        <v>1307</v>
      </c>
      <c r="C394">
        <v>34</v>
      </c>
      <c r="D394">
        <v>9</v>
      </c>
      <c r="E394">
        <v>31</v>
      </c>
      <c r="F394">
        <v>4</v>
      </c>
      <c r="G394">
        <v>1.1000000000000001</v>
      </c>
      <c r="H394">
        <v>3</v>
      </c>
      <c r="I394">
        <v>0</v>
      </c>
      <c r="J394">
        <v>1</v>
      </c>
      <c r="K394">
        <v>1</v>
      </c>
      <c r="L394">
        <v>94115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5</v>
      </c>
      <c r="U394">
        <v>1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</row>
    <row r="395" spans="1:29" x14ac:dyDescent="0.35">
      <c r="A395">
        <v>1310</v>
      </c>
      <c r="B395">
        <v>1310</v>
      </c>
      <c r="C395">
        <v>38</v>
      </c>
      <c r="D395">
        <v>14</v>
      </c>
      <c r="E395">
        <v>71</v>
      </c>
      <c r="F395">
        <v>4</v>
      </c>
      <c r="G395">
        <v>2</v>
      </c>
      <c r="H395">
        <v>3</v>
      </c>
      <c r="I395">
        <v>0</v>
      </c>
      <c r="J395">
        <v>0</v>
      </c>
      <c r="K395">
        <v>0</v>
      </c>
      <c r="L395">
        <v>95136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5</v>
      </c>
      <c r="U395">
        <v>1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</row>
    <row r="396" spans="1:29" x14ac:dyDescent="0.35">
      <c r="A396">
        <v>1311</v>
      </c>
      <c r="B396">
        <v>1311</v>
      </c>
      <c r="C396">
        <v>62</v>
      </c>
      <c r="D396">
        <v>36</v>
      </c>
      <c r="E396">
        <v>21</v>
      </c>
      <c r="F396">
        <v>3</v>
      </c>
      <c r="G396">
        <v>0.3</v>
      </c>
      <c r="H396">
        <v>3</v>
      </c>
      <c r="I396">
        <v>0</v>
      </c>
      <c r="J396">
        <v>0</v>
      </c>
      <c r="K396">
        <v>0</v>
      </c>
      <c r="L396">
        <v>95616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5</v>
      </c>
      <c r="U396">
        <v>1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</row>
    <row r="397" spans="1:29" x14ac:dyDescent="0.35">
      <c r="A397">
        <v>1322</v>
      </c>
      <c r="B397">
        <v>1322</v>
      </c>
      <c r="C397">
        <v>27</v>
      </c>
      <c r="D397">
        <v>3</v>
      </c>
      <c r="E397">
        <v>123</v>
      </c>
      <c r="F397">
        <v>1</v>
      </c>
      <c r="G397">
        <v>5.4</v>
      </c>
      <c r="H397">
        <v>1</v>
      </c>
      <c r="I397">
        <v>0</v>
      </c>
      <c r="J397">
        <v>0</v>
      </c>
      <c r="K397">
        <v>0</v>
      </c>
      <c r="L397">
        <v>95138</v>
      </c>
      <c r="M397">
        <v>0</v>
      </c>
      <c r="N397">
        <v>0</v>
      </c>
      <c r="O397">
        <v>0</v>
      </c>
      <c r="Q397">
        <v>1</v>
      </c>
      <c r="R397">
        <v>0</v>
      </c>
      <c r="S397">
        <v>0</v>
      </c>
      <c r="T397">
        <v>22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</row>
    <row r="398" spans="1:29" x14ac:dyDescent="0.35">
      <c r="A398">
        <v>1324</v>
      </c>
      <c r="B398">
        <v>1324</v>
      </c>
      <c r="C398">
        <v>52</v>
      </c>
      <c r="D398">
        <v>26</v>
      </c>
      <c r="E398">
        <v>45</v>
      </c>
      <c r="F398">
        <v>3</v>
      </c>
      <c r="G398">
        <v>0.6</v>
      </c>
      <c r="H398">
        <v>2</v>
      </c>
      <c r="I398">
        <v>0</v>
      </c>
      <c r="J398">
        <v>0</v>
      </c>
      <c r="K398">
        <v>0</v>
      </c>
      <c r="L398">
        <v>91604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5</v>
      </c>
      <c r="U398">
        <v>1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</row>
    <row r="399" spans="1:29" x14ac:dyDescent="0.35">
      <c r="A399">
        <v>1325</v>
      </c>
      <c r="B399">
        <v>1325</v>
      </c>
      <c r="C399">
        <v>52</v>
      </c>
      <c r="D399">
        <v>28</v>
      </c>
      <c r="E399">
        <v>15</v>
      </c>
      <c r="F399">
        <v>1</v>
      </c>
      <c r="G399">
        <v>0.2</v>
      </c>
      <c r="H399">
        <v>1</v>
      </c>
      <c r="I399">
        <v>0</v>
      </c>
      <c r="J399">
        <v>1</v>
      </c>
      <c r="K399">
        <v>0</v>
      </c>
      <c r="L399">
        <v>95064</v>
      </c>
      <c r="M399">
        <v>0</v>
      </c>
      <c r="N399">
        <v>0</v>
      </c>
      <c r="O399">
        <v>0</v>
      </c>
      <c r="Q399">
        <v>1</v>
      </c>
      <c r="R399">
        <v>0</v>
      </c>
      <c r="S399">
        <v>0</v>
      </c>
      <c r="T399">
        <v>5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</row>
    <row r="400" spans="1:29" x14ac:dyDescent="0.35">
      <c r="A400">
        <v>1337</v>
      </c>
      <c r="B400">
        <v>1337</v>
      </c>
      <c r="C400">
        <v>36</v>
      </c>
      <c r="D400">
        <v>12</v>
      </c>
      <c r="E400">
        <v>42</v>
      </c>
      <c r="F400">
        <v>1</v>
      </c>
      <c r="G400">
        <v>1.33</v>
      </c>
      <c r="H400">
        <v>1</v>
      </c>
      <c r="I400">
        <v>0</v>
      </c>
      <c r="J400">
        <v>1</v>
      </c>
      <c r="K400">
        <v>0</v>
      </c>
      <c r="L400">
        <v>93555</v>
      </c>
      <c r="M400">
        <v>0</v>
      </c>
      <c r="N400">
        <v>0</v>
      </c>
      <c r="O400">
        <v>0</v>
      </c>
      <c r="Q400">
        <v>1</v>
      </c>
      <c r="R400">
        <v>0</v>
      </c>
      <c r="S400">
        <v>0</v>
      </c>
      <c r="T400">
        <v>5</v>
      </c>
      <c r="U400">
        <v>1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</row>
    <row r="401" spans="1:29" x14ac:dyDescent="0.35">
      <c r="A401">
        <v>1338</v>
      </c>
      <c r="B401">
        <v>1338</v>
      </c>
      <c r="C401">
        <v>26</v>
      </c>
      <c r="D401">
        <v>0</v>
      </c>
      <c r="E401">
        <v>179</v>
      </c>
      <c r="F401">
        <v>4</v>
      </c>
      <c r="G401">
        <v>2.1</v>
      </c>
      <c r="H401">
        <v>2</v>
      </c>
      <c r="I401">
        <v>0</v>
      </c>
      <c r="J401">
        <v>0</v>
      </c>
      <c r="K401">
        <v>0</v>
      </c>
      <c r="L401">
        <v>92028</v>
      </c>
      <c r="M401">
        <v>1</v>
      </c>
      <c r="N401">
        <v>0</v>
      </c>
      <c r="O401">
        <v>0</v>
      </c>
      <c r="Q401">
        <v>0</v>
      </c>
      <c r="R401">
        <v>1</v>
      </c>
      <c r="S401">
        <v>1</v>
      </c>
      <c r="T401">
        <v>10</v>
      </c>
      <c r="U401">
        <v>0</v>
      </c>
      <c r="V401">
        <v>1</v>
      </c>
      <c r="W401">
        <v>0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1</v>
      </c>
    </row>
    <row r="402" spans="1:29" x14ac:dyDescent="0.35">
      <c r="A402">
        <v>1339</v>
      </c>
      <c r="B402">
        <v>1339</v>
      </c>
      <c r="C402">
        <v>51</v>
      </c>
      <c r="D402">
        <v>27</v>
      </c>
      <c r="E402">
        <v>42</v>
      </c>
      <c r="F402">
        <v>4</v>
      </c>
      <c r="G402">
        <v>0.1</v>
      </c>
      <c r="H402">
        <v>3</v>
      </c>
      <c r="I402">
        <v>0</v>
      </c>
      <c r="J402">
        <v>0</v>
      </c>
      <c r="K402">
        <v>0</v>
      </c>
      <c r="L402">
        <v>90245</v>
      </c>
      <c r="M402">
        <v>0</v>
      </c>
      <c r="N402">
        <v>0</v>
      </c>
      <c r="O402">
        <v>0</v>
      </c>
      <c r="Q402">
        <v>0</v>
      </c>
      <c r="R402">
        <v>0</v>
      </c>
      <c r="S402">
        <v>0</v>
      </c>
      <c r="T402">
        <v>5</v>
      </c>
      <c r="U402">
        <v>1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</row>
    <row r="403" spans="1:29" x14ac:dyDescent="0.35">
      <c r="A403">
        <v>1341</v>
      </c>
      <c r="B403">
        <v>1341</v>
      </c>
      <c r="C403">
        <v>35</v>
      </c>
      <c r="D403">
        <v>11</v>
      </c>
      <c r="E403">
        <v>82</v>
      </c>
      <c r="F403">
        <v>4</v>
      </c>
      <c r="G403">
        <v>3.4</v>
      </c>
      <c r="H403">
        <v>1</v>
      </c>
      <c r="I403">
        <v>0</v>
      </c>
      <c r="J403">
        <v>0</v>
      </c>
      <c r="K403">
        <v>0</v>
      </c>
      <c r="L403">
        <v>94131</v>
      </c>
      <c r="M403">
        <v>0</v>
      </c>
      <c r="N403">
        <v>0</v>
      </c>
      <c r="O403">
        <v>0</v>
      </c>
      <c r="Q403">
        <v>1</v>
      </c>
      <c r="R403">
        <v>0</v>
      </c>
      <c r="S403">
        <v>0</v>
      </c>
      <c r="T403">
        <v>15</v>
      </c>
      <c r="U403">
        <v>0.91935483870967005</v>
      </c>
      <c r="V403">
        <v>8.0645161290319997E-2</v>
      </c>
      <c r="W403">
        <v>0.91935483870967005</v>
      </c>
      <c r="X403">
        <v>8.0645161290319997E-2</v>
      </c>
      <c r="Y403">
        <v>0.86</v>
      </c>
      <c r="Z403">
        <v>0.14000000000000001</v>
      </c>
      <c r="AA403">
        <v>8.0645161290329906E-2</v>
      </c>
      <c r="AB403">
        <v>-8.0645161290319997E-2</v>
      </c>
      <c r="AC403">
        <v>0</v>
      </c>
    </row>
    <row r="404" spans="1:29" x14ac:dyDescent="0.35">
      <c r="A404">
        <v>1359</v>
      </c>
      <c r="B404">
        <v>1359</v>
      </c>
      <c r="C404">
        <v>50</v>
      </c>
      <c r="D404">
        <v>25</v>
      </c>
      <c r="E404">
        <v>83</v>
      </c>
      <c r="F404">
        <v>1</v>
      </c>
      <c r="G404">
        <v>2.8</v>
      </c>
      <c r="H404">
        <v>2</v>
      </c>
      <c r="I404">
        <v>0</v>
      </c>
      <c r="J404">
        <v>1</v>
      </c>
      <c r="K404">
        <v>1</v>
      </c>
      <c r="L404">
        <v>92007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5</v>
      </c>
      <c r="U404">
        <v>1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</row>
    <row r="405" spans="1:29" x14ac:dyDescent="0.35">
      <c r="A405">
        <v>1368</v>
      </c>
      <c r="B405">
        <v>1368</v>
      </c>
      <c r="C405">
        <v>62</v>
      </c>
      <c r="D405">
        <v>38</v>
      </c>
      <c r="E405">
        <v>42</v>
      </c>
      <c r="F405">
        <v>3</v>
      </c>
      <c r="G405">
        <v>0.1</v>
      </c>
      <c r="H405">
        <v>3</v>
      </c>
      <c r="I405">
        <v>149</v>
      </c>
      <c r="J405">
        <v>0</v>
      </c>
      <c r="K405">
        <v>1</v>
      </c>
      <c r="L405">
        <v>95747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5</v>
      </c>
      <c r="U405">
        <v>1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</row>
    <row r="406" spans="1:29" x14ac:dyDescent="0.35">
      <c r="A406">
        <v>1369</v>
      </c>
      <c r="B406">
        <v>1369</v>
      </c>
      <c r="C406">
        <v>46</v>
      </c>
      <c r="D406">
        <v>21</v>
      </c>
      <c r="E406">
        <v>40</v>
      </c>
      <c r="F406">
        <v>4</v>
      </c>
      <c r="G406">
        <v>1.9</v>
      </c>
      <c r="H406">
        <v>3</v>
      </c>
      <c r="I406">
        <v>122</v>
      </c>
      <c r="J406">
        <v>1</v>
      </c>
      <c r="K406">
        <v>0</v>
      </c>
      <c r="L406">
        <v>94025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5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</row>
    <row r="407" spans="1:29" x14ac:dyDescent="0.35">
      <c r="A407">
        <v>1376</v>
      </c>
      <c r="B407">
        <v>1376</v>
      </c>
      <c r="C407">
        <v>50</v>
      </c>
      <c r="D407">
        <v>26</v>
      </c>
      <c r="E407">
        <v>179</v>
      </c>
      <c r="F407">
        <v>1</v>
      </c>
      <c r="G407">
        <v>2.9</v>
      </c>
      <c r="H407">
        <v>3</v>
      </c>
      <c r="I407">
        <v>0</v>
      </c>
      <c r="J407">
        <v>0</v>
      </c>
      <c r="K407">
        <v>1</v>
      </c>
      <c r="L407">
        <v>92612</v>
      </c>
      <c r="M407">
        <v>1</v>
      </c>
      <c r="N407">
        <v>0</v>
      </c>
      <c r="O407">
        <v>0</v>
      </c>
      <c r="Q407">
        <v>0</v>
      </c>
      <c r="R407">
        <v>1</v>
      </c>
      <c r="S407">
        <v>1</v>
      </c>
      <c r="T407">
        <v>10</v>
      </c>
      <c r="U407">
        <v>0</v>
      </c>
      <c r="V407">
        <v>1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  <c r="AC407">
        <v>1</v>
      </c>
    </row>
    <row r="408" spans="1:29" x14ac:dyDescent="0.35">
      <c r="A408">
        <v>1377</v>
      </c>
      <c r="B408">
        <v>1377</v>
      </c>
      <c r="C408">
        <v>63</v>
      </c>
      <c r="D408">
        <v>39</v>
      </c>
      <c r="E408">
        <v>45</v>
      </c>
      <c r="F408">
        <v>4</v>
      </c>
      <c r="G408">
        <v>1.3</v>
      </c>
      <c r="H408">
        <v>2</v>
      </c>
      <c r="I408">
        <v>86</v>
      </c>
      <c r="J408">
        <v>0</v>
      </c>
      <c r="K408">
        <v>0</v>
      </c>
      <c r="L408">
        <v>92870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5</v>
      </c>
      <c r="U408">
        <v>1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</row>
    <row r="409" spans="1:29" x14ac:dyDescent="0.35">
      <c r="A409">
        <v>1378</v>
      </c>
      <c r="B409">
        <v>1378</v>
      </c>
      <c r="C409">
        <v>27</v>
      </c>
      <c r="D409">
        <v>3</v>
      </c>
      <c r="E409">
        <v>109</v>
      </c>
      <c r="F409">
        <v>2</v>
      </c>
      <c r="G409">
        <v>2.5</v>
      </c>
      <c r="H409">
        <v>1</v>
      </c>
      <c r="I409">
        <v>0</v>
      </c>
      <c r="J409">
        <v>1</v>
      </c>
      <c r="K409">
        <v>0</v>
      </c>
      <c r="L409">
        <v>93023</v>
      </c>
      <c r="M409">
        <v>0</v>
      </c>
      <c r="N409">
        <v>0</v>
      </c>
      <c r="O409">
        <v>0</v>
      </c>
      <c r="Q409">
        <v>1</v>
      </c>
      <c r="R409">
        <v>0</v>
      </c>
      <c r="S409">
        <v>0</v>
      </c>
      <c r="T409">
        <v>22</v>
      </c>
      <c r="U409">
        <v>1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</row>
    <row r="410" spans="1:29" x14ac:dyDescent="0.35">
      <c r="A410">
        <v>1380</v>
      </c>
      <c r="B410">
        <v>1380</v>
      </c>
      <c r="C410">
        <v>62</v>
      </c>
      <c r="D410">
        <v>37</v>
      </c>
      <c r="E410">
        <v>162</v>
      </c>
      <c r="F410">
        <v>1</v>
      </c>
      <c r="G410">
        <v>1.3</v>
      </c>
      <c r="H410">
        <v>1</v>
      </c>
      <c r="I410">
        <v>0</v>
      </c>
      <c r="J410">
        <v>1</v>
      </c>
      <c r="K410">
        <v>0</v>
      </c>
      <c r="L410">
        <v>95051</v>
      </c>
      <c r="M410">
        <v>0</v>
      </c>
      <c r="N410">
        <v>0</v>
      </c>
      <c r="O410">
        <v>0</v>
      </c>
      <c r="Q410">
        <v>1</v>
      </c>
      <c r="R410">
        <v>0</v>
      </c>
      <c r="S410">
        <v>0</v>
      </c>
      <c r="T410">
        <v>22</v>
      </c>
      <c r="U410">
        <v>1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</row>
    <row r="411" spans="1:29" x14ac:dyDescent="0.35">
      <c r="A411">
        <v>1390</v>
      </c>
      <c r="B411">
        <v>1390</v>
      </c>
      <c r="C411">
        <v>45</v>
      </c>
      <c r="D411">
        <v>15</v>
      </c>
      <c r="E411">
        <v>20</v>
      </c>
      <c r="F411">
        <v>1</v>
      </c>
      <c r="G411">
        <v>0.75</v>
      </c>
      <c r="H411">
        <v>3</v>
      </c>
      <c r="I411">
        <v>0</v>
      </c>
      <c r="J411">
        <v>1</v>
      </c>
      <c r="K411">
        <v>0</v>
      </c>
      <c r="L411">
        <v>94107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5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</row>
    <row r="412" spans="1:29" x14ac:dyDescent="0.35">
      <c r="A412">
        <v>1396</v>
      </c>
      <c r="B412">
        <v>1396</v>
      </c>
      <c r="C412">
        <v>47</v>
      </c>
      <c r="D412">
        <v>23</v>
      </c>
      <c r="E412">
        <v>190</v>
      </c>
      <c r="F412">
        <v>4</v>
      </c>
      <c r="G412">
        <v>0.3</v>
      </c>
      <c r="H412">
        <v>3</v>
      </c>
      <c r="I412">
        <v>305</v>
      </c>
      <c r="J412">
        <v>0</v>
      </c>
      <c r="K412">
        <v>0</v>
      </c>
      <c r="L412">
        <v>92831</v>
      </c>
      <c r="M412">
        <v>1</v>
      </c>
      <c r="N412">
        <v>0</v>
      </c>
      <c r="O412">
        <v>0</v>
      </c>
      <c r="Q412">
        <v>0</v>
      </c>
      <c r="R412">
        <v>1</v>
      </c>
      <c r="S412">
        <v>1</v>
      </c>
      <c r="T412">
        <v>10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1</v>
      </c>
    </row>
    <row r="413" spans="1:29" x14ac:dyDescent="0.35">
      <c r="A413">
        <v>1399</v>
      </c>
      <c r="B413">
        <v>1399</v>
      </c>
      <c r="C413">
        <v>42</v>
      </c>
      <c r="D413">
        <v>18</v>
      </c>
      <c r="E413">
        <v>141</v>
      </c>
      <c r="F413">
        <v>1</v>
      </c>
      <c r="G413">
        <v>3.5</v>
      </c>
      <c r="H413">
        <v>1</v>
      </c>
      <c r="I413">
        <v>0</v>
      </c>
      <c r="J413">
        <v>0</v>
      </c>
      <c r="K413">
        <v>0</v>
      </c>
      <c r="L413">
        <v>93407</v>
      </c>
      <c r="M413">
        <v>0</v>
      </c>
      <c r="N413">
        <v>0</v>
      </c>
      <c r="O413">
        <v>0</v>
      </c>
      <c r="Q413">
        <v>1</v>
      </c>
      <c r="R413">
        <v>0</v>
      </c>
      <c r="S413">
        <v>0</v>
      </c>
      <c r="T413">
        <v>22</v>
      </c>
      <c r="U413">
        <v>1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</row>
    <row r="414" spans="1:29" x14ac:dyDescent="0.35">
      <c r="A414">
        <v>1403</v>
      </c>
      <c r="B414">
        <v>1403</v>
      </c>
      <c r="C414">
        <v>55</v>
      </c>
      <c r="D414">
        <v>29</v>
      </c>
      <c r="E414">
        <v>172</v>
      </c>
      <c r="F414">
        <v>1</v>
      </c>
      <c r="G414">
        <v>5.2</v>
      </c>
      <c r="H414">
        <v>2</v>
      </c>
      <c r="I414">
        <v>0</v>
      </c>
      <c r="J414">
        <v>0</v>
      </c>
      <c r="K414">
        <v>0</v>
      </c>
      <c r="L414">
        <v>95064</v>
      </c>
      <c r="M414">
        <v>1</v>
      </c>
      <c r="N414">
        <v>0</v>
      </c>
      <c r="O414">
        <v>0</v>
      </c>
      <c r="Q414">
        <v>0</v>
      </c>
      <c r="R414">
        <v>1</v>
      </c>
      <c r="S414">
        <v>1</v>
      </c>
      <c r="T414">
        <v>10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1</v>
      </c>
    </row>
    <row r="415" spans="1:29" x14ac:dyDescent="0.35">
      <c r="A415">
        <v>1405</v>
      </c>
      <c r="B415">
        <v>1405</v>
      </c>
      <c r="C415">
        <v>58</v>
      </c>
      <c r="D415">
        <v>28</v>
      </c>
      <c r="E415">
        <v>75</v>
      </c>
      <c r="F415">
        <v>1</v>
      </c>
      <c r="G415">
        <v>1.4</v>
      </c>
      <c r="H415">
        <v>3</v>
      </c>
      <c r="I415">
        <v>0</v>
      </c>
      <c r="J415">
        <v>1</v>
      </c>
      <c r="K415">
        <v>0</v>
      </c>
      <c r="L415">
        <v>92121</v>
      </c>
      <c r="M415">
        <v>0</v>
      </c>
      <c r="N415">
        <v>0</v>
      </c>
      <c r="O415">
        <v>0</v>
      </c>
      <c r="Q415">
        <v>0</v>
      </c>
      <c r="R415">
        <v>0</v>
      </c>
      <c r="S415">
        <v>0</v>
      </c>
      <c r="T415">
        <v>5</v>
      </c>
      <c r="U415">
        <v>1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</row>
    <row r="416" spans="1:29" x14ac:dyDescent="0.35">
      <c r="A416">
        <v>1410</v>
      </c>
      <c r="B416">
        <v>1410</v>
      </c>
      <c r="C416">
        <v>41</v>
      </c>
      <c r="D416">
        <v>17</v>
      </c>
      <c r="E416">
        <v>63</v>
      </c>
      <c r="F416">
        <v>2</v>
      </c>
      <c r="G416">
        <v>3.2</v>
      </c>
      <c r="H416">
        <v>1</v>
      </c>
      <c r="I416">
        <v>0</v>
      </c>
      <c r="J416">
        <v>0</v>
      </c>
      <c r="K416">
        <v>0</v>
      </c>
      <c r="L416">
        <v>90745</v>
      </c>
      <c r="M416">
        <v>0</v>
      </c>
      <c r="N416">
        <v>0</v>
      </c>
      <c r="O416">
        <v>0</v>
      </c>
      <c r="Q416">
        <v>1</v>
      </c>
      <c r="R416">
        <v>0</v>
      </c>
      <c r="S416">
        <v>0</v>
      </c>
      <c r="T416">
        <v>15</v>
      </c>
      <c r="U416">
        <v>0.91935483870967005</v>
      </c>
      <c r="V416">
        <v>8.0645161290319997E-2</v>
      </c>
      <c r="W416">
        <v>0.91935483870967005</v>
      </c>
      <c r="X416">
        <v>8.0645161290319997E-2</v>
      </c>
      <c r="Y416">
        <v>0.86</v>
      </c>
      <c r="Z416">
        <v>0.14000000000000001</v>
      </c>
      <c r="AA416">
        <v>8.0645161290329906E-2</v>
      </c>
      <c r="AB416">
        <v>-8.0645161290319997E-2</v>
      </c>
      <c r="AC416">
        <v>0</v>
      </c>
    </row>
    <row r="417" spans="1:29" x14ac:dyDescent="0.35">
      <c r="A417">
        <v>1415</v>
      </c>
      <c r="B417">
        <v>1415</v>
      </c>
      <c r="C417">
        <v>59</v>
      </c>
      <c r="D417">
        <v>33</v>
      </c>
      <c r="E417">
        <v>68</v>
      </c>
      <c r="F417">
        <v>2</v>
      </c>
      <c r="G417">
        <v>2.2999999999999998</v>
      </c>
      <c r="H417">
        <v>3</v>
      </c>
      <c r="I417">
        <v>128</v>
      </c>
      <c r="J417">
        <v>1</v>
      </c>
      <c r="K417">
        <v>0</v>
      </c>
      <c r="L417">
        <v>94105</v>
      </c>
      <c r="M417">
        <v>0</v>
      </c>
      <c r="N417">
        <v>1</v>
      </c>
      <c r="O417">
        <v>0</v>
      </c>
      <c r="Q417">
        <v>0</v>
      </c>
      <c r="R417">
        <v>0</v>
      </c>
      <c r="S417">
        <v>0</v>
      </c>
      <c r="T417">
        <v>5</v>
      </c>
      <c r="U417">
        <v>1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</row>
    <row r="418" spans="1:29" x14ac:dyDescent="0.35">
      <c r="A418">
        <v>1416</v>
      </c>
      <c r="B418">
        <v>1416</v>
      </c>
      <c r="C418">
        <v>33</v>
      </c>
      <c r="D418">
        <v>8</v>
      </c>
      <c r="E418">
        <v>48</v>
      </c>
      <c r="F418">
        <v>1</v>
      </c>
      <c r="G418">
        <v>1</v>
      </c>
      <c r="H418">
        <v>1</v>
      </c>
      <c r="I418">
        <v>212</v>
      </c>
      <c r="J418">
        <v>1</v>
      </c>
      <c r="K418">
        <v>0</v>
      </c>
      <c r="L418">
        <v>94019</v>
      </c>
      <c r="M418">
        <v>0</v>
      </c>
      <c r="N418">
        <v>0</v>
      </c>
      <c r="O418">
        <v>0</v>
      </c>
      <c r="Q418">
        <v>1</v>
      </c>
      <c r="R418">
        <v>0</v>
      </c>
      <c r="S418">
        <v>0</v>
      </c>
      <c r="T418">
        <v>5</v>
      </c>
      <c r="U418">
        <v>1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</row>
    <row r="419" spans="1:29" x14ac:dyDescent="0.35">
      <c r="A419">
        <v>1420</v>
      </c>
      <c r="B419">
        <v>1420</v>
      </c>
      <c r="C419">
        <v>30</v>
      </c>
      <c r="D419">
        <v>4</v>
      </c>
      <c r="E419">
        <v>39</v>
      </c>
      <c r="F419">
        <v>1</v>
      </c>
      <c r="G419">
        <v>1.5</v>
      </c>
      <c r="H419">
        <v>1</v>
      </c>
      <c r="I419">
        <v>0</v>
      </c>
      <c r="J419">
        <v>0</v>
      </c>
      <c r="K419">
        <v>1</v>
      </c>
      <c r="L419">
        <v>91105</v>
      </c>
      <c r="M419">
        <v>0</v>
      </c>
      <c r="N419">
        <v>0</v>
      </c>
      <c r="O419">
        <v>0</v>
      </c>
      <c r="Q419">
        <v>1</v>
      </c>
      <c r="R419">
        <v>0</v>
      </c>
      <c r="S419">
        <v>0</v>
      </c>
      <c r="T419">
        <v>5</v>
      </c>
      <c r="U419">
        <v>1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</row>
    <row r="420" spans="1:29" x14ac:dyDescent="0.35">
      <c r="A420">
        <v>1426</v>
      </c>
      <c r="B420">
        <v>1426</v>
      </c>
      <c r="C420">
        <v>64</v>
      </c>
      <c r="D420">
        <v>38</v>
      </c>
      <c r="E420">
        <v>40</v>
      </c>
      <c r="F420">
        <v>1</v>
      </c>
      <c r="G420">
        <v>2.5</v>
      </c>
      <c r="H420">
        <v>3</v>
      </c>
      <c r="I420">
        <v>94</v>
      </c>
      <c r="J420">
        <v>1</v>
      </c>
      <c r="K420">
        <v>1</v>
      </c>
      <c r="L420">
        <v>91330</v>
      </c>
      <c r="M420">
        <v>0</v>
      </c>
      <c r="N420">
        <v>0</v>
      </c>
      <c r="O420">
        <v>0</v>
      </c>
      <c r="Q420">
        <v>0</v>
      </c>
      <c r="R420">
        <v>0</v>
      </c>
      <c r="S420">
        <v>0</v>
      </c>
      <c r="T420">
        <v>5</v>
      </c>
      <c r="U420">
        <v>1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</row>
    <row r="421" spans="1:29" x14ac:dyDescent="0.35">
      <c r="A421">
        <v>1428</v>
      </c>
      <c r="B421">
        <v>1428</v>
      </c>
      <c r="C421">
        <v>31</v>
      </c>
      <c r="D421">
        <v>5</v>
      </c>
      <c r="E421">
        <v>85</v>
      </c>
      <c r="F421">
        <v>2</v>
      </c>
      <c r="G421">
        <v>1.3</v>
      </c>
      <c r="H421">
        <v>1</v>
      </c>
      <c r="I421">
        <v>119</v>
      </c>
      <c r="J421">
        <v>1</v>
      </c>
      <c r="K421">
        <v>1</v>
      </c>
      <c r="L421">
        <v>95828</v>
      </c>
      <c r="M421">
        <v>0</v>
      </c>
      <c r="N421">
        <v>0</v>
      </c>
      <c r="O421">
        <v>0</v>
      </c>
      <c r="Q421">
        <v>1</v>
      </c>
      <c r="R421">
        <v>0</v>
      </c>
      <c r="S421">
        <v>0</v>
      </c>
      <c r="T421">
        <v>5</v>
      </c>
      <c r="U421">
        <v>1</v>
      </c>
      <c r="V421">
        <v>0</v>
      </c>
      <c r="W421">
        <v>1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</row>
    <row r="422" spans="1:29" x14ac:dyDescent="0.35">
      <c r="A422">
        <v>1430</v>
      </c>
      <c r="B422">
        <v>1430</v>
      </c>
      <c r="C422">
        <v>31</v>
      </c>
      <c r="D422">
        <v>5</v>
      </c>
      <c r="E422">
        <v>35</v>
      </c>
      <c r="F422">
        <v>1</v>
      </c>
      <c r="G422">
        <v>0.6</v>
      </c>
      <c r="H422">
        <v>3</v>
      </c>
      <c r="I422">
        <v>171</v>
      </c>
      <c r="J422">
        <v>0</v>
      </c>
      <c r="K422">
        <v>0</v>
      </c>
      <c r="L422">
        <v>95064</v>
      </c>
      <c r="M422">
        <v>0</v>
      </c>
      <c r="N422">
        <v>0</v>
      </c>
      <c r="O422">
        <v>0</v>
      </c>
      <c r="Q422">
        <v>0</v>
      </c>
      <c r="R422">
        <v>0</v>
      </c>
      <c r="S422">
        <v>0</v>
      </c>
      <c r="T422">
        <v>5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</row>
    <row r="423" spans="1:29" x14ac:dyDescent="0.35">
      <c r="A423">
        <v>1431</v>
      </c>
      <c r="B423">
        <v>1431</v>
      </c>
      <c r="C423">
        <v>32</v>
      </c>
      <c r="D423">
        <v>7</v>
      </c>
      <c r="E423">
        <v>52</v>
      </c>
      <c r="F423">
        <v>2</v>
      </c>
      <c r="G423">
        <v>0.1</v>
      </c>
      <c r="H423">
        <v>1</v>
      </c>
      <c r="I423">
        <v>0</v>
      </c>
      <c r="J423">
        <v>1</v>
      </c>
      <c r="K423">
        <v>0</v>
      </c>
      <c r="L423">
        <v>92660</v>
      </c>
      <c r="M423">
        <v>0</v>
      </c>
      <c r="N423">
        <v>0</v>
      </c>
      <c r="O423">
        <v>0</v>
      </c>
      <c r="Q423">
        <v>1</v>
      </c>
      <c r="R423">
        <v>0</v>
      </c>
      <c r="S423">
        <v>0</v>
      </c>
      <c r="T423">
        <v>5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</row>
    <row r="424" spans="1:29" x14ac:dyDescent="0.35">
      <c r="A424">
        <v>1440</v>
      </c>
      <c r="B424">
        <v>1440</v>
      </c>
      <c r="C424">
        <v>59</v>
      </c>
      <c r="D424">
        <v>29</v>
      </c>
      <c r="E424">
        <v>61</v>
      </c>
      <c r="F424">
        <v>1</v>
      </c>
      <c r="G424">
        <v>1.4</v>
      </c>
      <c r="H424">
        <v>3</v>
      </c>
      <c r="I424">
        <v>0</v>
      </c>
      <c r="J424">
        <v>0</v>
      </c>
      <c r="K424">
        <v>0</v>
      </c>
      <c r="L424">
        <v>94025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5</v>
      </c>
      <c r="U424">
        <v>1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</row>
    <row r="425" spans="1:29" x14ac:dyDescent="0.35">
      <c r="A425">
        <v>1445</v>
      </c>
      <c r="B425">
        <v>1445</v>
      </c>
      <c r="C425">
        <v>60</v>
      </c>
      <c r="D425">
        <v>33</v>
      </c>
      <c r="E425">
        <v>154</v>
      </c>
      <c r="F425">
        <v>1</v>
      </c>
      <c r="G425">
        <v>3</v>
      </c>
      <c r="H425">
        <v>2</v>
      </c>
      <c r="I425">
        <v>0</v>
      </c>
      <c r="J425">
        <v>1</v>
      </c>
      <c r="K425">
        <v>0</v>
      </c>
      <c r="L425">
        <v>90740</v>
      </c>
      <c r="M425">
        <v>1</v>
      </c>
      <c r="N425">
        <v>1</v>
      </c>
      <c r="O425">
        <v>1</v>
      </c>
      <c r="Q425">
        <v>0</v>
      </c>
      <c r="R425">
        <v>1</v>
      </c>
      <c r="S425">
        <v>1</v>
      </c>
      <c r="T425">
        <v>10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1</v>
      </c>
    </row>
    <row r="426" spans="1:29" x14ac:dyDescent="0.35">
      <c r="A426">
        <v>1446</v>
      </c>
      <c r="B426">
        <v>1446</v>
      </c>
      <c r="C426">
        <v>47</v>
      </c>
      <c r="D426">
        <v>21</v>
      </c>
      <c r="E426">
        <v>141</v>
      </c>
      <c r="F426">
        <v>1</v>
      </c>
      <c r="G426">
        <v>2.4</v>
      </c>
      <c r="H426">
        <v>1</v>
      </c>
      <c r="I426">
        <v>0</v>
      </c>
      <c r="J426">
        <v>0</v>
      </c>
      <c r="K426">
        <v>0</v>
      </c>
      <c r="L426">
        <v>90095</v>
      </c>
      <c r="M426">
        <v>0</v>
      </c>
      <c r="N426">
        <v>0</v>
      </c>
      <c r="O426">
        <v>0</v>
      </c>
      <c r="Q426">
        <v>1</v>
      </c>
      <c r="R426">
        <v>0</v>
      </c>
      <c r="S426">
        <v>0</v>
      </c>
      <c r="T426">
        <v>22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</row>
    <row r="427" spans="1:29" x14ac:dyDescent="0.35">
      <c r="A427">
        <v>1452</v>
      </c>
      <c r="B427">
        <v>1452</v>
      </c>
      <c r="C427">
        <v>44</v>
      </c>
      <c r="D427">
        <v>20</v>
      </c>
      <c r="E427">
        <v>82</v>
      </c>
      <c r="F427">
        <v>4</v>
      </c>
      <c r="G427">
        <v>1.4</v>
      </c>
      <c r="H427">
        <v>2</v>
      </c>
      <c r="I427">
        <v>201</v>
      </c>
      <c r="J427">
        <v>1</v>
      </c>
      <c r="K427">
        <v>1</v>
      </c>
      <c r="L427">
        <v>94555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5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</row>
    <row r="428" spans="1:29" x14ac:dyDescent="0.35">
      <c r="A428">
        <v>1458</v>
      </c>
      <c r="B428">
        <v>1458</v>
      </c>
      <c r="C428">
        <v>42</v>
      </c>
      <c r="D428">
        <v>16</v>
      </c>
      <c r="E428">
        <v>25</v>
      </c>
      <c r="F428">
        <v>2</v>
      </c>
      <c r="G428">
        <v>0.8</v>
      </c>
      <c r="H428">
        <v>3</v>
      </c>
      <c r="I428">
        <v>0</v>
      </c>
      <c r="J428">
        <v>0</v>
      </c>
      <c r="K428">
        <v>1</v>
      </c>
      <c r="L428">
        <v>94304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5</v>
      </c>
      <c r="U428">
        <v>1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</row>
    <row r="429" spans="1:29" x14ac:dyDescent="0.35">
      <c r="A429">
        <v>1460</v>
      </c>
      <c r="B429">
        <v>1460</v>
      </c>
      <c r="C429">
        <v>47</v>
      </c>
      <c r="D429">
        <v>20</v>
      </c>
      <c r="E429">
        <v>38</v>
      </c>
      <c r="F429">
        <v>3</v>
      </c>
      <c r="G429">
        <v>2.5</v>
      </c>
      <c r="H429">
        <v>2</v>
      </c>
      <c r="I429">
        <v>0</v>
      </c>
      <c r="J429">
        <v>0</v>
      </c>
      <c r="K429">
        <v>0</v>
      </c>
      <c r="L429">
        <v>92115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5</v>
      </c>
      <c r="U429">
        <v>1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</row>
    <row r="430" spans="1:29" x14ac:dyDescent="0.35">
      <c r="A430">
        <v>1461</v>
      </c>
      <c r="B430">
        <v>1461</v>
      </c>
      <c r="C430">
        <v>40</v>
      </c>
      <c r="D430">
        <v>16</v>
      </c>
      <c r="E430">
        <v>85</v>
      </c>
      <c r="F430">
        <v>4</v>
      </c>
      <c r="G430">
        <v>0.2</v>
      </c>
      <c r="H430">
        <v>3</v>
      </c>
      <c r="I430">
        <v>0</v>
      </c>
      <c r="J430">
        <v>1</v>
      </c>
      <c r="K430">
        <v>1</v>
      </c>
      <c r="L430">
        <v>92677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5</v>
      </c>
      <c r="U430">
        <v>1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</row>
    <row r="431" spans="1:29" x14ac:dyDescent="0.35">
      <c r="A431">
        <v>1463</v>
      </c>
      <c r="B431">
        <v>1463</v>
      </c>
      <c r="C431">
        <v>47</v>
      </c>
      <c r="D431">
        <v>21</v>
      </c>
      <c r="E431">
        <v>15</v>
      </c>
      <c r="F431">
        <v>4</v>
      </c>
      <c r="G431">
        <v>0.6</v>
      </c>
      <c r="H431">
        <v>3</v>
      </c>
      <c r="I431">
        <v>77</v>
      </c>
      <c r="J431">
        <v>1</v>
      </c>
      <c r="K431">
        <v>0</v>
      </c>
      <c r="L431">
        <v>95207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5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</row>
    <row r="432" spans="1:29" x14ac:dyDescent="0.35">
      <c r="A432">
        <v>1480</v>
      </c>
      <c r="B432">
        <v>1480</v>
      </c>
      <c r="C432">
        <v>28</v>
      </c>
      <c r="D432">
        <v>4</v>
      </c>
      <c r="E432">
        <v>43</v>
      </c>
      <c r="F432">
        <v>1</v>
      </c>
      <c r="G432">
        <v>1</v>
      </c>
      <c r="H432">
        <v>3</v>
      </c>
      <c r="I432">
        <v>102</v>
      </c>
      <c r="J432">
        <v>0</v>
      </c>
      <c r="K432">
        <v>0</v>
      </c>
      <c r="L432">
        <v>91304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5</v>
      </c>
      <c r="U432">
        <v>1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</row>
    <row r="433" spans="1:29" x14ac:dyDescent="0.35">
      <c r="A433">
        <v>1481</v>
      </c>
      <c r="B433">
        <v>1481</v>
      </c>
      <c r="C433">
        <v>67</v>
      </c>
      <c r="D433">
        <v>42</v>
      </c>
      <c r="E433">
        <v>32</v>
      </c>
      <c r="F433">
        <v>1</v>
      </c>
      <c r="G433">
        <v>1.1000000000000001</v>
      </c>
      <c r="H433">
        <v>3</v>
      </c>
      <c r="I433">
        <v>0</v>
      </c>
      <c r="J433">
        <v>0</v>
      </c>
      <c r="K433">
        <v>1</v>
      </c>
      <c r="L433">
        <v>93943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5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</row>
    <row r="434" spans="1:29" x14ac:dyDescent="0.35">
      <c r="A434">
        <v>1483</v>
      </c>
      <c r="B434">
        <v>1483</v>
      </c>
      <c r="C434">
        <v>60</v>
      </c>
      <c r="D434">
        <v>35</v>
      </c>
      <c r="E434">
        <v>8</v>
      </c>
      <c r="F434">
        <v>1</v>
      </c>
      <c r="G434">
        <v>0.1</v>
      </c>
      <c r="H434">
        <v>1</v>
      </c>
      <c r="I434">
        <v>0</v>
      </c>
      <c r="J434">
        <v>1</v>
      </c>
      <c r="K434">
        <v>0</v>
      </c>
      <c r="L434">
        <v>94143</v>
      </c>
      <c r="M434">
        <v>0</v>
      </c>
      <c r="N434">
        <v>0</v>
      </c>
      <c r="O434">
        <v>0</v>
      </c>
      <c r="Q434">
        <v>1</v>
      </c>
      <c r="R434">
        <v>0</v>
      </c>
      <c r="S434">
        <v>0</v>
      </c>
      <c r="T434">
        <v>5</v>
      </c>
      <c r="U434">
        <v>1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</row>
    <row r="435" spans="1:29" x14ac:dyDescent="0.35">
      <c r="A435">
        <v>1485</v>
      </c>
      <c r="B435">
        <v>1485</v>
      </c>
      <c r="C435">
        <v>55</v>
      </c>
      <c r="D435">
        <v>30</v>
      </c>
      <c r="E435">
        <v>40</v>
      </c>
      <c r="F435">
        <v>2</v>
      </c>
      <c r="G435">
        <v>2.2999999999999998</v>
      </c>
      <c r="H435">
        <v>3</v>
      </c>
      <c r="I435">
        <v>0</v>
      </c>
      <c r="J435">
        <v>1</v>
      </c>
      <c r="K435">
        <v>0</v>
      </c>
      <c r="L435">
        <v>94126</v>
      </c>
      <c r="M435">
        <v>0</v>
      </c>
      <c r="N435">
        <v>1</v>
      </c>
      <c r="O435">
        <v>0</v>
      </c>
      <c r="Q435">
        <v>0</v>
      </c>
      <c r="R435">
        <v>0</v>
      </c>
      <c r="S435">
        <v>0</v>
      </c>
      <c r="T435">
        <v>5</v>
      </c>
      <c r="U435">
        <v>1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</row>
    <row r="436" spans="1:29" x14ac:dyDescent="0.35">
      <c r="A436">
        <v>1486</v>
      </c>
      <c r="B436">
        <v>1486</v>
      </c>
      <c r="C436">
        <v>34</v>
      </c>
      <c r="D436">
        <v>9</v>
      </c>
      <c r="E436">
        <v>99</v>
      </c>
      <c r="F436">
        <v>4</v>
      </c>
      <c r="G436">
        <v>2.2000000000000002</v>
      </c>
      <c r="H436">
        <v>2</v>
      </c>
      <c r="I436">
        <v>155</v>
      </c>
      <c r="J436">
        <v>1</v>
      </c>
      <c r="K436">
        <v>0</v>
      </c>
      <c r="L436">
        <v>90245</v>
      </c>
      <c r="M436">
        <v>0</v>
      </c>
      <c r="N436">
        <v>0</v>
      </c>
      <c r="O436">
        <v>0</v>
      </c>
      <c r="Q436">
        <v>0</v>
      </c>
      <c r="R436">
        <v>0</v>
      </c>
      <c r="S436">
        <v>0</v>
      </c>
      <c r="T436">
        <v>13</v>
      </c>
      <c r="U436">
        <v>0.88607594936708001</v>
      </c>
      <c r="V436">
        <v>0.11392405063291</v>
      </c>
      <c r="W436">
        <v>0.88607594936708001</v>
      </c>
      <c r="X436">
        <v>0.11392405063291</v>
      </c>
      <c r="Y436">
        <v>0.86842105263156999</v>
      </c>
      <c r="Z436">
        <v>0.13157894736841999</v>
      </c>
      <c r="AA436">
        <v>0.11392405063291999</v>
      </c>
      <c r="AB436">
        <v>-0.11392405063291</v>
      </c>
      <c r="AC436">
        <v>0</v>
      </c>
    </row>
    <row r="437" spans="1:29" x14ac:dyDescent="0.35">
      <c r="A437">
        <v>1487</v>
      </c>
      <c r="B437">
        <v>1487</v>
      </c>
      <c r="C437">
        <v>35</v>
      </c>
      <c r="D437">
        <v>9</v>
      </c>
      <c r="E437">
        <v>141</v>
      </c>
      <c r="F437">
        <v>2</v>
      </c>
      <c r="G437">
        <v>4.5</v>
      </c>
      <c r="H437">
        <v>2</v>
      </c>
      <c r="I437">
        <v>0</v>
      </c>
      <c r="J437">
        <v>0</v>
      </c>
      <c r="K437">
        <v>0</v>
      </c>
      <c r="L437">
        <v>93022</v>
      </c>
      <c r="M437">
        <v>1</v>
      </c>
      <c r="N437">
        <v>0</v>
      </c>
      <c r="O437">
        <v>0</v>
      </c>
      <c r="Q437">
        <v>0</v>
      </c>
      <c r="R437">
        <v>1</v>
      </c>
      <c r="S437">
        <v>1</v>
      </c>
      <c r="T437">
        <v>10</v>
      </c>
      <c r="U437">
        <v>0</v>
      </c>
      <c r="V437">
        <v>1</v>
      </c>
      <c r="W437">
        <v>0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1</v>
      </c>
    </row>
    <row r="438" spans="1:29" x14ac:dyDescent="0.35">
      <c r="A438">
        <v>1488</v>
      </c>
      <c r="B438">
        <v>1488</v>
      </c>
      <c r="C438">
        <v>28</v>
      </c>
      <c r="D438">
        <v>4</v>
      </c>
      <c r="E438">
        <v>159</v>
      </c>
      <c r="F438">
        <v>1</v>
      </c>
      <c r="G438">
        <v>1.5</v>
      </c>
      <c r="H438">
        <v>1</v>
      </c>
      <c r="I438">
        <v>0</v>
      </c>
      <c r="J438">
        <v>1</v>
      </c>
      <c r="K438">
        <v>1</v>
      </c>
      <c r="L438">
        <v>93907</v>
      </c>
      <c r="M438">
        <v>0</v>
      </c>
      <c r="N438">
        <v>0</v>
      </c>
      <c r="O438">
        <v>0</v>
      </c>
      <c r="Q438">
        <v>1</v>
      </c>
      <c r="R438">
        <v>0</v>
      </c>
      <c r="S438">
        <v>0</v>
      </c>
      <c r="T438">
        <v>22</v>
      </c>
      <c r="U438">
        <v>1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</row>
    <row r="439" spans="1:29" x14ac:dyDescent="0.35">
      <c r="A439">
        <v>1491</v>
      </c>
      <c r="B439">
        <v>1491</v>
      </c>
      <c r="C439">
        <v>30</v>
      </c>
      <c r="D439">
        <v>4</v>
      </c>
      <c r="E439">
        <v>18</v>
      </c>
      <c r="F439">
        <v>4</v>
      </c>
      <c r="G439">
        <v>0.3</v>
      </c>
      <c r="H439">
        <v>2</v>
      </c>
      <c r="I439">
        <v>0</v>
      </c>
      <c r="J439">
        <v>1</v>
      </c>
      <c r="K439">
        <v>1</v>
      </c>
      <c r="L439">
        <v>95020</v>
      </c>
      <c r="M439">
        <v>0</v>
      </c>
      <c r="N439">
        <v>0</v>
      </c>
      <c r="O439">
        <v>0</v>
      </c>
      <c r="Q439">
        <v>0</v>
      </c>
      <c r="R439">
        <v>0</v>
      </c>
      <c r="S439">
        <v>0</v>
      </c>
      <c r="T439">
        <v>5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</row>
    <row r="440" spans="1:29" x14ac:dyDescent="0.35">
      <c r="A440">
        <v>1503</v>
      </c>
      <c r="B440">
        <v>1503</v>
      </c>
      <c r="C440">
        <v>65</v>
      </c>
      <c r="D440">
        <v>39</v>
      </c>
      <c r="E440">
        <v>113</v>
      </c>
      <c r="F440">
        <v>1</v>
      </c>
      <c r="G440">
        <v>2</v>
      </c>
      <c r="H440">
        <v>1</v>
      </c>
      <c r="I440">
        <v>0</v>
      </c>
      <c r="J440">
        <v>1</v>
      </c>
      <c r="K440">
        <v>1</v>
      </c>
      <c r="L440">
        <v>90036</v>
      </c>
      <c r="M440">
        <v>0</v>
      </c>
      <c r="N440">
        <v>0</v>
      </c>
      <c r="O440">
        <v>0</v>
      </c>
      <c r="Q440">
        <v>1</v>
      </c>
      <c r="R440">
        <v>0</v>
      </c>
      <c r="S440">
        <v>0</v>
      </c>
      <c r="T440">
        <v>22</v>
      </c>
      <c r="U440">
        <v>1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</row>
    <row r="441" spans="1:29" x14ac:dyDescent="0.35">
      <c r="A441">
        <v>1506</v>
      </c>
      <c r="B441">
        <v>1506</v>
      </c>
      <c r="C441">
        <v>51</v>
      </c>
      <c r="D441">
        <v>25</v>
      </c>
      <c r="E441">
        <v>18</v>
      </c>
      <c r="F441">
        <v>1</v>
      </c>
      <c r="G441">
        <v>0.3</v>
      </c>
      <c r="H441">
        <v>3</v>
      </c>
      <c r="I441">
        <v>93</v>
      </c>
      <c r="J441">
        <v>0</v>
      </c>
      <c r="K441">
        <v>1</v>
      </c>
      <c r="L441">
        <v>92109</v>
      </c>
      <c r="M441">
        <v>0</v>
      </c>
      <c r="N441">
        <v>0</v>
      </c>
      <c r="O441">
        <v>0</v>
      </c>
      <c r="Q441">
        <v>0</v>
      </c>
      <c r="R441">
        <v>0</v>
      </c>
      <c r="S441">
        <v>0</v>
      </c>
      <c r="T441">
        <v>5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</row>
    <row r="442" spans="1:29" x14ac:dyDescent="0.35">
      <c r="A442">
        <v>1509</v>
      </c>
      <c r="B442">
        <v>1509</v>
      </c>
      <c r="C442">
        <v>35</v>
      </c>
      <c r="D442">
        <v>10</v>
      </c>
      <c r="E442">
        <v>75</v>
      </c>
      <c r="F442">
        <v>4</v>
      </c>
      <c r="G442">
        <v>0.7</v>
      </c>
      <c r="H442">
        <v>3</v>
      </c>
      <c r="I442">
        <v>0</v>
      </c>
      <c r="J442">
        <v>1</v>
      </c>
      <c r="K442">
        <v>1</v>
      </c>
      <c r="L442">
        <v>93940</v>
      </c>
      <c r="M442">
        <v>0</v>
      </c>
      <c r="N442">
        <v>0</v>
      </c>
      <c r="O442">
        <v>0</v>
      </c>
      <c r="Q442">
        <v>0</v>
      </c>
      <c r="R442">
        <v>0</v>
      </c>
      <c r="S442">
        <v>0</v>
      </c>
      <c r="T442">
        <v>5</v>
      </c>
      <c r="U442">
        <v>1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</row>
    <row r="443" spans="1:29" x14ac:dyDescent="0.35">
      <c r="A443">
        <v>1511</v>
      </c>
      <c r="B443">
        <v>1511</v>
      </c>
      <c r="C443">
        <v>57</v>
      </c>
      <c r="D443">
        <v>32</v>
      </c>
      <c r="E443">
        <v>33</v>
      </c>
      <c r="F443">
        <v>2</v>
      </c>
      <c r="G443">
        <v>2</v>
      </c>
      <c r="H443">
        <v>2</v>
      </c>
      <c r="I443">
        <v>0</v>
      </c>
      <c r="J443">
        <v>1</v>
      </c>
      <c r="K443">
        <v>0</v>
      </c>
      <c r="L443">
        <v>95747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5</v>
      </c>
      <c r="U443">
        <v>1</v>
      </c>
      <c r="V443">
        <v>0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</row>
    <row r="444" spans="1:29" x14ac:dyDescent="0.35">
      <c r="A444">
        <v>1512</v>
      </c>
      <c r="B444">
        <v>1512</v>
      </c>
      <c r="C444">
        <v>58</v>
      </c>
      <c r="D444">
        <v>32</v>
      </c>
      <c r="E444">
        <v>65</v>
      </c>
      <c r="F444">
        <v>3</v>
      </c>
      <c r="G444">
        <v>2.2000000000000002</v>
      </c>
      <c r="H444">
        <v>3</v>
      </c>
      <c r="I444">
        <v>0</v>
      </c>
      <c r="J444">
        <v>0</v>
      </c>
      <c r="K444">
        <v>0</v>
      </c>
      <c r="L444">
        <v>90266</v>
      </c>
      <c r="M444">
        <v>0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5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</row>
    <row r="445" spans="1:29" x14ac:dyDescent="0.35">
      <c r="A445">
        <v>1519</v>
      </c>
      <c r="B445">
        <v>1519</v>
      </c>
      <c r="C445">
        <v>43</v>
      </c>
      <c r="D445">
        <v>17</v>
      </c>
      <c r="E445">
        <v>64</v>
      </c>
      <c r="F445">
        <v>4</v>
      </c>
      <c r="G445">
        <v>3</v>
      </c>
      <c r="H445">
        <v>3</v>
      </c>
      <c r="I445">
        <v>221</v>
      </c>
      <c r="J445">
        <v>1</v>
      </c>
      <c r="K445">
        <v>0</v>
      </c>
      <c r="L445">
        <v>95053</v>
      </c>
      <c r="M445">
        <v>1</v>
      </c>
      <c r="N445">
        <v>0</v>
      </c>
      <c r="O445">
        <v>0</v>
      </c>
      <c r="Q445">
        <v>0</v>
      </c>
      <c r="R445">
        <v>1</v>
      </c>
      <c r="S445">
        <v>0</v>
      </c>
      <c r="T445">
        <v>15</v>
      </c>
      <c r="U445">
        <v>0.91935483870967005</v>
      </c>
      <c r="V445">
        <v>8.0645161290319997E-2</v>
      </c>
      <c r="W445">
        <v>0.91935483870967005</v>
      </c>
      <c r="X445">
        <v>8.0645161290319997E-2</v>
      </c>
      <c r="Y445">
        <v>0.86</v>
      </c>
      <c r="Z445">
        <v>0.14000000000000001</v>
      </c>
      <c r="AA445">
        <v>-0.91935483870967005</v>
      </c>
      <c r="AB445">
        <v>0.91935483870968004</v>
      </c>
      <c r="AC445">
        <v>0</v>
      </c>
    </row>
    <row r="446" spans="1:29" x14ac:dyDescent="0.35">
      <c r="A446">
        <v>1520</v>
      </c>
      <c r="B446">
        <v>1520</v>
      </c>
      <c r="C446">
        <v>63</v>
      </c>
      <c r="D446">
        <v>38</v>
      </c>
      <c r="E446">
        <v>22</v>
      </c>
      <c r="F446">
        <v>3</v>
      </c>
      <c r="G446">
        <v>0.1</v>
      </c>
      <c r="H446">
        <v>3</v>
      </c>
      <c r="I446">
        <v>90</v>
      </c>
      <c r="J446">
        <v>1</v>
      </c>
      <c r="K446">
        <v>0</v>
      </c>
      <c r="L446">
        <v>92115</v>
      </c>
      <c r="M446">
        <v>0</v>
      </c>
      <c r="N446">
        <v>0</v>
      </c>
      <c r="O446">
        <v>0</v>
      </c>
      <c r="Q446">
        <v>0</v>
      </c>
      <c r="R446">
        <v>0</v>
      </c>
      <c r="S446">
        <v>0</v>
      </c>
      <c r="T446">
        <v>5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</row>
    <row r="447" spans="1:29" x14ac:dyDescent="0.35">
      <c r="A447">
        <v>1521</v>
      </c>
      <c r="B447">
        <v>1521</v>
      </c>
      <c r="C447">
        <v>54</v>
      </c>
      <c r="D447">
        <v>30</v>
      </c>
      <c r="E447">
        <v>120</v>
      </c>
      <c r="F447">
        <v>1</v>
      </c>
      <c r="G447">
        <v>7.4</v>
      </c>
      <c r="H447">
        <v>1</v>
      </c>
      <c r="I447">
        <v>119</v>
      </c>
      <c r="J447">
        <v>1</v>
      </c>
      <c r="K447">
        <v>1</v>
      </c>
      <c r="L447">
        <v>95039</v>
      </c>
      <c r="M447">
        <v>0</v>
      </c>
      <c r="N447">
        <v>0</v>
      </c>
      <c r="O447">
        <v>0</v>
      </c>
      <c r="Q447">
        <v>1</v>
      </c>
      <c r="R447">
        <v>0</v>
      </c>
      <c r="S447">
        <v>0</v>
      </c>
      <c r="T447">
        <v>22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</row>
    <row r="448" spans="1:29" x14ac:dyDescent="0.35">
      <c r="A448">
        <v>1522</v>
      </c>
      <c r="B448">
        <v>1522</v>
      </c>
      <c r="C448">
        <v>33</v>
      </c>
      <c r="D448">
        <v>8</v>
      </c>
      <c r="E448">
        <v>175</v>
      </c>
      <c r="F448">
        <v>2</v>
      </c>
      <c r="G448">
        <v>6.7</v>
      </c>
      <c r="H448">
        <v>1</v>
      </c>
      <c r="I448">
        <v>102</v>
      </c>
      <c r="J448">
        <v>1</v>
      </c>
      <c r="K448">
        <v>0</v>
      </c>
      <c r="L448">
        <v>92354</v>
      </c>
      <c r="M448">
        <v>0</v>
      </c>
      <c r="N448">
        <v>0</v>
      </c>
      <c r="O448">
        <v>0</v>
      </c>
      <c r="Q448">
        <v>1</v>
      </c>
      <c r="R448">
        <v>0</v>
      </c>
      <c r="S448">
        <v>0</v>
      </c>
      <c r="T448">
        <v>22</v>
      </c>
      <c r="U448">
        <v>1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</row>
    <row r="449" spans="1:29" x14ac:dyDescent="0.35">
      <c r="A449">
        <v>1534</v>
      </c>
      <c r="B449">
        <v>1534</v>
      </c>
      <c r="C449">
        <v>62</v>
      </c>
      <c r="D449">
        <v>37</v>
      </c>
      <c r="E449">
        <v>155</v>
      </c>
      <c r="F449">
        <v>1</v>
      </c>
      <c r="G449">
        <v>1.3</v>
      </c>
      <c r="H449">
        <v>1</v>
      </c>
      <c r="I449">
        <v>0</v>
      </c>
      <c r="J449">
        <v>0</v>
      </c>
      <c r="K449">
        <v>0</v>
      </c>
      <c r="L449">
        <v>93943</v>
      </c>
      <c r="M449">
        <v>0</v>
      </c>
      <c r="N449">
        <v>0</v>
      </c>
      <c r="O449">
        <v>0</v>
      </c>
      <c r="Q449">
        <v>1</v>
      </c>
      <c r="R449">
        <v>0</v>
      </c>
      <c r="S449">
        <v>0</v>
      </c>
      <c r="T449">
        <v>22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</row>
    <row r="450" spans="1:29" x14ac:dyDescent="0.35">
      <c r="A450">
        <v>1536</v>
      </c>
      <c r="B450">
        <v>1536</v>
      </c>
      <c r="C450">
        <v>61</v>
      </c>
      <c r="D450">
        <v>37</v>
      </c>
      <c r="E450">
        <v>39</v>
      </c>
      <c r="F450">
        <v>4</v>
      </c>
      <c r="G450">
        <v>0.4</v>
      </c>
      <c r="H450">
        <v>1</v>
      </c>
      <c r="I450">
        <v>0</v>
      </c>
      <c r="J450">
        <v>1</v>
      </c>
      <c r="K450">
        <v>1</v>
      </c>
      <c r="L450">
        <v>92096</v>
      </c>
      <c r="M450">
        <v>0</v>
      </c>
      <c r="N450">
        <v>0</v>
      </c>
      <c r="O450">
        <v>0</v>
      </c>
      <c r="Q450">
        <v>1</v>
      </c>
      <c r="R450">
        <v>0</v>
      </c>
      <c r="S450">
        <v>0</v>
      </c>
      <c r="T450">
        <v>5</v>
      </c>
      <c r="U450">
        <v>1</v>
      </c>
      <c r="V450">
        <v>0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</row>
    <row r="451" spans="1:29" x14ac:dyDescent="0.35">
      <c r="A451">
        <v>1537</v>
      </c>
      <c r="B451">
        <v>1537</v>
      </c>
      <c r="C451">
        <v>36</v>
      </c>
      <c r="D451">
        <v>12</v>
      </c>
      <c r="E451">
        <v>73</v>
      </c>
      <c r="F451">
        <v>4</v>
      </c>
      <c r="G451">
        <v>2</v>
      </c>
      <c r="H451">
        <v>3</v>
      </c>
      <c r="I451">
        <v>188</v>
      </c>
      <c r="J451">
        <v>1</v>
      </c>
      <c r="K451">
        <v>0</v>
      </c>
      <c r="L451">
        <v>95617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5</v>
      </c>
      <c r="U451">
        <v>1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</row>
    <row r="452" spans="1:29" x14ac:dyDescent="0.35">
      <c r="A452">
        <v>1541</v>
      </c>
      <c r="B452">
        <v>1541</v>
      </c>
      <c r="C452">
        <v>34</v>
      </c>
      <c r="D452">
        <v>8</v>
      </c>
      <c r="E452">
        <v>11</v>
      </c>
      <c r="F452">
        <v>4</v>
      </c>
      <c r="G452">
        <v>0.3</v>
      </c>
      <c r="H452">
        <v>1</v>
      </c>
      <c r="I452">
        <v>0</v>
      </c>
      <c r="J452">
        <v>1</v>
      </c>
      <c r="K452">
        <v>1</v>
      </c>
      <c r="L452">
        <v>91320</v>
      </c>
      <c r="M452">
        <v>0</v>
      </c>
      <c r="N452">
        <v>1</v>
      </c>
      <c r="O452">
        <v>1</v>
      </c>
      <c r="Q452">
        <v>1</v>
      </c>
      <c r="R452">
        <v>0</v>
      </c>
      <c r="S452">
        <v>0</v>
      </c>
      <c r="T452">
        <v>5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</row>
    <row r="453" spans="1:29" x14ac:dyDescent="0.35">
      <c r="A453">
        <v>1546</v>
      </c>
      <c r="B453">
        <v>1546</v>
      </c>
      <c r="C453">
        <v>55</v>
      </c>
      <c r="D453">
        <v>29</v>
      </c>
      <c r="E453">
        <v>131</v>
      </c>
      <c r="F453">
        <v>2</v>
      </c>
      <c r="G453">
        <v>2.7</v>
      </c>
      <c r="H453">
        <v>1</v>
      </c>
      <c r="I453">
        <v>0</v>
      </c>
      <c r="J453">
        <v>0</v>
      </c>
      <c r="K453">
        <v>0</v>
      </c>
      <c r="L453">
        <v>92675</v>
      </c>
      <c r="M453">
        <v>0</v>
      </c>
      <c r="N453">
        <v>1</v>
      </c>
      <c r="O453">
        <v>0</v>
      </c>
      <c r="Q453">
        <v>1</v>
      </c>
      <c r="R453">
        <v>0</v>
      </c>
      <c r="S453">
        <v>0</v>
      </c>
      <c r="T453">
        <v>22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</row>
    <row r="454" spans="1:29" x14ac:dyDescent="0.35">
      <c r="A454">
        <v>1548</v>
      </c>
      <c r="B454">
        <v>1548</v>
      </c>
      <c r="C454">
        <v>47</v>
      </c>
      <c r="D454">
        <v>21</v>
      </c>
      <c r="E454">
        <v>52</v>
      </c>
      <c r="F454">
        <v>1</v>
      </c>
      <c r="G454">
        <v>1.2</v>
      </c>
      <c r="H454">
        <v>2</v>
      </c>
      <c r="I454">
        <v>194</v>
      </c>
      <c r="J454">
        <v>0</v>
      </c>
      <c r="K454">
        <v>0</v>
      </c>
      <c r="L454">
        <v>94720</v>
      </c>
      <c r="M454">
        <v>0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5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</row>
    <row r="455" spans="1:29" x14ac:dyDescent="0.35">
      <c r="A455">
        <v>1562</v>
      </c>
      <c r="B455">
        <v>1562</v>
      </c>
      <c r="C455">
        <v>46</v>
      </c>
      <c r="D455">
        <v>20</v>
      </c>
      <c r="E455">
        <v>73</v>
      </c>
      <c r="F455">
        <v>1</v>
      </c>
      <c r="G455">
        <v>1.5</v>
      </c>
      <c r="H455">
        <v>2</v>
      </c>
      <c r="I455">
        <v>128</v>
      </c>
      <c r="J455">
        <v>1</v>
      </c>
      <c r="K455">
        <v>0</v>
      </c>
      <c r="L455">
        <v>93106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5</v>
      </c>
      <c r="U455">
        <v>1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</row>
    <row r="456" spans="1:29" x14ac:dyDescent="0.35">
      <c r="A456">
        <v>1570</v>
      </c>
      <c r="B456">
        <v>1570</v>
      </c>
      <c r="C456">
        <v>51</v>
      </c>
      <c r="D456">
        <v>27</v>
      </c>
      <c r="E456">
        <v>44</v>
      </c>
      <c r="F456">
        <v>3</v>
      </c>
      <c r="G456">
        <v>1.9</v>
      </c>
      <c r="H456">
        <v>2</v>
      </c>
      <c r="I456">
        <v>141</v>
      </c>
      <c r="J456">
        <v>0</v>
      </c>
      <c r="K456">
        <v>0</v>
      </c>
      <c r="L456">
        <v>94305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5</v>
      </c>
      <c r="U456">
        <v>1</v>
      </c>
      <c r="V456">
        <v>0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</row>
    <row r="457" spans="1:29" x14ac:dyDescent="0.35">
      <c r="A457">
        <v>1574</v>
      </c>
      <c r="B457">
        <v>1574</v>
      </c>
      <c r="C457">
        <v>44</v>
      </c>
      <c r="D457">
        <v>20</v>
      </c>
      <c r="E457">
        <v>69</v>
      </c>
      <c r="F457">
        <v>1</v>
      </c>
      <c r="G457">
        <v>0.8</v>
      </c>
      <c r="H457">
        <v>3</v>
      </c>
      <c r="I457">
        <v>184</v>
      </c>
      <c r="J457">
        <v>1</v>
      </c>
      <c r="K457">
        <v>1</v>
      </c>
      <c r="L457">
        <v>92028</v>
      </c>
      <c r="M457">
        <v>0</v>
      </c>
      <c r="N457">
        <v>0</v>
      </c>
      <c r="O457">
        <v>1</v>
      </c>
      <c r="Q457">
        <v>0</v>
      </c>
      <c r="R457">
        <v>0</v>
      </c>
      <c r="S457">
        <v>0</v>
      </c>
      <c r="T457">
        <v>5</v>
      </c>
      <c r="U457">
        <v>1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</row>
    <row r="458" spans="1:29" x14ac:dyDescent="0.35">
      <c r="A458">
        <v>1582</v>
      </c>
      <c r="B458">
        <v>1582</v>
      </c>
      <c r="C458">
        <v>53</v>
      </c>
      <c r="D458">
        <v>29</v>
      </c>
      <c r="E458">
        <v>24</v>
      </c>
      <c r="F458">
        <v>2</v>
      </c>
      <c r="G458">
        <v>0.2</v>
      </c>
      <c r="H458">
        <v>1</v>
      </c>
      <c r="I458">
        <v>0</v>
      </c>
      <c r="J458">
        <v>0</v>
      </c>
      <c r="K458">
        <v>1</v>
      </c>
      <c r="L458">
        <v>94105</v>
      </c>
      <c r="M458">
        <v>0</v>
      </c>
      <c r="N458">
        <v>0</v>
      </c>
      <c r="O458">
        <v>0</v>
      </c>
      <c r="Q458">
        <v>1</v>
      </c>
      <c r="R458">
        <v>0</v>
      </c>
      <c r="S458">
        <v>0</v>
      </c>
      <c r="T458">
        <v>5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</row>
    <row r="459" spans="1:29" x14ac:dyDescent="0.35">
      <c r="A459">
        <v>1585</v>
      </c>
      <c r="B459">
        <v>1585</v>
      </c>
      <c r="C459">
        <v>46</v>
      </c>
      <c r="D459">
        <v>20</v>
      </c>
      <c r="E459">
        <v>25</v>
      </c>
      <c r="F459">
        <v>4</v>
      </c>
      <c r="G459">
        <v>0.6</v>
      </c>
      <c r="H459">
        <v>3</v>
      </c>
      <c r="I459">
        <v>125</v>
      </c>
      <c r="J459">
        <v>0</v>
      </c>
      <c r="K459">
        <v>0</v>
      </c>
      <c r="L459">
        <v>93401</v>
      </c>
      <c r="M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5</v>
      </c>
      <c r="U459">
        <v>1</v>
      </c>
      <c r="V459">
        <v>0</v>
      </c>
      <c r="W459">
        <v>1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</row>
    <row r="460" spans="1:29" x14ac:dyDescent="0.35">
      <c r="A460">
        <v>1593</v>
      </c>
      <c r="B460">
        <v>1593</v>
      </c>
      <c r="C460">
        <v>56</v>
      </c>
      <c r="D460">
        <v>31</v>
      </c>
      <c r="E460">
        <v>192</v>
      </c>
      <c r="F460">
        <v>1</v>
      </c>
      <c r="G460">
        <v>7</v>
      </c>
      <c r="H460">
        <v>3</v>
      </c>
      <c r="I460">
        <v>0</v>
      </c>
      <c r="J460">
        <v>1</v>
      </c>
      <c r="K460">
        <v>0</v>
      </c>
      <c r="L460">
        <v>90089</v>
      </c>
      <c r="M460">
        <v>1</v>
      </c>
      <c r="N460">
        <v>0</v>
      </c>
      <c r="O460">
        <v>1</v>
      </c>
      <c r="Q460">
        <v>0</v>
      </c>
      <c r="R460">
        <v>1</v>
      </c>
      <c r="S460">
        <v>1</v>
      </c>
      <c r="T460">
        <v>10</v>
      </c>
      <c r="U460">
        <v>0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1</v>
      </c>
    </row>
    <row r="461" spans="1:29" x14ac:dyDescent="0.35">
      <c r="A461">
        <v>1596</v>
      </c>
      <c r="B461">
        <v>1596</v>
      </c>
      <c r="C461">
        <v>56</v>
      </c>
      <c r="D461">
        <v>26</v>
      </c>
      <c r="E461">
        <v>38</v>
      </c>
      <c r="F461">
        <v>3</v>
      </c>
      <c r="G461">
        <v>1</v>
      </c>
      <c r="H461">
        <v>3</v>
      </c>
      <c r="I461">
        <v>110</v>
      </c>
      <c r="J461">
        <v>1</v>
      </c>
      <c r="K461">
        <v>0</v>
      </c>
      <c r="L461">
        <v>94305</v>
      </c>
      <c r="M461">
        <v>0</v>
      </c>
      <c r="N461">
        <v>1</v>
      </c>
      <c r="O461">
        <v>0</v>
      </c>
      <c r="Q461">
        <v>0</v>
      </c>
      <c r="R461">
        <v>0</v>
      </c>
      <c r="S461">
        <v>0</v>
      </c>
      <c r="T461">
        <v>5</v>
      </c>
      <c r="U461">
        <v>1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</row>
    <row r="462" spans="1:29" x14ac:dyDescent="0.35">
      <c r="A462">
        <v>1601</v>
      </c>
      <c r="B462">
        <v>1601</v>
      </c>
      <c r="C462">
        <v>60</v>
      </c>
      <c r="D462">
        <v>36</v>
      </c>
      <c r="E462">
        <v>129</v>
      </c>
      <c r="F462">
        <v>2</v>
      </c>
      <c r="G462">
        <v>6</v>
      </c>
      <c r="H462">
        <v>1</v>
      </c>
      <c r="I462">
        <v>0</v>
      </c>
      <c r="J462">
        <v>1</v>
      </c>
      <c r="K462">
        <v>0</v>
      </c>
      <c r="L462">
        <v>92028</v>
      </c>
      <c r="M462">
        <v>0</v>
      </c>
      <c r="N462">
        <v>0</v>
      </c>
      <c r="O462">
        <v>0</v>
      </c>
      <c r="Q462">
        <v>1</v>
      </c>
      <c r="R462">
        <v>0</v>
      </c>
      <c r="S462">
        <v>0</v>
      </c>
      <c r="T462">
        <v>22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</row>
    <row r="463" spans="1:29" x14ac:dyDescent="0.35">
      <c r="A463">
        <v>1607</v>
      </c>
      <c r="B463">
        <v>1607</v>
      </c>
      <c r="C463">
        <v>35</v>
      </c>
      <c r="D463">
        <v>10</v>
      </c>
      <c r="E463">
        <v>33</v>
      </c>
      <c r="F463">
        <v>4</v>
      </c>
      <c r="G463">
        <v>1.7</v>
      </c>
      <c r="H463">
        <v>1</v>
      </c>
      <c r="I463">
        <v>87</v>
      </c>
      <c r="J463">
        <v>1</v>
      </c>
      <c r="K463">
        <v>0</v>
      </c>
      <c r="L463">
        <v>90266</v>
      </c>
      <c r="M463">
        <v>0</v>
      </c>
      <c r="N463">
        <v>0</v>
      </c>
      <c r="O463">
        <v>0</v>
      </c>
      <c r="Q463">
        <v>1</v>
      </c>
      <c r="R463">
        <v>0</v>
      </c>
      <c r="S463">
        <v>0</v>
      </c>
      <c r="T463">
        <v>5</v>
      </c>
      <c r="U463">
        <v>1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</row>
    <row r="464" spans="1:29" x14ac:dyDescent="0.35">
      <c r="A464">
        <v>1608</v>
      </c>
      <c r="B464">
        <v>1608</v>
      </c>
      <c r="C464">
        <v>55</v>
      </c>
      <c r="D464">
        <v>29</v>
      </c>
      <c r="E464">
        <v>21</v>
      </c>
      <c r="F464">
        <v>4</v>
      </c>
      <c r="G464">
        <v>0.7</v>
      </c>
      <c r="H464">
        <v>3</v>
      </c>
      <c r="I464">
        <v>0</v>
      </c>
      <c r="J464">
        <v>0</v>
      </c>
      <c r="K464">
        <v>0</v>
      </c>
      <c r="L464">
        <v>92028</v>
      </c>
      <c r="M464">
        <v>0</v>
      </c>
      <c r="N464">
        <v>0</v>
      </c>
      <c r="O464">
        <v>0</v>
      </c>
      <c r="Q464">
        <v>0</v>
      </c>
      <c r="R464">
        <v>0</v>
      </c>
      <c r="S464">
        <v>0</v>
      </c>
      <c r="T464">
        <v>5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</row>
    <row r="465" spans="1:29" x14ac:dyDescent="0.35">
      <c r="A465">
        <v>1609</v>
      </c>
      <c r="B465">
        <v>1609</v>
      </c>
      <c r="C465">
        <v>36</v>
      </c>
      <c r="D465">
        <v>10</v>
      </c>
      <c r="E465">
        <v>35</v>
      </c>
      <c r="F465">
        <v>2</v>
      </c>
      <c r="G465">
        <v>0.3</v>
      </c>
      <c r="H465">
        <v>1</v>
      </c>
      <c r="I465">
        <v>98</v>
      </c>
      <c r="J465">
        <v>1</v>
      </c>
      <c r="K465">
        <v>0</v>
      </c>
      <c r="L465">
        <v>94608</v>
      </c>
      <c r="M465">
        <v>0</v>
      </c>
      <c r="N465">
        <v>0</v>
      </c>
      <c r="O465">
        <v>0</v>
      </c>
      <c r="Q465">
        <v>1</v>
      </c>
      <c r="R465">
        <v>0</v>
      </c>
      <c r="S465">
        <v>0</v>
      </c>
      <c r="T465">
        <v>5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</row>
    <row r="466" spans="1:29" x14ac:dyDescent="0.35">
      <c r="A466">
        <v>1610</v>
      </c>
      <c r="B466">
        <v>1610</v>
      </c>
      <c r="C466">
        <v>66</v>
      </c>
      <c r="D466">
        <v>41</v>
      </c>
      <c r="E466">
        <v>105</v>
      </c>
      <c r="F466">
        <v>1</v>
      </c>
      <c r="G466">
        <v>0.8</v>
      </c>
      <c r="H466">
        <v>3</v>
      </c>
      <c r="I466">
        <v>0</v>
      </c>
      <c r="J466">
        <v>1</v>
      </c>
      <c r="K466">
        <v>1</v>
      </c>
      <c r="L466">
        <v>93023</v>
      </c>
      <c r="M466">
        <v>0</v>
      </c>
      <c r="N466">
        <v>1</v>
      </c>
      <c r="O466">
        <v>1</v>
      </c>
      <c r="Q466">
        <v>0</v>
      </c>
      <c r="R466">
        <v>0</v>
      </c>
      <c r="S466">
        <v>0</v>
      </c>
      <c r="T466">
        <v>13</v>
      </c>
      <c r="U466">
        <v>0.88607594936708001</v>
      </c>
      <c r="V466">
        <v>0.11392405063291</v>
      </c>
      <c r="W466">
        <v>0.88607594936708001</v>
      </c>
      <c r="X466">
        <v>0.11392405063291</v>
      </c>
      <c r="Y466">
        <v>0.86842105263156999</v>
      </c>
      <c r="Z466">
        <v>0.13157894736841999</v>
      </c>
      <c r="AA466">
        <v>0.11392405063291999</v>
      </c>
      <c r="AB466">
        <v>-0.11392405063291</v>
      </c>
      <c r="AC466">
        <v>0</v>
      </c>
    </row>
    <row r="467" spans="1:29" x14ac:dyDescent="0.35">
      <c r="A467">
        <v>1611</v>
      </c>
      <c r="B467">
        <v>1611</v>
      </c>
      <c r="C467">
        <v>38</v>
      </c>
      <c r="D467">
        <v>14</v>
      </c>
      <c r="E467">
        <v>103</v>
      </c>
      <c r="F467">
        <v>1</v>
      </c>
      <c r="G467">
        <v>0.8</v>
      </c>
      <c r="H467">
        <v>2</v>
      </c>
      <c r="I467">
        <v>0</v>
      </c>
      <c r="J467">
        <v>0</v>
      </c>
      <c r="K467">
        <v>1</v>
      </c>
      <c r="L467">
        <v>94305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13</v>
      </c>
      <c r="U467">
        <v>0.88607594936708001</v>
      </c>
      <c r="V467">
        <v>0.11392405063291</v>
      </c>
      <c r="W467">
        <v>0.88607594936708001</v>
      </c>
      <c r="X467">
        <v>0.11392405063291</v>
      </c>
      <c r="Y467">
        <v>0.86842105263156999</v>
      </c>
      <c r="Z467">
        <v>0.13157894736841999</v>
      </c>
      <c r="AA467">
        <v>0.11392405063291999</v>
      </c>
      <c r="AB467">
        <v>-0.11392405063291</v>
      </c>
      <c r="AC467">
        <v>0</v>
      </c>
    </row>
    <row r="468" spans="1:29" x14ac:dyDescent="0.35">
      <c r="A468">
        <v>1612</v>
      </c>
      <c r="B468">
        <v>1612</v>
      </c>
      <c r="C468">
        <v>58</v>
      </c>
      <c r="D468">
        <v>32</v>
      </c>
      <c r="E468">
        <v>75</v>
      </c>
      <c r="F468">
        <v>2</v>
      </c>
      <c r="G468">
        <v>2.2999999999999998</v>
      </c>
      <c r="H468">
        <v>3</v>
      </c>
      <c r="I468">
        <v>0</v>
      </c>
      <c r="J468">
        <v>0</v>
      </c>
      <c r="K468">
        <v>0</v>
      </c>
      <c r="L468">
        <v>92096</v>
      </c>
      <c r="M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5</v>
      </c>
      <c r="U468">
        <v>1</v>
      </c>
      <c r="V468">
        <v>0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</row>
    <row r="469" spans="1:29" x14ac:dyDescent="0.35">
      <c r="A469">
        <v>1620</v>
      </c>
      <c r="B469">
        <v>1620</v>
      </c>
      <c r="C469">
        <v>45</v>
      </c>
      <c r="D469">
        <v>21</v>
      </c>
      <c r="E469">
        <v>29</v>
      </c>
      <c r="F469">
        <v>1</v>
      </c>
      <c r="G469">
        <v>0.3</v>
      </c>
      <c r="H469">
        <v>3</v>
      </c>
      <c r="I469">
        <v>0</v>
      </c>
      <c r="J469">
        <v>1</v>
      </c>
      <c r="K469">
        <v>0</v>
      </c>
      <c r="L469">
        <v>90005</v>
      </c>
      <c r="M469">
        <v>0</v>
      </c>
      <c r="N469">
        <v>0</v>
      </c>
      <c r="O469">
        <v>0</v>
      </c>
      <c r="Q469">
        <v>0</v>
      </c>
      <c r="R469">
        <v>0</v>
      </c>
      <c r="S469">
        <v>0</v>
      </c>
      <c r="T469">
        <v>5</v>
      </c>
      <c r="U469">
        <v>1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</row>
    <row r="470" spans="1:29" x14ac:dyDescent="0.35">
      <c r="A470">
        <v>1622</v>
      </c>
      <c r="B470">
        <v>1622</v>
      </c>
      <c r="C470">
        <v>31</v>
      </c>
      <c r="D470">
        <v>6</v>
      </c>
      <c r="E470">
        <v>53</v>
      </c>
      <c r="F470">
        <v>4</v>
      </c>
      <c r="G470">
        <v>2.2000000000000002</v>
      </c>
      <c r="H470">
        <v>1</v>
      </c>
      <c r="I470">
        <v>114</v>
      </c>
      <c r="J470">
        <v>1</v>
      </c>
      <c r="K470">
        <v>0</v>
      </c>
      <c r="L470">
        <v>92093</v>
      </c>
      <c r="M470">
        <v>0</v>
      </c>
      <c r="N470">
        <v>0</v>
      </c>
      <c r="O470">
        <v>0</v>
      </c>
      <c r="Q470">
        <v>1</v>
      </c>
      <c r="R470">
        <v>0</v>
      </c>
      <c r="S470">
        <v>0</v>
      </c>
      <c r="T470">
        <v>5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</row>
    <row r="471" spans="1:29" x14ac:dyDescent="0.35">
      <c r="A471">
        <v>1623</v>
      </c>
      <c r="B471">
        <v>1623</v>
      </c>
      <c r="C471">
        <v>39</v>
      </c>
      <c r="D471">
        <v>14</v>
      </c>
      <c r="E471">
        <v>24</v>
      </c>
      <c r="F471">
        <v>2</v>
      </c>
      <c r="G471">
        <v>0.3</v>
      </c>
      <c r="H471">
        <v>2</v>
      </c>
      <c r="I471">
        <v>0</v>
      </c>
      <c r="J471">
        <v>1</v>
      </c>
      <c r="K471">
        <v>0</v>
      </c>
      <c r="L471">
        <v>94611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5</v>
      </c>
      <c r="U471">
        <v>1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</row>
    <row r="472" spans="1:29" x14ac:dyDescent="0.35">
      <c r="A472">
        <v>1632</v>
      </c>
      <c r="B472">
        <v>1632</v>
      </c>
      <c r="C472">
        <v>61</v>
      </c>
      <c r="D472">
        <v>36</v>
      </c>
      <c r="E472">
        <v>153</v>
      </c>
      <c r="F472">
        <v>1</v>
      </c>
      <c r="G472">
        <v>2.6</v>
      </c>
      <c r="H472">
        <v>2</v>
      </c>
      <c r="I472">
        <v>0</v>
      </c>
      <c r="J472">
        <v>0</v>
      </c>
      <c r="K472">
        <v>1</v>
      </c>
      <c r="L472">
        <v>91105</v>
      </c>
      <c r="M472">
        <v>1</v>
      </c>
      <c r="N472">
        <v>1</v>
      </c>
      <c r="O472">
        <v>1</v>
      </c>
      <c r="Q472">
        <v>0</v>
      </c>
      <c r="R472">
        <v>1</v>
      </c>
      <c r="S472">
        <v>1</v>
      </c>
      <c r="T472">
        <v>10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v>0</v>
      </c>
      <c r="AC472">
        <v>1</v>
      </c>
    </row>
    <row r="473" spans="1:29" x14ac:dyDescent="0.35">
      <c r="A473">
        <v>1636</v>
      </c>
      <c r="B473">
        <v>1636</v>
      </c>
      <c r="C473">
        <v>49</v>
      </c>
      <c r="D473">
        <v>24</v>
      </c>
      <c r="E473">
        <v>70</v>
      </c>
      <c r="F473">
        <v>1</v>
      </c>
      <c r="G473">
        <v>2.9</v>
      </c>
      <c r="H473">
        <v>1</v>
      </c>
      <c r="I473">
        <v>0</v>
      </c>
      <c r="J473">
        <v>0</v>
      </c>
      <c r="K473">
        <v>0</v>
      </c>
      <c r="L473">
        <v>91330</v>
      </c>
      <c r="M473">
        <v>0</v>
      </c>
      <c r="N473">
        <v>0</v>
      </c>
      <c r="O473">
        <v>0</v>
      </c>
      <c r="Q473">
        <v>1</v>
      </c>
      <c r="R473">
        <v>0</v>
      </c>
      <c r="S473">
        <v>0</v>
      </c>
      <c r="T473">
        <v>5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</row>
    <row r="474" spans="1:29" x14ac:dyDescent="0.35">
      <c r="A474">
        <v>1642</v>
      </c>
      <c r="B474">
        <v>1642</v>
      </c>
      <c r="C474">
        <v>58</v>
      </c>
      <c r="D474">
        <v>34</v>
      </c>
      <c r="E474">
        <v>152</v>
      </c>
      <c r="F474">
        <v>4</v>
      </c>
      <c r="G474">
        <v>3.6</v>
      </c>
      <c r="H474">
        <v>3</v>
      </c>
      <c r="I474">
        <v>0</v>
      </c>
      <c r="J474">
        <v>0</v>
      </c>
      <c r="K474">
        <v>0</v>
      </c>
      <c r="L474">
        <v>92182</v>
      </c>
      <c r="M474">
        <v>1</v>
      </c>
      <c r="N474">
        <v>0</v>
      </c>
      <c r="O474">
        <v>0</v>
      </c>
      <c r="Q474">
        <v>0</v>
      </c>
      <c r="R474">
        <v>1</v>
      </c>
      <c r="S474">
        <v>1</v>
      </c>
      <c r="T474">
        <v>10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1</v>
      </c>
    </row>
    <row r="475" spans="1:29" x14ac:dyDescent="0.35">
      <c r="A475">
        <v>1643</v>
      </c>
      <c r="B475">
        <v>1643</v>
      </c>
      <c r="C475">
        <v>27</v>
      </c>
      <c r="D475">
        <v>3</v>
      </c>
      <c r="E475">
        <v>84</v>
      </c>
      <c r="F475">
        <v>3</v>
      </c>
      <c r="G475">
        <v>1.5</v>
      </c>
      <c r="H475">
        <v>1</v>
      </c>
      <c r="I475">
        <v>0</v>
      </c>
      <c r="J475">
        <v>1</v>
      </c>
      <c r="K475">
        <v>1</v>
      </c>
      <c r="L475">
        <v>95814</v>
      </c>
      <c r="M475">
        <v>0</v>
      </c>
      <c r="N475">
        <v>0</v>
      </c>
      <c r="O475">
        <v>0</v>
      </c>
      <c r="Q475">
        <v>1</v>
      </c>
      <c r="R475">
        <v>0</v>
      </c>
      <c r="S475">
        <v>0</v>
      </c>
      <c r="T475">
        <v>5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</row>
    <row r="476" spans="1:29" x14ac:dyDescent="0.35">
      <c r="A476">
        <v>1644</v>
      </c>
      <c r="B476">
        <v>1644</v>
      </c>
      <c r="C476">
        <v>41</v>
      </c>
      <c r="D476">
        <v>16</v>
      </c>
      <c r="E476">
        <v>13</v>
      </c>
      <c r="F476">
        <v>2</v>
      </c>
      <c r="G476">
        <v>0</v>
      </c>
      <c r="H476">
        <v>3</v>
      </c>
      <c r="I476">
        <v>0</v>
      </c>
      <c r="J476">
        <v>1</v>
      </c>
      <c r="K476">
        <v>0</v>
      </c>
      <c r="L476">
        <v>91125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5</v>
      </c>
      <c r="U476">
        <v>1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</row>
    <row r="477" spans="1:29" x14ac:dyDescent="0.35">
      <c r="A477">
        <v>1646</v>
      </c>
      <c r="B477">
        <v>1646</v>
      </c>
      <c r="C477">
        <v>56</v>
      </c>
      <c r="D477">
        <v>32</v>
      </c>
      <c r="E477">
        <v>89</v>
      </c>
      <c r="F477">
        <v>4</v>
      </c>
      <c r="G477">
        <v>1</v>
      </c>
      <c r="H477">
        <v>2</v>
      </c>
      <c r="I477">
        <v>90</v>
      </c>
      <c r="J477">
        <v>1</v>
      </c>
      <c r="K477">
        <v>0</v>
      </c>
      <c r="L477">
        <v>92096</v>
      </c>
      <c r="M477">
        <v>0</v>
      </c>
      <c r="N477">
        <v>1</v>
      </c>
      <c r="O477">
        <v>0</v>
      </c>
      <c r="Q477">
        <v>0</v>
      </c>
      <c r="R477">
        <v>0</v>
      </c>
      <c r="S477">
        <v>0</v>
      </c>
      <c r="T477">
        <v>5</v>
      </c>
      <c r="U477">
        <v>1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</row>
    <row r="478" spans="1:29" x14ac:dyDescent="0.35">
      <c r="A478">
        <v>1647</v>
      </c>
      <c r="B478">
        <v>1647</v>
      </c>
      <c r="C478">
        <v>52</v>
      </c>
      <c r="D478">
        <v>26</v>
      </c>
      <c r="E478">
        <v>93</v>
      </c>
      <c r="F478">
        <v>1</v>
      </c>
      <c r="G478">
        <v>2.4</v>
      </c>
      <c r="H478">
        <v>1</v>
      </c>
      <c r="I478">
        <v>0</v>
      </c>
      <c r="J478">
        <v>1</v>
      </c>
      <c r="K478">
        <v>0</v>
      </c>
      <c r="L478">
        <v>91745</v>
      </c>
      <c r="M478">
        <v>0</v>
      </c>
      <c r="N478">
        <v>0</v>
      </c>
      <c r="O478">
        <v>0</v>
      </c>
      <c r="Q478">
        <v>1</v>
      </c>
      <c r="R478">
        <v>0</v>
      </c>
      <c r="S478">
        <v>0</v>
      </c>
      <c r="T478">
        <v>5</v>
      </c>
      <c r="U478">
        <v>1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</row>
    <row r="479" spans="1:29" x14ac:dyDescent="0.35">
      <c r="A479">
        <v>1648</v>
      </c>
      <c r="B479">
        <v>1648</v>
      </c>
      <c r="C479">
        <v>35</v>
      </c>
      <c r="D479">
        <v>5</v>
      </c>
      <c r="E479">
        <v>68</v>
      </c>
      <c r="F479">
        <v>4</v>
      </c>
      <c r="G479">
        <v>1.8</v>
      </c>
      <c r="H479">
        <v>3</v>
      </c>
      <c r="I479">
        <v>0</v>
      </c>
      <c r="J479">
        <v>0</v>
      </c>
      <c r="K479">
        <v>0</v>
      </c>
      <c r="L479">
        <v>90509</v>
      </c>
      <c r="M479">
        <v>0</v>
      </c>
      <c r="N479">
        <v>0</v>
      </c>
      <c r="O479">
        <v>0</v>
      </c>
      <c r="Q479">
        <v>0</v>
      </c>
      <c r="R479">
        <v>0</v>
      </c>
      <c r="S479">
        <v>0</v>
      </c>
      <c r="T479">
        <v>5</v>
      </c>
      <c r="U479">
        <v>1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</row>
    <row r="480" spans="1:29" x14ac:dyDescent="0.35">
      <c r="A480">
        <v>1649</v>
      </c>
      <c r="B480">
        <v>1649</v>
      </c>
      <c r="C480">
        <v>47</v>
      </c>
      <c r="D480">
        <v>21</v>
      </c>
      <c r="E480">
        <v>85</v>
      </c>
      <c r="F480">
        <v>2</v>
      </c>
      <c r="G480">
        <v>1.7</v>
      </c>
      <c r="H480">
        <v>2</v>
      </c>
      <c r="I480">
        <v>0</v>
      </c>
      <c r="J480">
        <v>0</v>
      </c>
      <c r="K480">
        <v>1</v>
      </c>
      <c r="L480">
        <v>93106</v>
      </c>
      <c r="M480">
        <v>0</v>
      </c>
      <c r="N480">
        <v>0</v>
      </c>
      <c r="O480">
        <v>0</v>
      </c>
      <c r="Q480">
        <v>0</v>
      </c>
      <c r="R480">
        <v>0</v>
      </c>
      <c r="S480">
        <v>0</v>
      </c>
      <c r="T480">
        <v>5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</row>
    <row r="481" spans="1:29" x14ac:dyDescent="0.35">
      <c r="A481">
        <v>1650</v>
      </c>
      <c r="B481">
        <v>1650</v>
      </c>
      <c r="C481">
        <v>29</v>
      </c>
      <c r="D481">
        <v>4</v>
      </c>
      <c r="E481">
        <v>73</v>
      </c>
      <c r="F481">
        <v>1</v>
      </c>
      <c r="G481">
        <v>0.8</v>
      </c>
      <c r="H481">
        <v>2</v>
      </c>
      <c r="I481">
        <v>0</v>
      </c>
      <c r="J481">
        <v>1</v>
      </c>
      <c r="K481">
        <v>0</v>
      </c>
      <c r="L481">
        <v>95039</v>
      </c>
      <c r="M481">
        <v>0</v>
      </c>
      <c r="N481">
        <v>0</v>
      </c>
      <c r="O481">
        <v>0</v>
      </c>
      <c r="Q481">
        <v>0</v>
      </c>
      <c r="R481">
        <v>0</v>
      </c>
      <c r="S481">
        <v>0</v>
      </c>
      <c r="T481">
        <v>5</v>
      </c>
      <c r="U481">
        <v>1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</row>
    <row r="482" spans="1:29" x14ac:dyDescent="0.35">
      <c r="A482">
        <v>1656</v>
      </c>
      <c r="B482">
        <v>1656</v>
      </c>
      <c r="C482">
        <v>35</v>
      </c>
      <c r="D482">
        <v>11</v>
      </c>
      <c r="E482">
        <v>53</v>
      </c>
      <c r="F482">
        <v>3</v>
      </c>
      <c r="G482">
        <v>2.8</v>
      </c>
      <c r="H482">
        <v>1</v>
      </c>
      <c r="I482">
        <v>0</v>
      </c>
      <c r="J482">
        <v>0</v>
      </c>
      <c r="K482">
        <v>0</v>
      </c>
      <c r="L482">
        <v>91355</v>
      </c>
      <c r="M482">
        <v>0</v>
      </c>
      <c r="N482">
        <v>0</v>
      </c>
      <c r="O482">
        <v>0</v>
      </c>
      <c r="Q482">
        <v>1</v>
      </c>
      <c r="R482">
        <v>0</v>
      </c>
      <c r="S482">
        <v>0</v>
      </c>
      <c r="T482">
        <v>5</v>
      </c>
      <c r="U482">
        <v>1</v>
      </c>
      <c r="V482">
        <v>0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</row>
    <row r="483" spans="1:29" x14ac:dyDescent="0.35">
      <c r="A483">
        <v>1661</v>
      </c>
      <c r="B483">
        <v>1661</v>
      </c>
      <c r="C483">
        <v>37</v>
      </c>
      <c r="D483">
        <v>11</v>
      </c>
      <c r="E483">
        <v>34</v>
      </c>
      <c r="F483">
        <v>3</v>
      </c>
      <c r="G483">
        <v>0.9</v>
      </c>
      <c r="H483">
        <v>1</v>
      </c>
      <c r="I483">
        <v>0</v>
      </c>
      <c r="J483">
        <v>1</v>
      </c>
      <c r="K483">
        <v>0</v>
      </c>
      <c r="L483">
        <v>95747</v>
      </c>
      <c r="M483">
        <v>0</v>
      </c>
      <c r="N483">
        <v>0</v>
      </c>
      <c r="O483">
        <v>0</v>
      </c>
      <c r="Q483">
        <v>1</v>
      </c>
      <c r="R483">
        <v>0</v>
      </c>
      <c r="S483">
        <v>0</v>
      </c>
      <c r="T483">
        <v>5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</row>
    <row r="484" spans="1:29" x14ac:dyDescent="0.35">
      <c r="A484">
        <v>1666</v>
      </c>
      <c r="B484">
        <v>1666</v>
      </c>
      <c r="C484">
        <v>37</v>
      </c>
      <c r="D484">
        <v>12</v>
      </c>
      <c r="E484">
        <v>100</v>
      </c>
      <c r="F484">
        <v>3</v>
      </c>
      <c r="G484">
        <v>1.2</v>
      </c>
      <c r="H484">
        <v>3</v>
      </c>
      <c r="I484">
        <v>341</v>
      </c>
      <c r="J484">
        <v>1</v>
      </c>
      <c r="K484">
        <v>1</v>
      </c>
      <c r="L484">
        <v>92735</v>
      </c>
      <c r="M484">
        <v>0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13</v>
      </c>
      <c r="U484">
        <v>0.88607594936708001</v>
      </c>
      <c r="V484">
        <v>0.11392405063291</v>
      </c>
      <c r="W484">
        <v>0.88607594936708001</v>
      </c>
      <c r="X484">
        <v>0.11392405063291</v>
      </c>
      <c r="Y484">
        <v>0.86842105263156999</v>
      </c>
      <c r="Z484">
        <v>0.13157894736841999</v>
      </c>
      <c r="AA484">
        <v>0.11392405063291999</v>
      </c>
      <c r="AB484">
        <v>-0.11392405063291</v>
      </c>
      <c r="AC484">
        <v>0</v>
      </c>
    </row>
    <row r="485" spans="1:29" x14ac:dyDescent="0.35">
      <c r="A485">
        <v>1667</v>
      </c>
      <c r="B485">
        <v>1667</v>
      </c>
      <c r="C485">
        <v>51</v>
      </c>
      <c r="D485">
        <v>25</v>
      </c>
      <c r="E485">
        <v>190</v>
      </c>
      <c r="F485">
        <v>2</v>
      </c>
      <c r="G485">
        <v>4.2</v>
      </c>
      <c r="H485">
        <v>2</v>
      </c>
      <c r="I485">
        <v>0</v>
      </c>
      <c r="J485">
        <v>1</v>
      </c>
      <c r="K485">
        <v>0</v>
      </c>
      <c r="L485">
        <v>95138</v>
      </c>
      <c r="M485">
        <v>1</v>
      </c>
      <c r="N485">
        <v>0</v>
      </c>
      <c r="O485">
        <v>0</v>
      </c>
      <c r="Q485">
        <v>0</v>
      </c>
      <c r="R485">
        <v>1</v>
      </c>
      <c r="S485">
        <v>1</v>
      </c>
      <c r="T485">
        <v>10</v>
      </c>
      <c r="U485">
        <v>0</v>
      </c>
      <c r="V485">
        <v>1</v>
      </c>
      <c r="W485">
        <v>0</v>
      </c>
      <c r="X485">
        <v>1</v>
      </c>
      <c r="Y485">
        <v>0</v>
      </c>
      <c r="Z485">
        <v>1</v>
      </c>
      <c r="AA485">
        <v>0</v>
      </c>
      <c r="AB485">
        <v>0</v>
      </c>
      <c r="AC485">
        <v>1</v>
      </c>
    </row>
    <row r="486" spans="1:29" x14ac:dyDescent="0.35">
      <c r="A486">
        <v>1669</v>
      </c>
      <c r="B486">
        <v>1669</v>
      </c>
      <c r="C486">
        <v>63</v>
      </c>
      <c r="D486">
        <v>37</v>
      </c>
      <c r="E486">
        <v>20</v>
      </c>
      <c r="F486">
        <v>1</v>
      </c>
      <c r="G486">
        <v>0.8</v>
      </c>
      <c r="H486">
        <v>2</v>
      </c>
      <c r="I486">
        <v>0</v>
      </c>
      <c r="J486">
        <v>0</v>
      </c>
      <c r="K486">
        <v>1</v>
      </c>
      <c r="L486">
        <v>90066</v>
      </c>
      <c r="M486">
        <v>0</v>
      </c>
      <c r="N486">
        <v>1</v>
      </c>
      <c r="O486">
        <v>0</v>
      </c>
      <c r="Q486">
        <v>0</v>
      </c>
      <c r="R486">
        <v>0</v>
      </c>
      <c r="S486">
        <v>0</v>
      </c>
      <c r="T486">
        <v>5</v>
      </c>
      <c r="U486">
        <v>1</v>
      </c>
      <c r="V486">
        <v>0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</row>
    <row r="487" spans="1:29" x14ac:dyDescent="0.35">
      <c r="A487">
        <v>1679</v>
      </c>
      <c r="B487">
        <v>1679</v>
      </c>
      <c r="C487">
        <v>56</v>
      </c>
      <c r="D487">
        <v>30</v>
      </c>
      <c r="E487">
        <v>73</v>
      </c>
      <c r="F487">
        <v>2</v>
      </c>
      <c r="G487">
        <v>1.1000000000000001</v>
      </c>
      <c r="H487">
        <v>1</v>
      </c>
      <c r="I487">
        <v>0</v>
      </c>
      <c r="J487">
        <v>0</v>
      </c>
      <c r="K487">
        <v>0</v>
      </c>
      <c r="L487">
        <v>94035</v>
      </c>
      <c r="M487">
        <v>0</v>
      </c>
      <c r="N487">
        <v>0</v>
      </c>
      <c r="O487">
        <v>0</v>
      </c>
      <c r="Q487">
        <v>1</v>
      </c>
      <c r="R487">
        <v>0</v>
      </c>
      <c r="S487">
        <v>0</v>
      </c>
      <c r="T487">
        <v>5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</row>
    <row r="488" spans="1:29" x14ac:dyDescent="0.35">
      <c r="A488">
        <v>1683</v>
      </c>
      <c r="B488">
        <v>1683</v>
      </c>
      <c r="C488">
        <v>51</v>
      </c>
      <c r="D488">
        <v>26</v>
      </c>
      <c r="E488">
        <v>14</v>
      </c>
      <c r="F488">
        <v>2</v>
      </c>
      <c r="G488">
        <v>0</v>
      </c>
      <c r="H488">
        <v>1</v>
      </c>
      <c r="I488">
        <v>103</v>
      </c>
      <c r="J488">
        <v>1</v>
      </c>
      <c r="K488">
        <v>0</v>
      </c>
      <c r="L488">
        <v>92182</v>
      </c>
      <c r="M488">
        <v>0</v>
      </c>
      <c r="N488">
        <v>0</v>
      </c>
      <c r="O488">
        <v>0</v>
      </c>
      <c r="Q488">
        <v>1</v>
      </c>
      <c r="R488">
        <v>0</v>
      </c>
      <c r="S488">
        <v>0</v>
      </c>
      <c r="T488">
        <v>5</v>
      </c>
      <c r="U488">
        <v>1</v>
      </c>
      <c r="V488">
        <v>0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</row>
    <row r="489" spans="1:29" x14ac:dyDescent="0.35">
      <c r="A489">
        <v>1694</v>
      </c>
      <c r="B489">
        <v>1694</v>
      </c>
      <c r="C489">
        <v>57</v>
      </c>
      <c r="D489">
        <v>31</v>
      </c>
      <c r="E489">
        <v>43</v>
      </c>
      <c r="F489">
        <v>1</v>
      </c>
      <c r="G489">
        <v>0.2</v>
      </c>
      <c r="H489">
        <v>1</v>
      </c>
      <c r="I489">
        <v>0</v>
      </c>
      <c r="J489">
        <v>0</v>
      </c>
      <c r="K489">
        <v>0</v>
      </c>
      <c r="L489">
        <v>95616</v>
      </c>
      <c r="M489">
        <v>0</v>
      </c>
      <c r="N489">
        <v>0</v>
      </c>
      <c r="O489">
        <v>0</v>
      </c>
      <c r="Q489">
        <v>1</v>
      </c>
      <c r="R489">
        <v>0</v>
      </c>
      <c r="S489">
        <v>0</v>
      </c>
      <c r="T489">
        <v>5</v>
      </c>
      <c r="U489">
        <v>1</v>
      </c>
      <c r="V489">
        <v>0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</row>
    <row r="490" spans="1:29" x14ac:dyDescent="0.35">
      <c r="A490">
        <v>1704</v>
      </c>
      <c r="B490">
        <v>1704</v>
      </c>
      <c r="C490">
        <v>65</v>
      </c>
      <c r="D490">
        <v>41</v>
      </c>
      <c r="E490">
        <v>40</v>
      </c>
      <c r="F490">
        <v>3</v>
      </c>
      <c r="G490">
        <v>0.1</v>
      </c>
      <c r="H490">
        <v>3</v>
      </c>
      <c r="I490">
        <v>0</v>
      </c>
      <c r="J490">
        <v>1</v>
      </c>
      <c r="K490">
        <v>0</v>
      </c>
      <c r="L490">
        <v>94542</v>
      </c>
      <c r="M490">
        <v>0</v>
      </c>
      <c r="N490">
        <v>0</v>
      </c>
      <c r="O490">
        <v>0</v>
      </c>
      <c r="Q490">
        <v>0</v>
      </c>
      <c r="R490">
        <v>0</v>
      </c>
      <c r="S490">
        <v>0</v>
      </c>
      <c r="T490">
        <v>5</v>
      </c>
      <c r="U490">
        <v>1</v>
      </c>
      <c r="V490">
        <v>0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</row>
    <row r="491" spans="1:29" x14ac:dyDescent="0.35">
      <c r="A491">
        <v>1705</v>
      </c>
      <c r="B491">
        <v>1705</v>
      </c>
      <c r="C491">
        <v>46</v>
      </c>
      <c r="D491">
        <v>22</v>
      </c>
      <c r="E491">
        <v>198</v>
      </c>
      <c r="F491">
        <v>2</v>
      </c>
      <c r="G491">
        <v>6.67</v>
      </c>
      <c r="H491">
        <v>1</v>
      </c>
      <c r="I491">
        <v>0</v>
      </c>
      <c r="J491">
        <v>0</v>
      </c>
      <c r="K491">
        <v>1</v>
      </c>
      <c r="L491">
        <v>95521</v>
      </c>
      <c r="M491">
        <v>0</v>
      </c>
      <c r="N491">
        <v>0</v>
      </c>
      <c r="O491">
        <v>0</v>
      </c>
      <c r="Q491">
        <v>1</v>
      </c>
      <c r="R491">
        <v>0</v>
      </c>
      <c r="S491">
        <v>0</v>
      </c>
      <c r="T491">
        <v>22</v>
      </c>
      <c r="U491">
        <v>1</v>
      </c>
      <c r="V491">
        <v>0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</row>
    <row r="492" spans="1:29" x14ac:dyDescent="0.35">
      <c r="A492">
        <v>1707</v>
      </c>
      <c r="B492">
        <v>1707</v>
      </c>
      <c r="C492">
        <v>56</v>
      </c>
      <c r="D492">
        <v>31</v>
      </c>
      <c r="E492">
        <v>84</v>
      </c>
      <c r="F492">
        <v>1</v>
      </c>
      <c r="G492">
        <v>0.1</v>
      </c>
      <c r="H492">
        <v>3</v>
      </c>
      <c r="I492">
        <v>0</v>
      </c>
      <c r="J492">
        <v>1</v>
      </c>
      <c r="K492">
        <v>0</v>
      </c>
      <c r="L492">
        <v>92672</v>
      </c>
      <c r="M492">
        <v>0</v>
      </c>
      <c r="N492">
        <v>0</v>
      </c>
      <c r="O492">
        <v>0</v>
      </c>
      <c r="Q492">
        <v>0</v>
      </c>
      <c r="R492">
        <v>0</v>
      </c>
      <c r="S492">
        <v>0</v>
      </c>
      <c r="T492">
        <v>5</v>
      </c>
      <c r="U492">
        <v>1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</row>
    <row r="493" spans="1:29" x14ac:dyDescent="0.35">
      <c r="A493">
        <v>1709</v>
      </c>
      <c r="B493">
        <v>1709</v>
      </c>
      <c r="C493">
        <v>46</v>
      </c>
      <c r="D493">
        <v>20</v>
      </c>
      <c r="E493">
        <v>12</v>
      </c>
      <c r="F493">
        <v>4</v>
      </c>
      <c r="G493">
        <v>0.6</v>
      </c>
      <c r="H493">
        <v>3</v>
      </c>
      <c r="I493">
        <v>0</v>
      </c>
      <c r="J493">
        <v>0</v>
      </c>
      <c r="K493">
        <v>1</v>
      </c>
      <c r="L493">
        <v>90250</v>
      </c>
      <c r="M493">
        <v>0</v>
      </c>
      <c r="N493">
        <v>0</v>
      </c>
      <c r="O493">
        <v>0</v>
      </c>
      <c r="Q493">
        <v>0</v>
      </c>
      <c r="R493">
        <v>0</v>
      </c>
      <c r="S493">
        <v>0</v>
      </c>
      <c r="T493">
        <v>5</v>
      </c>
      <c r="U493">
        <v>1</v>
      </c>
      <c r="V493">
        <v>0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</row>
    <row r="494" spans="1:29" x14ac:dyDescent="0.35">
      <c r="A494">
        <v>1712</v>
      </c>
      <c r="B494">
        <v>1712</v>
      </c>
      <c r="C494">
        <v>27</v>
      </c>
      <c r="D494">
        <v>3</v>
      </c>
      <c r="E494">
        <v>201</v>
      </c>
      <c r="F494">
        <v>1</v>
      </c>
      <c r="G494">
        <v>6.33</v>
      </c>
      <c r="H494">
        <v>1</v>
      </c>
      <c r="I494">
        <v>158</v>
      </c>
      <c r="J494">
        <v>1</v>
      </c>
      <c r="K494">
        <v>0</v>
      </c>
      <c r="L494">
        <v>95819</v>
      </c>
      <c r="M494">
        <v>0</v>
      </c>
      <c r="N494">
        <v>0</v>
      </c>
      <c r="O494">
        <v>0</v>
      </c>
      <c r="Q494">
        <v>1</v>
      </c>
      <c r="R494">
        <v>0</v>
      </c>
      <c r="S494">
        <v>0</v>
      </c>
      <c r="T494">
        <v>22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</row>
    <row r="495" spans="1:29" x14ac:dyDescent="0.35">
      <c r="A495">
        <v>1718</v>
      </c>
      <c r="B495">
        <v>1718</v>
      </c>
      <c r="C495">
        <v>33</v>
      </c>
      <c r="D495">
        <v>7</v>
      </c>
      <c r="E495">
        <v>101</v>
      </c>
      <c r="F495">
        <v>1</v>
      </c>
      <c r="G495">
        <v>2.7</v>
      </c>
      <c r="H495">
        <v>2</v>
      </c>
      <c r="I495">
        <v>233</v>
      </c>
      <c r="J495">
        <v>0</v>
      </c>
      <c r="K495">
        <v>0</v>
      </c>
      <c r="L495">
        <v>93727</v>
      </c>
      <c r="M495">
        <v>0</v>
      </c>
      <c r="N495">
        <v>0</v>
      </c>
      <c r="O495">
        <v>0</v>
      </c>
      <c r="Q495">
        <v>0</v>
      </c>
      <c r="R495">
        <v>0</v>
      </c>
      <c r="S495">
        <v>0</v>
      </c>
      <c r="T495">
        <v>13</v>
      </c>
      <c r="U495">
        <v>0.88607594936708001</v>
      </c>
      <c r="V495">
        <v>0.11392405063291</v>
      </c>
      <c r="W495">
        <v>0.88607594936708001</v>
      </c>
      <c r="X495">
        <v>0.11392405063291</v>
      </c>
      <c r="Y495">
        <v>0.86842105263156999</v>
      </c>
      <c r="Z495">
        <v>0.13157894736841999</v>
      </c>
      <c r="AA495">
        <v>0.11392405063291999</v>
      </c>
      <c r="AB495">
        <v>-0.11392405063291</v>
      </c>
      <c r="AC495">
        <v>0</v>
      </c>
    </row>
    <row r="496" spans="1:29" x14ac:dyDescent="0.35">
      <c r="A496">
        <v>1719</v>
      </c>
      <c r="B496">
        <v>1719</v>
      </c>
      <c r="C496">
        <v>40</v>
      </c>
      <c r="D496">
        <v>16</v>
      </c>
      <c r="E496">
        <v>19</v>
      </c>
      <c r="F496">
        <v>4</v>
      </c>
      <c r="G496">
        <v>0.4</v>
      </c>
      <c r="H496">
        <v>2</v>
      </c>
      <c r="I496">
        <v>0</v>
      </c>
      <c r="J496">
        <v>1</v>
      </c>
      <c r="K496">
        <v>1</v>
      </c>
      <c r="L496">
        <v>92028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5</v>
      </c>
      <c r="U496">
        <v>1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</row>
    <row r="497" spans="1:29" x14ac:dyDescent="0.35">
      <c r="A497">
        <v>1721</v>
      </c>
      <c r="B497">
        <v>1721</v>
      </c>
      <c r="C497">
        <v>52</v>
      </c>
      <c r="D497">
        <v>28</v>
      </c>
      <c r="E497">
        <v>8</v>
      </c>
      <c r="F497">
        <v>1</v>
      </c>
      <c r="G497">
        <v>0.3</v>
      </c>
      <c r="H497">
        <v>1</v>
      </c>
      <c r="I497">
        <v>0</v>
      </c>
      <c r="J497">
        <v>1</v>
      </c>
      <c r="K497">
        <v>0</v>
      </c>
      <c r="L497">
        <v>95060</v>
      </c>
      <c r="M497">
        <v>0</v>
      </c>
      <c r="N497">
        <v>0</v>
      </c>
      <c r="O497">
        <v>0</v>
      </c>
      <c r="Q497">
        <v>1</v>
      </c>
      <c r="R497">
        <v>0</v>
      </c>
      <c r="S497">
        <v>0</v>
      </c>
      <c r="T497">
        <v>5</v>
      </c>
      <c r="U497">
        <v>1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</row>
    <row r="498" spans="1:29" x14ac:dyDescent="0.35">
      <c r="A498">
        <v>1728</v>
      </c>
      <c r="B498">
        <v>1728</v>
      </c>
      <c r="C498">
        <v>52</v>
      </c>
      <c r="D498">
        <v>26</v>
      </c>
      <c r="E498">
        <v>54</v>
      </c>
      <c r="F498">
        <v>2</v>
      </c>
      <c r="G498">
        <v>1.5</v>
      </c>
      <c r="H498">
        <v>2</v>
      </c>
      <c r="I498">
        <v>0</v>
      </c>
      <c r="J498">
        <v>0</v>
      </c>
      <c r="K498">
        <v>1</v>
      </c>
      <c r="L498">
        <v>90049</v>
      </c>
      <c r="M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5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</row>
    <row r="499" spans="1:29" x14ac:dyDescent="0.35">
      <c r="A499">
        <v>1730</v>
      </c>
      <c r="B499">
        <v>1730</v>
      </c>
      <c r="C499">
        <v>50</v>
      </c>
      <c r="D499">
        <v>20</v>
      </c>
      <c r="E499">
        <v>25</v>
      </c>
      <c r="F499">
        <v>4</v>
      </c>
      <c r="G499">
        <v>0.4</v>
      </c>
      <c r="H499">
        <v>3</v>
      </c>
      <c r="I499">
        <v>0</v>
      </c>
      <c r="J499">
        <v>1</v>
      </c>
      <c r="K499">
        <v>0</v>
      </c>
      <c r="L499">
        <v>91320</v>
      </c>
      <c r="M499">
        <v>0</v>
      </c>
      <c r="N499">
        <v>0</v>
      </c>
      <c r="O499">
        <v>0</v>
      </c>
      <c r="Q499">
        <v>0</v>
      </c>
      <c r="R499">
        <v>0</v>
      </c>
      <c r="S499">
        <v>0</v>
      </c>
      <c r="T499">
        <v>5</v>
      </c>
      <c r="U499">
        <v>1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</row>
    <row r="500" spans="1:29" x14ac:dyDescent="0.35">
      <c r="A500">
        <v>1732</v>
      </c>
      <c r="B500">
        <v>1732</v>
      </c>
      <c r="C500">
        <v>43</v>
      </c>
      <c r="D500">
        <v>19</v>
      </c>
      <c r="E500">
        <v>125</v>
      </c>
      <c r="F500">
        <v>3</v>
      </c>
      <c r="G500">
        <v>2.4</v>
      </c>
      <c r="H500">
        <v>1</v>
      </c>
      <c r="I500">
        <v>0</v>
      </c>
      <c r="J500">
        <v>1</v>
      </c>
      <c r="K500">
        <v>0</v>
      </c>
      <c r="L500">
        <v>92122</v>
      </c>
      <c r="M500">
        <v>1</v>
      </c>
      <c r="N500">
        <v>0</v>
      </c>
      <c r="O500">
        <v>0</v>
      </c>
      <c r="Q500">
        <v>1</v>
      </c>
      <c r="R500">
        <v>1</v>
      </c>
      <c r="S500">
        <v>1</v>
      </c>
      <c r="T500">
        <v>20</v>
      </c>
      <c r="U500">
        <v>0</v>
      </c>
      <c r="V500">
        <v>1</v>
      </c>
      <c r="W500">
        <v>0</v>
      </c>
      <c r="X500">
        <v>1</v>
      </c>
      <c r="Y500">
        <v>0</v>
      </c>
      <c r="Z500">
        <v>1</v>
      </c>
      <c r="AA500">
        <v>0</v>
      </c>
      <c r="AB500">
        <v>0</v>
      </c>
      <c r="AC500">
        <v>1</v>
      </c>
    </row>
    <row r="501" spans="1:29" x14ac:dyDescent="0.35">
      <c r="A501">
        <v>1733</v>
      </c>
      <c r="B501">
        <v>1733</v>
      </c>
      <c r="C501">
        <v>25</v>
      </c>
      <c r="D501">
        <v>0</v>
      </c>
      <c r="E501">
        <v>88</v>
      </c>
      <c r="F501">
        <v>2</v>
      </c>
      <c r="G501">
        <v>1.8</v>
      </c>
      <c r="H501">
        <v>2</v>
      </c>
      <c r="I501">
        <v>319</v>
      </c>
      <c r="J501">
        <v>1</v>
      </c>
      <c r="K501">
        <v>1</v>
      </c>
      <c r="L501">
        <v>94566</v>
      </c>
      <c r="M501">
        <v>0</v>
      </c>
      <c r="N501">
        <v>0</v>
      </c>
      <c r="O501">
        <v>0</v>
      </c>
      <c r="Q501">
        <v>0</v>
      </c>
      <c r="R501">
        <v>0</v>
      </c>
      <c r="S501">
        <v>0</v>
      </c>
      <c r="T501">
        <v>5</v>
      </c>
      <c r="U501">
        <v>1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</row>
    <row r="502" spans="1:29" x14ac:dyDescent="0.35">
      <c r="A502">
        <v>1740</v>
      </c>
      <c r="B502">
        <v>1740</v>
      </c>
      <c r="C502">
        <v>33</v>
      </c>
      <c r="D502">
        <v>7</v>
      </c>
      <c r="E502">
        <v>83</v>
      </c>
      <c r="F502">
        <v>1</v>
      </c>
      <c r="G502">
        <v>2.5</v>
      </c>
      <c r="H502">
        <v>1</v>
      </c>
      <c r="I502">
        <v>0</v>
      </c>
      <c r="J502">
        <v>1</v>
      </c>
      <c r="K502">
        <v>1</v>
      </c>
      <c r="L502">
        <v>95211</v>
      </c>
      <c r="M502">
        <v>0</v>
      </c>
      <c r="N502">
        <v>1</v>
      </c>
      <c r="O502">
        <v>1</v>
      </c>
      <c r="Q502">
        <v>1</v>
      </c>
      <c r="R502">
        <v>0</v>
      </c>
      <c r="S502">
        <v>0</v>
      </c>
      <c r="T502">
        <v>5</v>
      </c>
      <c r="U502">
        <v>1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</row>
    <row r="503" spans="1:29" x14ac:dyDescent="0.35">
      <c r="A503">
        <v>1744</v>
      </c>
      <c r="B503">
        <v>1744</v>
      </c>
      <c r="C503">
        <v>50</v>
      </c>
      <c r="D503">
        <v>24</v>
      </c>
      <c r="E503">
        <v>32</v>
      </c>
      <c r="F503">
        <v>4</v>
      </c>
      <c r="G503">
        <v>1.8</v>
      </c>
      <c r="H503">
        <v>1</v>
      </c>
      <c r="I503">
        <v>109</v>
      </c>
      <c r="J503">
        <v>1</v>
      </c>
      <c r="K503">
        <v>0</v>
      </c>
      <c r="L503">
        <v>94701</v>
      </c>
      <c r="M503">
        <v>0</v>
      </c>
      <c r="N503">
        <v>0</v>
      </c>
      <c r="O503">
        <v>0</v>
      </c>
      <c r="Q503">
        <v>1</v>
      </c>
      <c r="R503">
        <v>0</v>
      </c>
      <c r="S503">
        <v>0</v>
      </c>
      <c r="T503">
        <v>5</v>
      </c>
      <c r="U503">
        <v>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</row>
    <row r="504" spans="1:29" x14ac:dyDescent="0.35">
      <c r="A504">
        <v>1747</v>
      </c>
      <c r="B504">
        <v>1747</v>
      </c>
      <c r="C504">
        <v>62</v>
      </c>
      <c r="D504">
        <v>36</v>
      </c>
      <c r="E504">
        <v>25</v>
      </c>
      <c r="F504">
        <v>3</v>
      </c>
      <c r="G504">
        <v>0.3</v>
      </c>
      <c r="H504">
        <v>3</v>
      </c>
      <c r="I504">
        <v>0</v>
      </c>
      <c r="J504">
        <v>1</v>
      </c>
      <c r="K504">
        <v>1</v>
      </c>
      <c r="L504">
        <v>90740</v>
      </c>
      <c r="M504">
        <v>0</v>
      </c>
      <c r="N504">
        <v>0</v>
      </c>
      <c r="O504">
        <v>0</v>
      </c>
      <c r="Q504">
        <v>0</v>
      </c>
      <c r="R504">
        <v>0</v>
      </c>
      <c r="S504">
        <v>0</v>
      </c>
      <c r="T504">
        <v>5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</row>
    <row r="505" spans="1:29" x14ac:dyDescent="0.35">
      <c r="A505">
        <v>1748</v>
      </c>
      <c r="B505">
        <v>1748</v>
      </c>
      <c r="C505">
        <v>29</v>
      </c>
      <c r="D505">
        <v>5</v>
      </c>
      <c r="E505">
        <v>21</v>
      </c>
      <c r="F505">
        <v>4</v>
      </c>
      <c r="G505">
        <v>0.4</v>
      </c>
      <c r="H505">
        <v>2</v>
      </c>
      <c r="I505">
        <v>89</v>
      </c>
      <c r="J505">
        <v>0</v>
      </c>
      <c r="K505">
        <v>1</v>
      </c>
      <c r="L505">
        <v>90717</v>
      </c>
      <c r="M505">
        <v>0</v>
      </c>
      <c r="N505">
        <v>0</v>
      </c>
      <c r="O505">
        <v>0</v>
      </c>
      <c r="Q505">
        <v>0</v>
      </c>
      <c r="R505">
        <v>0</v>
      </c>
      <c r="S505">
        <v>0</v>
      </c>
      <c r="T505">
        <v>5</v>
      </c>
      <c r="U505">
        <v>1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</row>
    <row r="506" spans="1:29" x14ac:dyDescent="0.35">
      <c r="A506">
        <v>1749</v>
      </c>
      <c r="B506">
        <v>1749</v>
      </c>
      <c r="C506">
        <v>49</v>
      </c>
      <c r="D506">
        <v>23</v>
      </c>
      <c r="E506">
        <v>79</v>
      </c>
      <c r="F506">
        <v>3</v>
      </c>
      <c r="G506">
        <v>0.7</v>
      </c>
      <c r="H506">
        <v>2</v>
      </c>
      <c r="I506">
        <v>151</v>
      </c>
      <c r="J506">
        <v>1</v>
      </c>
      <c r="K506">
        <v>0</v>
      </c>
      <c r="L506">
        <v>95819</v>
      </c>
      <c r="M506">
        <v>0</v>
      </c>
      <c r="N506">
        <v>0</v>
      </c>
      <c r="O506">
        <v>0</v>
      </c>
      <c r="Q506">
        <v>0</v>
      </c>
      <c r="R506">
        <v>0</v>
      </c>
      <c r="S506">
        <v>0</v>
      </c>
      <c r="T506">
        <v>5</v>
      </c>
      <c r="U506">
        <v>1</v>
      </c>
      <c r="V506">
        <v>0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</row>
    <row r="507" spans="1:29" x14ac:dyDescent="0.35">
      <c r="A507">
        <v>1754</v>
      </c>
      <c r="B507">
        <v>1754</v>
      </c>
      <c r="C507">
        <v>53</v>
      </c>
      <c r="D507">
        <v>29</v>
      </c>
      <c r="E507">
        <v>25</v>
      </c>
      <c r="F507">
        <v>2</v>
      </c>
      <c r="G507">
        <v>0.4</v>
      </c>
      <c r="H507">
        <v>1</v>
      </c>
      <c r="I507">
        <v>0</v>
      </c>
      <c r="J507">
        <v>1</v>
      </c>
      <c r="K507">
        <v>0</v>
      </c>
      <c r="L507">
        <v>92008</v>
      </c>
      <c r="M507">
        <v>0</v>
      </c>
      <c r="N507">
        <v>0</v>
      </c>
      <c r="O507">
        <v>0</v>
      </c>
      <c r="Q507">
        <v>1</v>
      </c>
      <c r="R507">
        <v>0</v>
      </c>
      <c r="S507">
        <v>0</v>
      </c>
      <c r="T507">
        <v>5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</row>
    <row r="508" spans="1:29" x14ac:dyDescent="0.35">
      <c r="A508">
        <v>1760</v>
      </c>
      <c r="B508">
        <v>1760</v>
      </c>
      <c r="C508">
        <v>31</v>
      </c>
      <c r="D508">
        <v>6</v>
      </c>
      <c r="E508">
        <v>44</v>
      </c>
      <c r="F508">
        <v>4</v>
      </c>
      <c r="G508">
        <v>0.8</v>
      </c>
      <c r="H508">
        <v>1</v>
      </c>
      <c r="I508">
        <v>0</v>
      </c>
      <c r="J508">
        <v>0</v>
      </c>
      <c r="K508">
        <v>0</v>
      </c>
      <c r="L508">
        <v>94720</v>
      </c>
      <c r="M508">
        <v>0</v>
      </c>
      <c r="N508">
        <v>0</v>
      </c>
      <c r="O508">
        <v>0</v>
      </c>
      <c r="Q508">
        <v>1</v>
      </c>
      <c r="R508">
        <v>0</v>
      </c>
      <c r="S508">
        <v>0</v>
      </c>
      <c r="T508">
        <v>5</v>
      </c>
      <c r="U508">
        <v>1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</row>
    <row r="509" spans="1:29" x14ac:dyDescent="0.35">
      <c r="A509">
        <v>1764</v>
      </c>
      <c r="B509">
        <v>1764</v>
      </c>
      <c r="C509">
        <v>48</v>
      </c>
      <c r="D509">
        <v>24</v>
      </c>
      <c r="E509">
        <v>134</v>
      </c>
      <c r="F509">
        <v>1</v>
      </c>
      <c r="G509">
        <v>5</v>
      </c>
      <c r="H509">
        <v>1</v>
      </c>
      <c r="I509">
        <v>0</v>
      </c>
      <c r="J509">
        <v>0</v>
      </c>
      <c r="K509">
        <v>1</v>
      </c>
      <c r="L509">
        <v>94105</v>
      </c>
      <c r="M509">
        <v>0</v>
      </c>
      <c r="N509">
        <v>0</v>
      </c>
      <c r="O509">
        <v>0</v>
      </c>
      <c r="Q509">
        <v>1</v>
      </c>
      <c r="R509">
        <v>0</v>
      </c>
      <c r="S509">
        <v>0</v>
      </c>
      <c r="T509">
        <v>22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</row>
    <row r="510" spans="1:29" x14ac:dyDescent="0.35">
      <c r="A510">
        <v>1766</v>
      </c>
      <c r="B510">
        <v>1766</v>
      </c>
      <c r="C510">
        <v>26</v>
      </c>
      <c r="D510">
        <v>0</v>
      </c>
      <c r="E510">
        <v>149</v>
      </c>
      <c r="F510">
        <v>2</v>
      </c>
      <c r="G510">
        <v>7.2</v>
      </c>
      <c r="H510">
        <v>1</v>
      </c>
      <c r="I510">
        <v>154</v>
      </c>
      <c r="J510">
        <v>0</v>
      </c>
      <c r="K510">
        <v>0</v>
      </c>
      <c r="L510">
        <v>95051</v>
      </c>
      <c r="M510">
        <v>0</v>
      </c>
      <c r="N510">
        <v>0</v>
      </c>
      <c r="O510">
        <v>0</v>
      </c>
      <c r="Q510">
        <v>1</v>
      </c>
      <c r="R510">
        <v>0</v>
      </c>
      <c r="S510">
        <v>0</v>
      </c>
      <c r="T510">
        <v>22</v>
      </c>
      <c r="U510">
        <v>1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</row>
    <row r="511" spans="1:29" x14ac:dyDescent="0.35">
      <c r="A511">
        <v>1773</v>
      </c>
      <c r="B511">
        <v>1773</v>
      </c>
      <c r="C511">
        <v>36</v>
      </c>
      <c r="D511">
        <v>11</v>
      </c>
      <c r="E511">
        <v>15</v>
      </c>
      <c r="F511">
        <v>2</v>
      </c>
      <c r="G511">
        <v>0.3</v>
      </c>
      <c r="H511">
        <v>2</v>
      </c>
      <c r="I511">
        <v>119</v>
      </c>
      <c r="J511">
        <v>0</v>
      </c>
      <c r="K511">
        <v>0</v>
      </c>
      <c r="L511">
        <v>94720</v>
      </c>
      <c r="M511">
        <v>0</v>
      </c>
      <c r="N511">
        <v>0</v>
      </c>
      <c r="O511">
        <v>0</v>
      </c>
      <c r="Q511">
        <v>0</v>
      </c>
      <c r="R511">
        <v>0</v>
      </c>
      <c r="S511">
        <v>0</v>
      </c>
      <c r="T511">
        <v>5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</row>
    <row r="512" spans="1:29" x14ac:dyDescent="0.35">
      <c r="A512">
        <v>1776</v>
      </c>
      <c r="B512">
        <v>1776</v>
      </c>
      <c r="C512">
        <v>46</v>
      </c>
      <c r="D512">
        <v>22</v>
      </c>
      <c r="E512">
        <v>73</v>
      </c>
      <c r="F512">
        <v>1</v>
      </c>
      <c r="G512">
        <v>0.8</v>
      </c>
      <c r="H512">
        <v>3</v>
      </c>
      <c r="I512">
        <v>117</v>
      </c>
      <c r="J512">
        <v>0</v>
      </c>
      <c r="K512">
        <v>0</v>
      </c>
      <c r="L512">
        <v>91360</v>
      </c>
      <c r="M512">
        <v>0</v>
      </c>
      <c r="N512">
        <v>0</v>
      </c>
      <c r="O512">
        <v>0</v>
      </c>
      <c r="Q512">
        <v>0</v>
      </c>
      <c r="R512">
        <v>0</v>
      </c>
      <c r="S512">
        <v>0</v>
      </c>
      <c r="T512">
        <v>5</v>
      </c>
      <c r="U512">
        <v>1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</row>
    <row r="513" spans="1:29" x14ac:dyDescent="0.35">
      <c r="A513">
        <v>1778</v>
      </c>
      <c r="B513">
        <v>1778</v>
      </c>
      <c r="C513">
        <v>52</v>
      </c>
      <c r="D513">
        <v>27</v>
      </c>
      <c r="E513">
        <v>34</v>
      </c>
      <c r="F513">
        <v>2</v>
      </c>
      <c r="G513">
        <v>0.7</v>
      </c>
      <c r="H513">
        <v>2</v>
      </c>
      <c r="I513">
        <v>114</v>
      </c>
      <c r="J513">
        <v>1</v>
      </c>
      <c r="K513">
        <v>1</v>
      </c>
      <c r="L513">
        <v>93117</v>
      </c>
      <c r="M513">
        <v>0</v>
      </c>
      <c r="N513">
        <v>0</v>
      </c>
      <c r="O513">
        <v>0</v>
      </c>
      <c r="Q513">
        <v>0</v>
      </c>
      <c r="R513">
        <v>0</v>
      </c>
      <c r="S513">
        <v>0</v>
      </c>
      <c r="T513">
        <v>5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</row>
    <row r="514" spans="1:29" x14ac:dyDescent="0.35">
      <c r="A514">
        <v>1779</v>
      </c>
      <c r="B514">
        <v>1779</v>
      </c>
      <c r="C514">
        <v>27</v>
      </c>
      <c r="D514">
        <v>3</v>
      </c>
      <c r="E514">
        <v>32</v>
      </c>
      <c r="F514">
        <v>3</v>
      </c>
      <c r="G514">
        <v>1</v>
      </c>
      <c r="H514">
        <v>2</v>
      </c>
      <c r="I514">
        <v>0</v>
      </c>
      <c r="J514">
        <v>0</v>
      </c>
      <c r="K514">
        <v>0</v>
      </c>
      <c r="L514">
        <v>94710</v>
      </c>
      <c r="M514">
        <v>0</v>
      </c>
      <c r="N514">
        <v>0</v>
      </c>
      <c r="O514">
        <v>0</v>
      </c>
      <c r="Q514">
        <v>0</v>
      </c>
      <c r="R514">
        <v>0</v>
      </c>
      <c r="S514">
        <v>0</v>
      </c>
      <c r="T514">
        <v>5</v>
      </c>
      <c r="U514">
        <v>1</v>
      </c>
      <c r="V514">
        <v>0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</row>
    <row r="515" spans="1:29" x14ac:dyDescent="0.35">
      <c r="A515">
        <v>1780</v>
      </c>
      <c r="B515">
        <v>1780</v>
      </c>
      <c r="C515">
        <v>34</v>
      </c>
      <c r="D515">
        <v>9</v>
      </c>
      <c r="E515">
        <v>68</v>
      </c>
      <c r="F515">
        <v>1</v>
      </c>
      <c r="G515">
        <v>2.8</v>
      </c>
      <c r="H515">
        <v>1</v>
      </c>
      <c r="I515">
        <v>0</v>
      </c>
      <c r="J515">
        <v>1</v>
      </c>
      <c r="K515">
        <v>0</v>
      </c>
      <c r="L515">
        <v>94720</v>
      </c>
      <c r="M515">
        <v>0</v>
      </c>
      <c r="N515">
        <v>0</v>
      </c>
      <c r="O515">
        <v>0</v>
      </c>
      <c r="Q515">
        <v>1</v>
      </c>
      <c r="R515">
        <v>0</v>
      </c>
      <c r="S515">
        <v>0</v>
      </c>
      <c r="T515">
        <v>5</v>
      </c>
      <c r="U515">
        <v>1</v>
      </c>
      <c r="V515">
        <v>0</v>
      </c>
      <c r="W515">
        <v>1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</row>
    <row r="516" spans="1:29" x14ac:dyDescent="0.35">
      <c r="A516">
        <v>1782</v>
      </c>
      <c r="B516">
        <v>1782</v>
      </c>
      <c r="C516">
        <v>52</v>
      </c>
      <c r="D516">
        <v>26</v>
      </c>
      <c r="E516">
        <v>19</v>
      </c>
      <c r="F516">
        <v>2</v>
      </c>
      <c r="G516">
        <v>0.7</v>
      </c>
      <c r="H516">
        <v>2</v>
      </c>
      <c r="I516">
        <v>0</v>
      </c>
      <c r="J516">
        <v>0</v>
      </c>
      <c r="K516">
        <v>1</v>
      </c>
      <c r="L516">
        <v>90650</v>
      </c>
      <c r="M516">
        <v>0</v>
      </c>
      <c r="N516">
        <v>0</v>
      </c>
      <c r="O516">
        <v>0</v>
      </c>
      <c r="Q516">
        <v>0</v>
      </c>
      <c r="R516">
        <v>0</v>
      </c>
      <c r="S516">
        <v>0</v>
      </c>
      <c r="T516">
        <v>5</v>
      </c>
      <c r="U516">
        <v>1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</row>
    <row r="517" spans="1:29" x14ac:dyDescent="0.35">
      <c r="A517">
        <v>1784</v>
      </c>
      <c r="B517">
        <v>1784</v>
      </c>
      <c r="C517">
        <v>53</v>
      </c>
      <c r="D517">
        <v>27</v>
      </c>
      <c r="E517">
        <v>192</v>
      </c>
      <c r="F517">
        <v>1</v>
      </c>
      <c r="G517">
        <v>1.7</v>
      </c>
      <c r="H517">
        <v>1</v>
      </c>
      <c r="I517">
        <v>601</v>
      </c>
      <c r="J517">
        <v>1</v>
      </c>
      <c r="K517">
        <v>0</v>
      </c>
      <c r="L517">
        <v>94720</v>
      </c>
      <c r="M517">
        <v>0</v>
      </c>
      <c r="N517">
        <v>0</v>
      </c>
      <c r="O517">
        <v>0</v>
      </c>
      <c r="Q517">
        <v>1</v>
      </c>
      <c r="R517">
        <v>0</v>
      </c>
      <c r="S517">
        <v>0</v>
      </c>
      <c r="T517">
        <v>22</v>
      </c>
      <c r="U517">
        <v>1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</row>
    <row r="518" spans="1:29" x14ac:dyDescent="0.35">
      <c r="A518">
        <v>1787</v>
      </c>
      <c r="B518">
        <v>1787</v>
      </c>
      <c r="C518">
        <v>35</v>
      </c>
      <c r="D518">
        <v>11</v>
      </c>
      <c r="E518">
        <v>34</v>
      </c>
      <c r="F518">
        <v>1</v>
      </c>
      <c r="G518">
        <v>1.5</v>
      </c>
      <c r="H518">
        <v>2</v>
      </c>
      <c r="I518">
        <v>0</v>
      </c>
      <c r="J518">
        <v>0</v>
      </c>
      <c r="K518">
        <v>0</v>
      </c>
      <c r="L518">
        <v>93117</v>
      </c>
      <c r="M518">
        <v>0</v>
      </c>
      <c r="N518">
        <v>0</v>
      </c>
      <c r="O518">
        <v>0</v>
      </c>
      <c r="Q518">
        <v>0</v>
      </c>
      <c r="R518">
        <v>0</v>
      </c>
      <c r="S518">
        <v>0</v>
      </c>
      <c r="T518">
        <v>5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</row>
    <row r="519" spans="1:29" x14ac:dyDescent="0.35">
      <c r="A519">
        <v>1790</v>
      </c>
      <c r="B519">
        <v>1790</v>
      </c>
      <c r="C519">
        <v>44</v>
      </c>
      <c r="D519">
        <v>20</v>
      </c>
      <c r="E519">
        <v>171</v>
      </c>
      <c r="F519">
        <v>4</v>
      </c>
      <c r="G519">
        <v>0.7</v>
      </c>
      <c r="H519">
        <v>1</v>
      </c>
      <c r="I519">
        <v>567</v>
      </c>
      <c r="J519">
        <v>1</v>
      </c>
      <c r="K519">
        <v>1</v>
      </c>
      <c r="L519">
        <v>91330</v>
      </c>
      <c r="M519">
        <v>1</v>
      </c>
      <c r="N519">
        <v>0</v>
      </c>
      <c r="O519">
        <v>1</v>
      </c>
      <c r="Q519">
        <v>1</v>
      </c>
      <c r="R519">
        <v>1</v>
      </c>
      <c r="S519">
        <v>1</v>
      </c>
      <c r="T519">
        <v>20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0</v>
      </c>
      <c r="AB519">
        <v>0</v>
      </c>
      <c r="AC519">
        <v>1</v>
      </c>
    </row>
    <row r="520" spans="1:29" x14ac:dyDescent="0.35">
      <c r="A520">
        <v>1792</v>
      </c>
      <c r="B520">
        <v>1792</v>
      </c>
      <c r="C520">
        <v>48</v>
      </c>
      <c r="D520">
        <v>22</v>
      </c>
      <c r="E520">
        <v>139</v>
      </c>
      <c r="F520">
        <v>1</v>
      </c>
      <c r="G520">
        <v>0</v>
      </c>
      <c r="H520">
        <v>1</v>
      </c>
      <c r="I520">
        <v>0</v>
      </c>
      <c r="J520">
        <v>1</v>
      </c>
      <c r="K520">
        <v>1</v>
      </c>
      <c r="L520">
        <v>94309</v>
      </c>
      <c r="M520">
        <v>0</v>
      </c>
      <c r="N520">
        <v>0</v>
      </c>
      <c r="O520">
        <v>1</v>
      </c>
      <c r="Q520">
        <v>1</v>
      </c>
      <c r="R520">
        <v>0</v>
      </c>
      <c r="S520">
        <v>0</v>
      </c>
      <c r="T520">
        <v>22</v>
      </c>
      <c r="U520">
        <v>1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</row>
    <row r="521" spans="1:29" x14ac:dyDescent="0.35">
      <c r="A521">
        <v>1799</v>
      </c>
      <c r="B521">
        <v>1799</v>
      </c>
      <c r="C521">
        <v>44</v>
      </c>
      <c r="D521">
        <v>20</v>
      </c>
      <c r="E521">
        <v>185</v>
      </c>
      <c r="F521">
        <v>3</v>
      </c>
      <c r="G521">
        <v>2.7</v>
      </c>
      <c r="H521">
        <v>1</v>
      </c>
      <c r="I521">
        <v>0</v>
      </c>
      <c r="J521">
        <v>1</v>
      </c>
      <c r="K521">
        <v>0</v>
      </c>
      <c r="L521">
        <v>94086</v>
      </c>
      <c r="M521">
        <v>1</v>
      </c>
      <c r="N521">
        <v>0</v>
      </c>
      <c r="O521">
        <v>0</v>
      </c>
      <c r="Q521">
        <v>1</v>
      </c>
      <c r="R521">
        <v>1</v>
      </c>
      <c r="S521">
        <v>1</v>
      </c>
      <c r="T521">
        <v>20</v>
      </c>
      <c r="U521">
        <v>0</v>
      </c>
      <c r="V521">
        <v>1</v>
      </c>
      <c r="W521">
        <v>0</v>
      </c>
      <c r="X521">
        <v>1</v>
      </c>
      <c r="Y521">
        <v>0</v>
      </c>
      <c r="Z521">
        <v>1</v>
      </c>
      <c r="AA521">
        <v>0</v>
      </c>
      <c r="AB521">
        <v>0</v>
      </c>
      <c r="AC521">
        <v>1</v>
      </c>
    </row>
    <row r="522" spans="1:29" x14ac:dyDescent="0.35">
      <c r="A522">
        <v>1801</v>
      </c>
      <c r="B522">
        <v>1801</v>
      </c>
      <c r="C522">
        <v>57</v>
      </c>
      <c r="D522">
        <v>33</v>
      </c>
      <c r="E522">
        <v>45</v>
      </c>
      <c r="F522">
        <v>3</v>
      </c>
      <c r="G522">
        <v>1.5</v>
      </c>
      <c r="H522">
        <v>1</v>
      </c>
      <c r="I522">
        <v>181</v>
      </c>
      <c r="J522">
        <v>1</v>
      </c>
      <c r="K522">
        <v>1</v>
      </c>
      <c r="L522">
        <v>94080</v>
      </c>
      <c r="M522">
        <v>0</v>
      </c>
      <c r="N522">
        <v>1</v>
      </c>
      <c r="O522">
        <v>1</v>
      </c>
      <c r="Q522">
        <v>1</v>
      </c>
      <c r="R522">
        <v>0</v>
      </c>
      <c r="S522">
        <v>0</v>
      </c>
      <c r="T522">
        <v>5</v>
      </c>
      <c r="U522">
        <v>1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</row>
    <row r="523" spans="1:29" x14ac:dyDescent="0.35">
      <c r="A523">
        <v>1802</v>
      </c>
      <c r="B523">
        <v>1802</v>
      </c>
      <c r="C523">
        <v>35</v>
      </c>
      <c r="D523">
        <v>10</v>
      </c>
      <c r="E523">
        <v>78</v>
      </c>
      <c r="F523">
        <v>1</v>
      </c>
      <c r="G523">
        <v>2.6</v>
      </c>
      <c r="H523">
        <v>2</v>
      </c>
      <c r="I523">
        <v>0</v>
      </c>
      <c r="J523">
        <v>0</v>
      </c>
      <c r="K523">
        <v>0</v>
      </c>
      <c r="L523">
        <v>92121</v>
      </c>
      <c r="M523">
        <v>0</v>
      </c>
      <c r="N523">
        <v>0</v>
      </c>
      <c r="O523">
        <v>0</v>
      </c>
      <c r="Q523">
        <v>0</v>
      </c>
      <c r="R523">
        <v>0</v>
      </c>
      <c r="S523">
        <v>0</v>
      </c>
      <c r="T523">
        <v>5</v>
      </c>
      <c r="U523">
        <v>1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</row>
    <row r="524" spans="1:29" x14ac:dyDescent="0.35">
      <c r="A524">
        <v>1803</v>
      </c>
      <c r="B524">
        <v>1803</v>
      </c>
      <c r="C524">
        <v>29</v>
      </c>
      <c r="D524">
        <v>3</v>
      </c>
      <c r="E524">
        <v>121</v>
      </c>
      <c r="F524">
        <v>2</v>
      </c>
      <c r="G524">
        <v>1.3</v>
      </c>
      <c r="H524">
        <v>1</v>
      </c>
      <c r="I524">
        <v>0</v>
      </c>
      <c r="J524">
        <v>0</v>
      </c>
      <c r="K524">
        <v>0</v>
      </c>
      <c r="L524">
        <v>92806</v>
      </c>
      <c r="M524">
        <v>0</v>
      </c>
      <c r="N524">
        <v>0</v>
      </c>
      <c r="O524">
        <v>0</v>
      </c>
      <c r="Q524">
        <v>1</v>
      </c>
      <c r="R524">
        <v>0</v>
      </c>
      <c r="S524">
        <v>0</v>
      </c>
      <c r="T524">
        <v>22</v>
      </c>
      <c r="U524">
        <v>1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</row>
    <row r="525" spans="1:29" x14ac:dyDescent="0.35">
      <c r="A525">
        <v>1807</v>
      </c>
      <c r="B525">
        <v>1807</v>
      </c>
      <c r="C525">
        <v>61</v>
      </c>
      <c r="D525">
        <v>36</v>
      </c>
      <c r="E525">
        <v>10</v>
      </c>
      <c r="F525">
        <v>1</v>
      </c>
      <c r="G525">
        <v>0.1</v>
      </c>
      <c r="H525">
        <v>1</v>
      </c>
      <c r="I525">
        <v>0</v>
      </c>
      <c r="J525">
        <v>0</v>
      </c>
      <c r="K525">
        <v>0</v>
      </c>
      <c r="L525">
        <v>90740</v>
      </c>
      <c r="M525">
        <v>0</v>
      </c>
      <c r="N525">
        <v>0</v>
      </c>
      <c r="O525">
        <v>0</v>
      </c>
      <c r="Q525">
        <v>1</v>
      </c>
      <c r="R525">
        <v>0</v>
      </c>
      <c r="S525">
        <v>0</v>
      </c>
      <c r="T525">
        <v>5</v>
      </c>
      <c r="U525">
        <v>1</v>
      </c>
      <c r="V525">
        <v>0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</row>
    <row r="526" spans="1:29" x14ac:dyDescent="0.35">
      <c r="A526">
        <v>1813</v>
      </c>
      <c r="B526">
        <v>1813</v>
      </c>
      <c r="C526">
        <v>43</v>
      </c>
      <c r="D526">
        <v>19</v>
      </c>
      <c r="E526">
        <v>128</v>
      </c>
      <c r="F526">
        <v>1</v>
      </c>
      <c r="G526">
        <v>4.7</v>
      </c>
      <c r="H526">
        <v>1</v>
      </c>
      <c r="I526">
        <v>0</v>
      </c>
      <c r="J526">
        <v>1</v>
      </c>
      <c r="K526">
        <v>0</v>
      </c>
      <c r="L526">
        <v>95054</v>
      </c>
      <c r="M526">
        <v>0</v>
      </c>
      <c r="N526">
        <v>0</v>
      </c>
      <c r="O526">
        <v>0</v>
      </c>
      <c r="Q526">
        <v>1</v>
      </c>
      <c r="R526">
        <v>0</v>
      </c>
      <c r="S526">
        <v>0</v>
      </c>
      <c r="T526">
        <v>22</v>
      </c>
      <c r="U526">
        <v>1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</row>
    <row r="527" spans="1:29" x14ac:dyDescent="0.35">
      <c r="A527">
        <v>1814</v>
      </c>
      <c r="B527">
        <v>1814</v>
      </c>
      <c r="C527">
        <v>61</v>
      </c>
      <c r="D527">
        <v>36</v>
      </c>
      <c r="E527">
        <v>55</v>
      </c>
      <c r="F527">
        <v>3</v>
      </c>
      <c r="G527">
        <v>0.9</v>
      </c>
      <c r="H527">
        <v>3</v>
      </c>
      <c r="I527">
        <v>0</v>
      </c>
      <c r="J527">
        <v>1</v>
      </c>
      <c r="K527">
        <v>1</v>
      </c>
      <c r="L527">
        <v>90033</v>
      </c>
      <c r="M527">
        <v>0</v>
      </c>
      <c r="N527">
        <v>0</v>
      </c>
      <c r="O527">
        <v>0</v>
      </c>
      <c r="Q527">
        <v>0</v>
      </c>
      <c r="R527">
        <v>0</v>
      </c>
      <c r="S527">
        <v>0</v>
      </c>
      <c r="T527">
        <v>5</v>
      </c>
      <c r="U527">
        <v>1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</row>
    <row r="528" spans="1:29" x14ac:dyDescent="0.35">
      <c r="A528">
        <v>1815</v>
      </c>
      <c r="B528">
        <v>1815</v>
      </c>
      <c r="C528">
        <v>48</v>
      </c>
      <c r="D528">
        <v>22</v>
      </c>
      <c r="E528">
        <v>79</v>
      </c>
      <c r="F528">
        <v>3</v>
      </c>
      <c r="G528">
        <v>0.7</v>
      </c>
      <c r="H528">
        <v>2</v>
      </c>
      <c r="I528">
        <v>0</v>
      </c>
      <c r="J528">
        <v>1</v>
      </c>
      <c r="K528">
        <v>0</v>
      </c>
      <c r="L528">
        <v>95747</v>
      </c>
      <c r="M528">
        <v>0</v>
      </c>
      <c r="N528">
        <v>0</v>
      </c>
      <c r="O528">
        <v>0</v>
      </c>
      <c r="Q528">
        <v>0</v>
      </c>
      <c r="R528">
        <v>0</v>
      </c>
      <c r="S528">
        <v>0</v>
      </c>
      <c r="T528">
        <v>5</v>
      </c>
      <c r="U528">
        <v>1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</row>
    <row r="529" spans="1:29" x14ac:dyDescent="0.35">
      <c r="A529">
        <v>1819</v>
      </c>
      <c r="B529">
        <v>1819</v>
      </c>
      <c r="C529">
        <v>45</v>
      </c>
      <c r="D529">
        <v>20</v>
      </c>
      <c r="E529">
        <v>62</v>
      </c>
      <c r="F529">
        <v>2</v>
      </c>
      <c r="G529">
        <v>2.2000000000000002</v>
      </c>
      <c r="H529">
        <v>3</v>
      </c>
      <c r="I529">
        <v>0</v>
      </c>
      <c r="J529">
        <v>1</v>
      </c>
      <c r="K529">
        <v>0</v>
      </c>
      <c r="L529">
        <v>95818</v>
      </c>
      <c r="M529">
        <v>0</v>
      </c>
      <c r="N529">
        <v>0</v>
      </c>
      <c r="O529">
        <v>0</v>
      </c>
      <c r="Q529">
        <v>0</v>
      </c>
      <c r="R529">
        <v>0</v>
      </c>
      <c r="S529">
        <v>0</v>
      </c>
      <c r="T529">
        <v>5</v>
      </c>
      <c r="U529">
        <v>1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</row>
    <row r="530" spans="1:29" x14ac:dyDescent="0.35">
      <c r="A530">
        <v>1821</v>
      </c>
      <c r="B530">
        <v>1821</v>
      </c>
      <c r="C530">
        <v>47</v>
      </c>
      <c r="D530">
        <v>22</v>
      </c>
      <c r="E530">
        <v>25</v>
      </c>
      <c r="F530">
        <v>1</v>
      </c>
      <c r="G530">
        <v>0.1</v>
      </c>
      <c r="H530">
        <v>1</v>
      </c>
      <c r="I530">
        <v>148</v>
      </c>
      <c r="J530">
        <v>1</v>
      </c>
      <c r="K530">
        <v>0</v>
      </c>
      <c r="L530">
        <v>90404</v>
      </c>
      <c r="M530">
        <v>0</v>
      </c>
      <c r="N530">
        <v>0</v>
      </c>
      <c r="O530">
        <v>0</v>
      </c>
      <c r="Q530">
        <v>1</v>
      </c>
      <c r="R530">
        <v>0</v>
      </c>
      <c r="S530">
        <v>0</v>
      </c>
      <c r="T530">
        <v>5</v>
      </c>
      <c r="U530">
        <v>1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</row>
    <row r="531" spans="1:29" x14ac:dyDescent="0.35">
      <c r="A531">
        <v>1822</v>
      </c>
      <c r="B531">
        <v>1822</v>
      </c>
      <c r="C531">
        <v>32</v>
      </c>
      <c r="D531">
        <v>7</v>
      </c>
      <c r="E531">
        <v>54</v>
      </c>
      <c r="F531">
        <v>4</v>
      </c>
      <c r="G531">
        <v>1.3</v>
      </c>
      <c r="H531">
        <v>1</v>
      </c>
      <c r="I531">
        <v>0</v>
      </c>
      <c r="J531">
        <v>1</v>
      </c>
      <c r="K531">
        <v>0</v>
      </c>
      <c r="L531">
        <v>96008</v>
      </c>
      <c r="M531">
        <v>0</v>
      </c>
      <c r="N531">
        <v>1</v>
      </c>
      <c r="O531">
        <v>0</v>
      </c>
      <c r="Q531">
        <v>1</v>
      </c>
      <c r="R531">
        <v>0</v>
      </c>
      <c r="S531">
        <v>0</v>
      </c>
      <c r="T531">
        <v>5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</row>
    <row r="532" spans="1:29" x14ac:dyDescent="0.35">
      <c r="A532">
        <v>1823</v>
      </c>
      <c r="B532">
        <v>1823</v>
      </c>
      <c r="C532">
        <v>48</v>
      </c>
      <c r="D532">
        <v>23</v>
      </c>
      <c r="E532">
        <v>112</v>
      </c>
      <c r="F532">
        <v>1</v>
      </c>
      <c r="G532">
        <v>5.0999999999999996</v>
      </c>
      <c r="H532">
        <v>2</v>
      </c>
      <c r="I532">
        <v>86</v>
      </c>
      <c r="J532">
        <v>1</v>
      </c>
      <c r="K532">
        <v>0</v>
      </c>
      <c r="L532">
        <v>93014</v>
      </c>
      <c r="M532">
        <v>1</v>
      </c>
      <c r="N532">
        <v>1</v>
      </c>
      <c r="O532">
        <v>1</v>
      </c>
      <c r="Q532">
        <v>0</v>
      </c>
      <c r="R532">
        <v>1</v>
      </c>
      <c r="S532">
        <v>1</v>
      </c>
      <c r="T532">
        <v>14</v>
      </c>
      <c r="U532">
        <v>0.24242424242423999</v>
      </c>
      <c r="V532">
        <v>0.75757575757575002</v>
      </c>
      <c r="W532">
        <v>0.24242424242423999</v>
      </c>
      <c r="X532">
        <v>0.75757575757575002</v>
      </c>
      <c r="Y532">
        <v>0.44444444444443998</v>
      </c>
      <c r="Z532">
        <v>0.55555555555555003</v>
      </c>
      <c r="AA532">
        <v>-0.24242424242423999</v>
      </c>
      <c r="AB532">
        <v>0.24242424242424901</v>
      </c>
      <c r="AC532">
        <v>1</v>
      </c>
    </row>
    <row r="533" spans="1:29" x14ac:dyDescent="0.35">
      <c r="A533">
        <v>1825</v>
      </c>
      <c r="B533">
        <v>1825</v>
      </c>
      <c r="C533">
        <v>49</v>
      </c>
      <c r="D533">
        <v>23</v>
      </c>
      <c r="E533">
        <v>194</v>
      </c>
      <c r="F533">
        <v>4</v>
      </c>
      <c r="G533">
        <v>8.3000000000000007</v>
      </c>
      <c r="H533">
        <v>2</v>
      </c>
      <c r="I533">
        <v>0</v>
      </c>
      <c r="J533">
        <v>0</v>
      </c>
      <c r="K533">
        <v>1</v>
      </c>
      <c r="L533">
        <v>94022</v>
      </c>
      <c r="M533">
        <v>1</v>
      </c>
      <c r="N533">
        <v>0</v>
      </c>
      <c r="O533">
        <v>0</v>
      </c>
      <c r="Q533">
        <v>0</v>
      </c>
      <c r="R533">
        <v>1</v>
      </c>
      <c r="S533">
        <v>1</v>
      </c>
      <c r="T533">
        <v>10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1</v>
      </c>
    </row>
    <row r="534" spans="1:29" x14ac:dyDescent="0.35">
      <c r="A534">
        <v>1835</v>
      </c>
      <c r="B534">
        <v>1835</v>
      </c>
      <c r="C534">
        <v>41</v>
      </c>
      <c r="D534">
        <v>16</v>
      </c>
      <c r="E534">
        <v>23</v>
      </c>
      <c r="F534">
        <v>2</v>
      </c>
      <c r="G534">
        <v>0.3</v>
      </c>
      <c r="H534">
        <v>2</v>
      </c>
      <c r="I534">
        <v>118</v>
      </c>
      <c r="J534">
        <v>0</v>
      </c>
      <c r="K534">
        <v>0</v>
      </c>
      <c r="L534">
        <v>94143</v>
      </c>
      <c r="M534">
        <v>0</v>
      </c>
      <c r="N534">
        <v>0</v>
      </c>
      <c r="O534">
        <v>0</v>
      </c>
      <c r="Q534">
        <v>0</v>
      </c>
      <c r="R534">
        <v>0</v>
      </c>
      <c r="S534">
        <v>0</v>
      </c>
      <c r="T534">
        <v>5</v>
      </c>
      <c r="U534">
        <v>1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</row>
    <row r="535" spans="1:29" x14ac:dyDescent="0.35">
      <c r="A535">
        <v>1839</v>
      </c>
      <c r="B535">
        <v>1839</v>
      </c>
      <c r="C535">
        <v>31</v>
      </c>
      <c r="D535">
        <v>7</v>
      </c>
      <c r="E535">
        <v>99</v>
      </c>
      <c r="F535">
        <v>1</v>
      </c>
      <c r="G535">
        <v>4</v>
      </c>
      <c r="H535">
        <v>1</v>
      </c>
      <c r="I535">
        <v>0</v>
      </c>
      <c r="J535">
        <v>1</v>
      </c>
      <c r="K535">
        <v>0</v>
      </c>
      <c r="L535">
        <v>94720</v>
      </c>
      <c r="M535">
        <v>0</v>
      </c>
      <c r="N535">
        <v>0</v>
      </c>
      <c r="O535">
        <v>0</v>
      </c>
      <c r="Q535">
        <v>1</v>
      </c>
      <c r="R535">
        <v>0</v>
      </c>
      <c r="S535">
        <v>0</v>
      </c>
      <c r="T535">
        <v>26</v>
      </c>
      <c r="U535">
        <v>0.5</v>
      </c>
      <c r="V535">
        <v>0.5</v>
      </c>
      <c r="W535">
        <v>0.5</v>
      </c>
      <c r="X535">
        <v>0.5</v>
      </c>
      <c r="Y535">
        <v>1</v>
      </c>
      <c r="Z535">
        <v>0</v>
      </c>
      <c r="AA535">
        <v>0.5</v>
      </c>
      <c r="AB535">
        <v>-0.5</v>
      </c>
      <c r="AC535">
        <v>0</v>
      </c>
    </row>
    <row r="536" spans="1:29" x14ac:dyDescent="0.35">
      <c r="A536">
        <v>1840</v>
      </c>
      <c r="B536">
        <v>1840</v>
      </c>
      <c r="C536">
        <v>28</v>
      </c>
      <c r="D536">
        <v>2</v>
      </c>
      <c r="E536">
        <v>43</v>
      </c>
      <c r="F536">
        <v>4</v>
      </c>
      <c r="G536">
        <v>1.3</v>
      </c>
      <c r="H536">
        <v>3</v>
      </c>
      <c r="I536">
        <v>0</v>
      </c>
      <c r="J536">
        <v>1</v>
      </c>
      <c r="K536">
        <v>1</v>
      </c>
      <c r="L536">
        <v>95616</v>
      </c>
      <c r="M536">
        <v>0</v>
      </c>
      <c r="N536">
        <v>0</v>
      </c>
      <c r="O536">
        <v>0</v>
      </c>
      <c r="Q536">
        <v>0</v>
      </c>
      <c r="R536">
        <v>0</v>
      </c>
      <c r="S536">
        <v>0</v>
      </c>
      <c r="T536">
        <v>5</v>
      </c>
      <c r="U536">
        <v>1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</row>
    <row r="537" spans="1:29" x14ac:dyDescent="0.35">
      <c r="A537">
        <v>1845</v>
      </c>
      <c r="B537">
        <v>1845</v>
      </c>
      <c r="C537">
        <v>65</v>
      </c>
      <c r="D537">
        <v>40</v>
      </c>
      <c r="E537">
        <v>21</v>
      </c>
      <c r="F537">
        <v>3</v>
      </c>
      <c r="G537">
        <v>0.1</v>
      </c>
      <c r="H537">
        <v>3</v>
      </c>
      <c r="I537">
        <v>0</v>
      </c>
      <c r="J537">
        <v>0</v>
      </c>
      <c r="K537">
        <v>1</v>
      </c>
      <c r="L537">
        <v>92717</v>
      </c>
      <c r="M537">
        <v>0</v>
      </c>
      <c r="N537">
        <v>0</v>
      </c>
      <c r="O537">
        <v>0</v>
      </c>
      <c r="Q537">
        <v>0</v>
      </c>
      <c r="R537">
        <v>0</v>
      </c>
      <c r="S537">
        <v>0</v>
      </c>
      <c r="T537">
        <v>5</v>
      </c>
      <c r="U537">
        <v>1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</row>
    <row r="538" spans="1:29" x14ac:dyDescent="0.35">
      <c r="A538">
        <v>1852</v>
      </c>
      <c r="B538">
        <v>1852</v>
      </c>
      <c r="C538">
        <v>34</v>
      </c>
      <c r="D538">
        <v>8</v>
      </c>
      <c r="E538">
        <v>60</v>
      </c>
      <c r="F538">
        <v>4</v>
      </c>
      <c r="G538">
        <v>2.2000000000000002</v>
      </c>
      <c r="H538">
        <v>2</v>
      </c>
      <c r="I538">
        <v>0</v>
      </c>
      <c r="J538">
        <v>0</v>
      </c>
      <c r="K538">
        <v>1</v>
      </c>
      <c r="L538">
        <v>94015</v>
      </c>
      <c r="M538">
        <v>0</v>
      </c>
      <c r="N538">
        <v>0</v>
      </c>
      <c r="O538">
        <v>0</v>
      </c>
      <c r="Q538">
        <v>0</v>
      </c>
      <c r="R538">
        <v>0</v>
      </c>
      <c r="S538">
        <v>0</v>
      </c>
      <c r="T538">
        <v>5</v>
      </c>
      <c r="U538">
        <v>1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</row>
    <row r="539" spans="1:29" x14ac:dyDescent="0.35">
      <c r="A539">
        <v>1863</v>
      </c>
      <c r="B539">
        <v>1863</v>
      </c>
      <c r="C539">
        <v>42</v>
      </c>
      <c r="D539">
        <v>17</v>
      </c>
      <c r="E539">
        <v>82</v>
      </c>
      <c r="F539">
        <v>1</v>
      </c>
      <c r="G539">
        <v>3.7</v>
      </c>
      <c r="H539">
        <v>3</v>
      </c>
      <c r="I539">
        <v>0</v>
      </c>
      <c r="J539">
        <v>1</v>
      </c>
      <c r="K539">
        <v>0</v>
      </c>
      <c r="L539">
        <v>95616</v>
      </c>
      <c r="M539">
        <v>0</v>
      </c>
      <c r="N539">
        <v>0</v>
      </c>
      <c r="O539">
        <v>0</v>
      </c>
      <c r="Q539">
        <v>0</v>
      </c>
      <c r="R539">
        <v>0</v>
      </c>
      <c r="S539">
        <v>0</v>
      </c>
      <c r="T539">
        <v>15</v>
      </c>
      <c r="U539">
        <v>0.91935483870967005</v>
      </c>
      <c r="V539">
        <v>8.0645161290319997E-2</v>
      </c>
      <c r="W539">
        <v>0.91935483870967005</v>
      </c>
      <c r="X539">
        <v>8.0645161290319997E-2</v>
      </c>
      <c r="Y539">
        <v>0.86</v>
      </c>
      <c r="Z539">
        <v>0.14000000000000001</v>
      </c>
      <c r="AA539">
        <v>8.0645161290329906E-2</v>
      </c>
      <c r="AB539">
        <v>-8.0645161290319997E-2</v>
      </c>
      <c r="AC539">
        <v>0</v>
      </c>
    </row>
    <row r="540" spans="1:29" x14ac:dyDescent="0.35">
      <c r="A540">
        <v>1864</v>
      </c>
      <c r="B540">
        <v>1864</v>
      </c>
      <c r="C540">
        <v>48</v>
      </c>
      <c r="D540">
        <v>22</v>
      </c>
      <c r="E540">
        <v>43</v>
      </c>
      <c r="F540">
        <v>1</v>
      </c>
      <c r="G540">
        <v>1.2</v>
      </c>
      <c r="H540">
        <v>2</v>
      </c>
      <c r="I540">
        <v>112</v>
      </c>
      <c r="J540">
        <v>1</v>
      </c>
      <c r="K540">
        <v>0</v>
      </c>
      <c r="L540">
        <v>94588</v>
      </c>
      <c r="M540">
        <v>0</v>
      </c>
      <c r="N540">
        <v>0</v>
      </c>
      <c r="O540">
        <v>0</v>
      </c>
      <c r="Q540">
        <v>0</v>
      </c>
      <c r="R540">
        <v>0</v>
      </c>
      <c r="S540">
        <v>0</v>
      </c>
      <c r="T540">
        <v>5</v>
      </c>
      <c r="U540">
        <v>1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</row>
    <row r="541" spans="1:29" x14ac:dyDescent="0.35">
      <c r="A541">
        <v>1871</v>
      </c>
      <c r="B541">
        <v>1871</v>
      </c>
      <c r="C541">
        <v>63</v>
      </c>
      <c r="D541">
        <v>37</v>
      </c>
      <c r="E541">
        <v>110</v>
      </c>
      <c r="F541">
        <v>1</v>
      </c>
      <c r="G541">
        <v>4.0999999999999996</v>
      </c>
      <c r="H541">
        <v>3</v>
      </c>
      <c r="I541">
        <v>0</v>
      </c>
      <c r="J541">
        <v>0</v>
      </c>
      <c r="K541">
        <v>0</v>
      </c>
      <c r="L541">
        <v>95032</v>
      </c>
      <c r="M541">
        <v>1</v>
      </c>
      <c r="N541">
        <v>0</v>
      </c>
      <c r="O541">
        <v>0</v>
      </c>
      <c r="Q541">
        <v>0</v>
      </c>
      <c r="R541">
        <v>1</v>
      </c>
      <c r="S541">
        <v>1</v>
      </c>
      <c r="T541">
        <v>14</v>
      </c>
      <c r="U541">
        <v>0.24242424242423999</v>
      </c>
      <c r="V541">
        <v>0.75757575757575002</v>
      </c>
      <c r="W541">
        <v>0.24242424242423999</v>
      </c>
      <c r="X541">
        <v>0.75757575757575002</v>
      </c>
      <c r="Y541">
        <v>0.44444444444443998</v>
      </c>
      <c r="Z541">
        <v>0.55555555555555003</v>
      </c>
      <c r="AA541">
        <v>-0.24242424242423999</v>
      </c>
      <c r="AB541">
        <v>0.24242424242424901</v>
      </c>
      <c r="AC541">
        <v>1</v>
      </c>
    </row>
    <row r="542" spans="1:29" x14ac:dyDescent="0.35">
      <c r="A542">
        <v>1872</v>
      </c>
      <c r="B542">
        <v>1872</v>
      </c>
      <c r="C542">
        <v>31</v>
      </c>
      <c r="D542">
        <v>5</v>
      </c>
      <c r="E542">
        <v>99</v>
      </c>
      <c r="F542">
        <v>4</v>
      </c>
      <c r="G542">
        <v>1.8</v>
      </c>
      <c r="H542">
        <v>2</v>
      </c>
      <c r="I542">
        <v>268</v>
      </c>
      <c r="J542">
        <v>0</v>
      </c>
      <c r="K542">
        <v>0</v>
      </c>
      <c r="L542">
        <v>94065</v>
      </c>
      <c r="M542">
        <v>0</v>
      </c>
      <c r="N542">
        <v>0</v>
      </c>
      <c r="O542">
        <v>0</v>
      </c>
      <c r="Q542">
        <v>0</v>
      </c>
      <c r="R542">
        <v>0</v>
      </c>
      <c r="S542">
        <v>0</v>
      </c>
      <c r="T542">
        <v>13</v>
      </c>
      <c r="U542">
        <v>0.88607594936708001</v>
      </c>
      <c r="V542">
        <v>0.11392405063291</v>
      </c>
      <c r="W542">
        <v>0.88607594936708001</v>
      </c>
      <c r="X542">
        <v>0.11392405063291</v>
      </c>
      <c r="Y542">
        <v>0.86842105263156999</v>
      </c>
      <c r="Z542">
        <v>0.13157894736841999</v>
      </c>
      <c r="AA542">
        <v>0.11392405063291999</v>
      </c>
      <c r="AB542">
        <v>-0.11392405063291</v>
      </c>
      <c r="AC542">
        <v>0</v>
      </c>
    </row>
    <row r="543" spans="1:29" x14ac:dyDescent="0.35">
      <c r="A543">
        <v>1874</v>
      </c>
      <c r="B543">
        <v>1874</v>
      </c>
      <c r="C543">
        <v>28</v>
      </c>
      <c r="D543">
        <v>4</v>
      </c>
      <c r="E543">
        <v>69</v>
      </c>
      <c r="F543">
        <v>3</v>
      </c>
      <c r="G543">
        <v>0.7</v>
      </c>
      <c r="H543">
        <v>2</v>
      </c>
      <c r="I543">
        <v>80</v>
      </c>
      <c r="J543">
        <v>1</v>
      </c>
      <c r="K543">
        <v>0</v>
      </c>
      <c r="L543">
        <v>94538</v>
      </c>
      <c r="M543">
        <v>0</v>
      </c>
      <c r="N543">
        <v>0</v>
      </c>
      <c r="O543">
        <v>0</v>
      </c>
      <c r="Q543">
        <v>0</v>
      </c>
      <c r="R543">
        <v>0</v>
      </c>
      <c r="S543">
        <v>0</v>
      </c>
      <c r="T543">
        <v>5</v>
      </c>
      <c r="U543">
        <v>1</v>
      </c>
      <c r="V543">
        <v>0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</row>
    <row r="544" spans="1:29" x14ac:dyDescent="0.35">
      <c r="A544">
        <v>1876</v>
      </c>
      <c r="B544">
        <v>1876</v>
      </c>
      <c r="C544">
        <v>27</v>
      </c>
      <c r="D544">
        <v>3</v>
      </c>
      <c r="E544">
        <v>112</v>
      </c>
      <c r="F544">
        <v>3</v>
      </c>
      <c r="G544">
        <v>2.5</v>
      </c>
      <c r="H544">
        <v>1</v>
      </c>
      <c r="I544">
        <v>389</v>
      </c>
      <c r="J544">
        <v>1</v>
      </c>
      <c r="K544">
        <v>0</v>
      </c>
      <c r="L544">
        <v>90066</v>
      </c>
      <c r="M544">
        <v>0</v>
      </c>
      <c r="N544">
        <v>1</v>
      </c>
      <c r="O544">
        <v>0</v>
      </c>
      <c r="Q544">
        <v>1</v>
      </c>
      <c r="R544">
        <v>0</v>
      </c>
      <c r="S544">
        <v>0</v>
      </c>
      <c r="T544">
        <v>24</v>
      </c>
      <c r="U544">
        <v>0.92857142857142005</v>
      </c>
      <c r="V544">
        <v>7.1428571428569995E-2</v>
      </c>
      <c r="W544">
        <v>0.92857142857142005</v>
      </c>
      <c r="X544">
        <v>7.1428571428569995E-2</v>
      </c>
      <c r="Y544">
        <v>0.85714285714284999</v>
      </c>
      <c r="Z544">
        <v>0.14285714285713999</v>
      </c>
      <c r="AA544">
        <v>7.1428571428579904E-2</v>
      </c>
      <c r="AB544">
        <v>-7.1428571428569995E-2</v>
      </c>
      <c r="AC544">
        <v>0</v>
      </c>
    </row>
    <row r="545" spans="1:29" x14ac:dyDescent="0.35">
      <c r="A545">
        <v>1880</v>
      </c>
      <c r="B545">
        <v>1880</v>
      </c>
      <c r="C545">
        <v>56</v>
      </c>
      <c r="D545">
        <v>30</v>
      </c>
      <c r="E545">
        <v>78</v>
      </c>
      <c r="F545">
        <v>3</v>
      </c>
      <c r="G545">
        <v>1.7</v>
      </c>
      <c r="H545">
        <v>2</v>
      </c>
      <c r="I545">
        <v>0</v>
      </c>
      <c r="J545">
        <v>0</v>
      </c>
      <c r="K545">
        <v>0</v>
      </c>
      <c r="L545">
        <v>90401</v>
      </c>
      <c r="M545">
        <v>0</v>
      </c>
      <c r="N545">
        <v>0</v>
      </c>
      <c r="O545">
        <v>0</v>
      </c>
      <c r="Q545">
        <v>0</v>
      </c>
      <c r="R545">
        <v>0</v>
      </c>
      <c r="S545">
        <v>0</v>
      </c>
      <c r="T545">
        <v>5</v>
      </c>
      <c r="U545">
        <v>1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</row>
    <row r="546" spans="1:29" x14ac:dyDescent="0.35">
      <c r="A546">
        <v>1881</v>
      </c>
      <c r="B546">
        <v>1881</v>
      </c>
      <c r="C546">
        <v>44</v>
      </c>
      <c r="D546">
        <v>19</v>
      </c>
      <c r="E546">
        <v>49</v>
      </c>
      <c r="F546">
        <v>4</v>
      </c>
      <c r="G546">
        <v>1.9</v>
      </c>
      <c r="H546">
        <v>3</v>
      </c>
      <c r="I546">
        <v>89</v>
      </c>
      <c r="J546">
        <v>1</v>
      </c>
      <c r="K546">
        <v>0</v>
      </c>
      <c r="L546">
        <v>94720</v>
      </c>
      <c r="M546">
        <v>0</v>
      </c>
      <c r="N546">
        <v>0</v>
      </c>
      <c r="O546">
        <v>0</v>
      </c>
      <c r="Q546">
        <v>0</v>
      </c>
      <c r="R546">
        <v>0</v>
      </c>
      <c r="S546">
        <v>0</v>
      </c>
      <c r="T546">
        <v>5</v>
      </c>
      <c r="U546">
        <v>1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</row>
    <row r="547" spans="1:29" x14ac:dyDescent="0.35">
      <c r="A547">
        <v>1885</v>
      </c>
      <c r="B547">
        <v>1885</v>
      </c>
      <c r="C547">
        <v>57</v>
      </c>
      <c r="D547">
        <v>33</v>
      </c>
      <c r="E547">
        <v>163</v>
      </c>
      <c r="F547">
        <v>1</v>
      </c>
      <c r="G547">
        <v>7.4</v>
      </c>
      <c r="H547">
        <v>1</v>
      </c>
      <c r="I547">
        <v>0</v>
      </c>
      <c r="J547">
        <v>1</v>
      </c>
      <c r="K547">
        <v>0</v>
      </c>
      <c r="L547">
        <v>94132</v>
      </c>
      <c r="M547">
        <v>0</v>
      </c>
      <c r="N547">
        <v>0</v>
      </c>
      <c r="O547">
        <v>0</v>
      </c>
      <c r="Q547">
        <v>1</v>
      </c>
      <c r="R547">
        <v>0</v>
      </c>
      <c r="S547">
        <v>0</v>
      </c>
      <c r="T547">
        <v>22</v>
      </c>
      <c r="U547">
        <v>1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</row>
    <row r="548" spans="1:29" x14ac:dyDescent="0.35">
      <c r="A548">
        <v>1888</v>
      </c>
      <c r="B548">
        <v>1888</v>
      </c>
      <c r="C548">
        <v>31</v>
      </c>
      <c r="D548">
        <v>7</v>
      </c>
      <c r="E548">
        <v>81</v>
      </c>
      <c r="F548">
        <v>2</v>
      </c>
      <c r="G548">
        <v>2</v>
      </c>
      <c r="H548">
        <v>2</v>
      </c>
      <c r="I548">
        <v>0</v>
      </c>
      <c r="J548">
        <v>1</v>
      </c>
      <c r="K548">
        <v>1</v>
      </c>
      <c r="L548">
        <v>95006</v>
      </c>
      <c r="M548">
        <v>0</v>
      </c>
      <c r="N548">
        <v>0</v>
      </c>
      <c r="O548">
        <v>1</v>
      </c>
      <c r="Q548">
        <v>0</v>
      </c>
      <c r="R548">
        <v>0</v>
      </c>
      <c r="S548">
        <v>0</v>
      </c>
      <c r="T548">
        <v>5</v>
      </c>
      <c r="U548">
        <v>1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</row>
    <row r="549" spans="1:29" x14ac:dyDescent="0.35">
      <c r="A549">
        <v>1892</v>
      </c>
      <c r="B549">
        <v>1892</v>
      </c>
      <c r="C549">
        <v>42</v>
      </c>
      <c r="D549">
        <v>18</v>
      </c>
      <c r="E549">
        <v>50</v>
      </c>
      <c r="F549">
        <v>4</v>
      </c>
      <c r="G549">
        <v>2.2000000000000002</v>
      </c>
      <c r="H549">
        <v>2</v>
      </c>
      <c r="I549">
        <v>0</v>
      </c>
      <c r="J549">
        <v>0</v>
      </c>
      <c r="K549">
        <v>0</v>
      </c>
      <c r="L549">
        <v>95126</v>
      </c>
      <c r="M549">
        <v>0</v>
      </c>
      <c r="N549">
        <v>0</v>
      </c>
      <c r="O549">
        <v>0</v>
      </c>
      <c r="Q549">
        <v>0</v>
      </c>
      <c r="R549">
        <v>0</v>
      </c>
      <c r="S549">
        <v>0</v>
      </c>
      <c r="T549">
        <v>5</v>
      </c>
      <c r="U549">
        <v>1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</row>
    <row r="550" spans="1:29" x14ac:dyDescent="0.35">
      <c r="A550">
        <v>1894</v>
      </c>
      <c r="B550">
        <v>1894</v>
      </c>
      <c r="C550">
        <v>49</v>
      </c>
      <c r="D550">
        <v>24</v>
      </c>
      <c r="E550">
        <v>13</v>
      </c>
      <c r="F550">
        <v>1</v>
      </c>
      <c r="G550">
        <v>0.4</v>
      </c>
      <c r="H550">
        <v>3</v>
      </c>
      <c r="I550">
        <v>101</v>
      </c>
      <c r="J550">
        <v>0</v>
      </c>
      <c r="K550">
        <v>0</v>
      </c>
      <c r="L550">
        <v>94608</v>
      </c>
      <c r="M550">
        <v>0</v>
      </c>
      <c r="N550">
        <v>1</v>
      </c>
      <c r="O550">
        <v>0</v>
      </c>
      <c r="Q550">
        <v>0</v>
      </c>
      <c r="R550">
        <v>0</v>
      </c>
      <c r="S550">
        <v>0</v>
      </c>
      <c r="T550">
        <v>5</v>
      </c>
      <c r="U550">
        <v>1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</row>
    <row r="551" spans="1:29" x14ac:dyDescent="0.35">
      <c r="A551">
        <v>1898</v>
      </c>
      <c r="B551">
        <v>1898</v>
      </c>
      <c r="C551">
        <v>54</v>
      </c>
      <c r="D551">
        <v>29</v>
      </c>
      <c r="E551">
        <v>98</v>
      </c>
      <c r="F551">
        <v>1</v>
      </c>
      <c r="G551">
        <v>0.1</v>
      </c>
      <c r="H551">
        <v>3</v>
      </c>
      <c r="I551">
        <v>0</v>
      </c>
      <c r="J551">
        <v>0</v>
      </c>
      <c r="K551">
        <v>0</v>
      </c>
      <c r="L551">
        <v>93065</v>
      </c>
      <c r="M551">
        <v>0</v>
      </c>
      <c r="N551">
        <v>0</v>
      </c>
      <c r="O551">
        <v>0</v>
      </c>
      <c r="Q551">
        <v>0</v>
      </c>
      <c r="R551">
        <v>0</v>
      </c>
      <c r="S551">
        <v>0</v>
      </c>
      <c r="T551">
        <v>5</v>
      </c>
      <c r="U551">
        <v>1</v>
      </c>
      <c r="V551">
        <v>0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</row>
    <row r="552" spans="1:29" x14ac:dyDescent="0.35">
      <c r="A552">
        <v>1900</v>
      </c>
      <c r="B552">
        <v>1900</v>
      </c>
      <c r="C552">
        <v>59</v>
      </c>
      <c r="D552">
        <v>33</v>
      </c>
      <c r="E552">
        <v>34</v>
      </c>
      <c r="F552">
        <v>1</v>
      </c>
      <c r="G552">
        <v>0.2</v>
      </c>
      <c r="H552">
        <v>1</v>
      </c>
      <c r="I552">
        <v>0</v>
      </c>
      <c r="J552">
        <v>1</v>
      </c>
      <c r="K552">
        <v>0</v>
      </c>
      <c r="L552">
        <v>94115</v>
      </c>
      <c r="M552">
        <v>0</v>
      </c>
      <c r="N552">
        <v>0</v>
      </c>
      <c r="O552">
        <v>0</v>
      </c>
      <c r="Q552">
        <v>1</v>
      </c>
      <c r="R552">
        <v>0</v>
      </c>
      <c r="S552">
        <v>0</v>
      </c>
      <c r="T552">
        <v>5</v>
      </c>
      <c r="U552">
        <v>1</v>
      </c>
      <c r="V552">
        <v>0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</row>
    <row r="553" spans="1:29" x14ac:dyDescent="0.35">
      <c r="A553">
        <v>1902</v>
      </c>
      <c r="B553">
        <v>1902</v>
      </c>
      <c r="C553">
        <v>43</v>
      </c>
      <c r="D553">
        <v>19</v>
      </c>
      <c r="E553">
        <v>201</v>
      </c>
      <c r="F553">
        <v>2</v>
      </c>
      <c r="G553">
        <v>6.67</v>
      </c>
      <c r="H553">
        <v>1</v>
      </c>
      <c r="I553">
        <v>0</v>
      </c>
      <c r="J553">
        <v>1</v>
      </c>
      <c r="K553">
        <v>0</v>
      </c>
      <c r="L553">
        <v>94305</v>
      </c>
      <c r="M553">
        <v>0</v>
      </c>
      <c r="N553">
        <v>1</v>
      </c>
      <c r="O553">
        <v>0</v>
      </c>
      <c r="Q553">
        <v>1</v>
      </c>
      <c r="R553">
        <v>0</v>
      </c>
      <c r="S553">
        <v>0</v>
      </c>
      <c r="T553">
        <v>22</v>
      </c>
      <c r="U553">
        <v>1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</row>
    <row r="554" spans="1:29" x14ac:dyDescent="0.35">
      <c r="A554">
        <v>1904</v>
      </c>
      <c r="B554">
        <v>1904</v>
      </c>
      <c r="C554">
        <v>56</v>
      </c>
      <c r="D554">
        <v>26</v>
      </c>
      <c r="E554">
        <v>50</v>
      </c>
      <c r="F554">
        <v>3</v>
      </c>
      <c r="G554">
        <v>1.4</v>
      </c>
      <c r="H554">
        <v>3</v>
      </c>
      <c r="I554">
        <v>0</v>
      </c>
      <c r="J554">
        <v>0</v>
      </c>
      <c r="K554">
        <v>0</v>
      </c>
      <c r="L554">
        <v>90095</v>
      </c>
      <c r="M554">
        <v>0</v>
      </c>
      <c r="N554">
        <v>0</v>
      </c>
      <c r="O554">
        <v>0</v>
      </c>
      <c r="Q554">
        <v>0</v>
      </c>
      <c r="R554">
        <v>0</v>
      </c>
      <c r="S554">
        <v>0</v>
      </c>
      <c r="T554">
        <v>5</v>
      </c>
      <c r="U554">
        <v>1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</row>
    <row r="555" spans="1:29" x14ac:dyDescent="0.35">
      <c r="A555">
        <v>1905</v>
      </c>
      <c r="B555">
        <v>1905</v>
      </c>
      <c r="C555">
        <v>38</v>
      </c>
      <c r="D555">
        <v>14</v>
      </c>
      <c r="E555">
        <v>91</v>
      </c>
      <c r="F555">
        <v>2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95060</v>
      </c>
      <c r="M555">
        <v>0</v>
      </c>
      <c r="N555">
        <v>0</v>
      </c>
      <c r="O555">
        <v>0</v>
      </c>
      <c r="Q555">
        <v>1</v>
      </c>
      <c r="R555">
        <v>0</v>
      </c>
      <c r="S555">
        <v>0</v>
      </c>
      <c r="T555">
        <v>5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</row>
    <row r="556" spans="1:29" x14ac:dyDescent="0.35">
      <c r="A556">
        <v>1906</v>
      </c>
      <c r="B556">
        <v>1906</v>
      </c>
      <c r="C556">
        <v>25</v>
      </c>
      <c r="D556">
        <v>-1</v>
      </c>
      <c r="E556">
        <v>112</v>
      </c>
      <c r="F556">
        <v>2</v>
      </c>
      <c r="G556">
        <v>2</v>
      </c>
      <c r="H556">
        <v>1</v>
      </c>
      <c r="I556">
        <v>241</v>
      </c>
      <c r="J556">
        <v>1</v>
      </c>
      <c r="K556">
        <v>0</v>
      </c>
      <c r="L556">
        <v>92507</v>
      </c>
      <c r="M556">
        <v>0</v>
      </c>
      <c r="N556">
        <v>0</v>
      </c>
      <c r="O556">
        <v>0</v>
      </c>
      <c r="Q556">
        <v>1</v>
      </c>
      <c r="R556">
        <v>0</v>
      </c>
      <c r="S556">
        <v>0</v>
      </c>
      <c r="T556">
        <v>22</v>
      </c>
      <c r="U556">
        <v>1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</row>
    <row r="557" spans="1:29" x14ac:dyDescent="0.35">
      <c r="A557">
        <v>1907</v>
      </c>
      <c r="B557">
        <v>1907</v>
      </c>
      <c r="C557">
        <v>42</v>
      </c>
      <c r="D557">
        <v>17</v>
      </c>
      <c r="E557">
        <v>98</v>
      </c>
      <c r="F557">
        <v>2</v>
      </c>
      <c r="G557">
        <v>0.4</v>
      </c>
      <c r="H557">
        <v>1</v>
      </c>
      <c r="I557">
        <v>275</v>
      </c>
      <c r="J557">
        <v>1</v>
      </c>
      <c r="K557">
        <v>0</v>
      </c>
      <c r="L557">
        <v>92866</v>
      </c>
      <c r="M557">
        <v>0</v>
      </c>
      <c r="N557">
        <v>0</v>
      </c>
      <c r="O557">
        <v>0</v>
      </c>
      <c r="Q557">
        <v>1</v>
      </c>
      <c r="R557">
        <v>0</v>
      </c>
      <c r="S557">
        <v>0</v>
      </c>
      <c r="T557">
        <v>5</v>
      </c>
      <c r="U557">
        <v>1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</row>
    <row r="558" spans="1:29" x14ac:dyDescent="0.35">
      <c r="A558">
        <v>1910</v>
      </c>
      <c r="B558">
        <v>1910</v>
      </c>
      <c r="C558">
        <v>56</v>
      </c>
      <c r="D558">
        <v>30</v>
      </c>
      <c r="E558">
        <v>101</v>
      </c>
      <c r="F558">
        <v>3</v>
      </c>
      <c r="G558">
        <v>1.7</v>
      </c>
      <c r="H558">
        <v>2</v>
      </c>
      <c r="I558">
        <v>0</v>
      </c>
      <c r="J558">
        <v>0</v>
      </c>
      <c r="K558">
        <v>1</v>
      </c>
      <c r="L558">
        <v>90048</v>
      </c>
      <c r="M558">
        <v>0</v>
      </c>
      <c r="N558">
        <v>0</v>
      </c>
      <c r="O558">
        <v>0</v>
      </c>
      <c r="Q558">
        <v>0</v>
      </c>
      <c r="R558">
        <v>0</v>
      </c>
      <c r="S558">
        <v>0</v>
      </c>
      <c r="T558">
        <v>13</v>
      </c>
      <c r="U558">
        <v>0.88607594936708001</v>
      </c>
      <c r="V558">
        <v>0.11392405063291</v>
      </c>
      <c r="W558">
        <v>0.88607594936708001</v>
      </c>
      <c r="X558">
        <v>0.11392405063291</v>
      </c>
      <c r="Y558">
        <v>0.86842105263156999</v>
      </c>
      <c r="Z558">
        <v>0.13157894736841999</v>
      </c>
      <c r="AA558">
        <v>0.11392405063291999</v>
      </c>
      <c r="AB558">
        <v>-0.11392405063291</v>
      </c>
      <c r="AC558">
        <v>0</v>
      </c>
    </row>
    <row r="559" spans="1:29" x14ac:dyDescent="0.35">
      <c r="A559">
        <v>1915</v>
      </c>
      <c r="B559">
        <v>1915</v>
      </c>
      <c r="C559">
        <v>48</v>
      </c>
      <c r="D559">
        <v>24</v>
      </c>
      <c r="E559">
        <v>54</v>
      </c>
      <c r="F559">
        <v>1</v>
      </c>
      <c r="G559">
        <v>1.6</v>
      </c>
      <c r="H559">
        <v>2</v>
      </c>
      <c r="I559">
        <v>186</v>
      </c>
      <c r="J559">
        <v>1</v>
      </c>
      <c r="K559">
        <v>0</v>
      </c>
      <c r="L559">
        <v>95616</v>
      </c>
      <c r="M559">
        <v>0</v>
      </c>
      <c r="N559">
        <v>0</v>
      </c>
      <c r="O559">
        <v>0</v>
      </c>
      <c r="Q559">
        <v>0</v>
      </c>
      <c r="R559">
        <v>0</v>
      </c>
      <c r="S559">
        <v>0</v>
      </c>
      <c r="T559">
        <v>5</v>
      </c>
      <c r="U559">
        <v>1</v>
      </c>
      <c r="V559">
        <v>0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</row>
    <row r="560" spans="1:29" x14ac:dyDescent="0.35">
      <c r="A560">
        <v>1918</v>
      </c>
      <c r="B560">
        <v>1918</v>
      </c>
      <c r="C560">
        <v>62</v>
      </c>
      <c r="D560">
        <v>32</v>
      </c>
      <c r="E560">
        <v>53</v>
      </c>
      <c r="F560">
        <v>4</v>
      </c>
      <c r="G560">
        <v>1.67</v>
      </c>
      <c r="H560">
        <v>3</v>
      </c>
      <c r="I560">
        <v>142</v>
      </c>
      <c r="J560">
        <v>0</v>
      </c>
      <c r="K560">
        <v>0</v>
      </c>
      <c r="L560">
        <v>96001</v>
      </c>
      <c r="M560">
        <v>0</v>
      </c>
      <c r="N560">
        <v>0</v>
      </c>
      <c r="O560">
        <v>0</v>
      </c>
      <c r="Q560">
        <v>0</v>
      </c>
      <c r="R560">
        <v>0</v>
      </c>
      <c r="S560">
        <v>0</v>
      </c>
      <c r="T560">
        <v>5</v>
      </c>
      <c r="U560">
        <v>1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</row>
    <row r="561" spans="1:29" x14ac:dyDescent="0.35">
      <c r="A561">
        <v>1921</v>
      </c>
      <c r="B561">
        <v>1921</v>
      </c>
      <c r="C561">
        <v>54</v>
      </c>
      <c r="D561">
        <v>28</v>
      </c>
      <c r="E561">
        <v>31</v>
      </c>
      <c r="F561">
        <v>2</v>
      </c>
      <c r="G561">
        <v>0.4</v>
      </c>
      <c r="H561">
        <v>3</v>
      </c>
      <c r="I561">
        <v>0</v>
      </c>
      <c r="J561">
        <v>0</v>
      </c>
      <c r="K561">
        <v>0</v>
      </c>
      <c r="L561">
        <v>92130</v>
      </c>
      <c r="M561">
        <v>0</v>
      </c>
      <c r="N561">
        <v>0</v>
      </c>
      <c r="O561">
        <v>0</v>
      </c>
      <c r="Q561">
        <v>0</v>
      </c>
      <c r="R561">
        <v>0</v>
      </c>
      <c r="S561">
        <v>0</v>
      </c>
      <c r="T561">
        <v>5</v>
      </c>
      <c r="U561">
        <v>1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</row>
    <row r="562" spans="1:29" x14ac:dyDescent="0.35">
      <c r="A562">
        <v>1923</v>
      </c>
      <c r="B562">
        <v>1923</v>
      </c>
      <c r="C562">
        <v>39</v>
      </c>
      <c r="D562">
        <v>15</v>
      </c>
      <c r="E562">
        <v>25</v>
      </c>
      <c r="F562">
        <v>1</v>
      </c>
      <c r="G562">
        <v>1.4</v>
      </c>
      <c r="H562">
        <v>3</v>
      </c>
      <c r="I562">
        <v>0</v>
      </c>
      <c r="J562">
        <v>0</v>
      </c>
      <c r="K562">
        <v>0</v>
      </c>
      <c r="L562">
        <v>93023</v>
      </c>
      <c r="M562">
        <v>0</v>
      </c>
      <c r="N562">
        <v>0</v>
      </c>
      <c r="O562">
        <v>0</v>
      </c>
      <c r="Q562">
        <v>0</v>
      </c>
      <c r="R562">
        <v>0</v>
      </c>
      <c r="S562">
        <v>0</v>
      </c>
      <c r="T562">
        <v>5</v>
      </c>
      <c r="U562">
        <v>1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</row>
    <row r="563" spans="1:29" x14ac:dyDescent="0.35">
      <c r="A563">
        <v>1927</v>
      </c>
      <c r="B563">
        <v>1927</v>
      </c>
      <c r="C563">
        <v>30</v>
      </c>
      <c r="D563">
        <v>6</v>
      </c>
      <c r="E563">
        <v>41</v>
      </c>
      <c r="F563">
        <v>1</v>
      </c>
      <c r="G563">
        <v>2.4</v>
      </c>
      <c r="H563">
        <v>2</v>
      </c>
      <c r="I563">
        <v>0</v>
      </c>
      <c r="J563">
        <v>1</v>
      </c>
      <c r="K563">
        <v>0</v>
      </c>
      <c r="L563">
        <v>90095</v>
      </c>
      <c r="M563">
        <v>0</v>
      </c>
      <c r="N563">
        <v>0</v>
      </c>
      <c r="O563">
        <v>0</v>
      </c>
      <c r="Q563">
        <v>0</v>
      </c>
      <c r="R563">
        <v>0</v>
      </c>
      <c r="S563">
        <v>0</v>
      </c>
      <c r="T563">
        <v>5</v>
      </c>
      <c r="U563">
        <v>1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</row>
    <row r="564" spans="1:29" x14ac:dyDescent="0.35">
      <c r="A564">
        <v>1929</v>
      </c>
      <c r="B564">
        <v>1929</v>
      </c>
      <c r="C564">
        <v>58</v>
      </c>
      <c r="D564">
        <v>34</v>
      </c>
      <c r="E564">
        <v>35</v>
      </c>
      <c r="F564">
        <v>1</v>
      </c>
      <c r="G564">
        <v>1.2</v>
      </c>
      <c r="H564">
        <v>3</v>
      </c>
      <c r="I564">
        <v>0</v>
      </c>
      <c r="J564">
        <v>1</v>
      </c>
      <c r="K564">
        <v>0</v>
      </c>
      <c r="L564">
        <v>94122</v>
      </c>
      <c r="M564">
        <v>0</v>
      </c>
      <c r="N564">
        <v>0</v>
      </c>
      <c r="O564">
        <v>0</v>
      </c>
      <c r="Q564">
        <v>0</v>
      </c>
      <c r="R564">
        <v>0</v>
      </c>
      <c r="S564">
        <v>0</v>
      </c>
      <c r="T564">
        <v>5</v>
      </c>
      <c r="U564">
        <v>1</v>
      </c>
      <c r="V564">
        <v>0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</row>
    <row r="565" spans="1:29" x14ac:dyDescent="0.35">
      <c r="A565">
        <v>1930</v>
      </c>
      <c r="B565">
        <v>1930</v>
      </c>
      <c r="C565">
        <v>44</v>
      </c>
      <c r="D565">
        <v>19</v>
      </c>
      <c r="E565">
        <v>30</v>
      </c>
      <c r="F565">
        <v>1</v>
      </c>
      <c r="G565">
        <v>0.6</v>
      </c>
      <c r="H565">
        <v>3</v>
      </c>
      <c r="I565">
        <v>0</v>
      </c>
      <c r="J565">
        <v>1</v>
      </c>
      <c r="K565">
        <v>0</v>
      </c>
      <c r="L565">
        <v>94501</v>
      </c>
      <c r="M565">
        <v>0</v>
      </c>
      <c r="N565">
        <v>0</v>
      </c>
      <c r="O565">
        <v>0</v>
      </c>
      <c r="Q565">
        <v>0</v>
      </c>
      <c r="R565">
        <v>0</v>
      </c>
      <c r="S565">
        <v>0</v>
      </c>
      <c r="T565">
        <v>5</v>
      </c>
      <c r="U565">
        <v>1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</row>
    <row r="566" spans="1:29" x14ac:dyDescent="0.35">
      <c r="A566">
        <v>1931</v>
      </c>
      <c r="B566">
        <v>1931</v>
      </c>
      <c r="C566">
        <v>56</v>
      </c>
      <c r="D566">
        <v>29</v>
      </c>
      <c r="E566">
        <v>51</v>
      </c>
      <c r="F566">
        <v>3</v>
      </c>
      <c r="G566">
        <v>1</v>
      </c>
      <c r="H566">
        <v>2</v>
      </c>
      <c r="I566">
        <v>0</v>
      </c>
      <c r="J566">
        <v>1</v>
      </c>
      <c r="K566">
        <v>0</v>
      </c>
      <c r="L566">
        <v>94080</v>
      </c>
      <c r="M566">
        <v>0</v>
      </c>
      <c r="N566">
        <v>0</v>
      </c>
      <c r="O566">
        <v>0</v>
      </c>
      <c r="Q566">
        <v>0</v>
      </c>
      <c r="R566">
        <v>0</v>
      </c>
      <c r="S566">
        <v>0</v>
      </c>
      <c r="T566">
        <v>5</v>
      </c>
      <c r="U566">
        <v>1</v>
      </c>
      <c r="V566">
        <v>0</v>
      </c>
      <c r="W566">
        <v>1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</row>
    <row r="567" spans="1:29" x14ac:dyDescent="0.35">
      <c r="A567">
        <v>1934</v>
      </c>
      <c r="B567">
        <v>1934</v>
      </c>
      <c r="C567">
        <v>63</v>
      </c>
      <c r="D567">
        <v>39</v>
      </c>
      <c r="E567">
        <v>40</v>
      </c>
      <c r="F567">
        <v>4</v>
      </c>
      <c r="G567">
        <v>1.2</v>
      </c>
      <c r="H567">
        <v>2</v>
      </c>
      <c r="I567">
        <v>0</v>
      </c>
      <c r="J567">
        <v>1</v>
      </c>
      <c r="K567">
        <v>0</v>
      </c>
      <c r="L567">
        <v>91311</v>
      </c>
      <c r="M567">
        <v>0</v>
      </c>
      <c r="N567">
        <v>0</v>
      </c>
      <c r="O567">
        <v>0</v>
      </c>
      <c r="Q567">
        <v>0</v>
      </c>
      <c r="R567">
        <v>0</v>
      </c>
      <c r="S567">
        <v>0</v>
      </c>
      <c r="T567">
        <v>5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</row>
    <row r="568" spans="1:29" x14ac:dyDescent="0.35">
      <c r="A568">
        <v>1936</v>
      </c>
      <c r="B568">
        <v>1936</v>
      </c>
      <c r="C568">
        <v>34</v>
      </c>
      <c r="D568">
        <v>9</v>
      </c>
      <c r="E568">
        <v>191</v>
      </c>
      <c r="F568">
        <v>1</v>
      </c>
      <c r="G568">
        <v>4.8</v>
      </c>
      <c r="H568">
        <v>3</v>
      </c>
      <c r="I568">
        <v>0</v>
      </c>
      <c r="J568">
        <v>1</v>
      </c>
      <c r="K568">
        <v>1</v>
      </c>
      <c r="L568">
        <v>94086</v>
      </c>
      <c r="M568">
        <v>1</v>
      </c>
      <c r="N568">
        <v>0</v>
      </c>
      <c r="O568">
        <v>1</v>
      </c>
      <c r="Q568">
        <v>0</v>
      </c>
      <c r="R568">
        <v>1</v>
      </c>
      <c r="S568">
        <v>1</v>
      </c>
      <c r="T568">
        <v>10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1</v>
      </c>
    </row>
    <row r="569" spans="1:29" x14ac:dyDescent="0.35">
      <c r="A569">
        <v>1942</v>
      </c>
      <c r="B569">
        <v>1942</v>
      </c>
      <c r="C569">
        <v>43</v>
      </c>
      <c r="D569">
        <v>19</v>
      </c>
      <c r="E569">
        <v>58</v>
      </c>
      <c r="F569">
        <v>2</v>
      </c>
      <c r="G569">
        <v>3.2</v>
      </c>
      <c r="H569">
        <v>1</v>
      </c>
      <c r="I569">
        <v>0</v>
      </c>
      <c r="J569">
        <v>1</v>
      </c>
      <c r="K569">
        <v>0</v>
      </c>
      <c r="L569">
        <v>95307</v>
      </c>
      <c r="M569">
        <v>0</v>
      </c>
      <c r="N569">
        <v>0</v>
      </c>
      <c r="O569">
        <v>0</v>
      </c>
      <c r="Q569">
        <v>1</v>
      </c>
      <c r="R569">
        <v>0</v>
      </c>
      <c r="S569">
        <v>0</v>
      </c>
      <c r="T569">
        <v>15</v>
      </c>
      <c r="U569">
        <v>0.91935483870967005</v>
      </c>
      <c r="V569">
        <v>8.0645161290319997E-2</v>
      </c>
      <c r="W569">
        <v>0.91935483870967005</v>
      </c>
      <c r="X569">
        <v>8.0645161290319997E-2</v>
      </c>
      <c r="Y569">
        <v>0.86</v>
      </c>
      <c r="Z569">
        <v>0.14000000000000001</v>
      </c>
      <c r="AA569">
        <v>8.0645161290329906E-2</v>
      </c>
      <c r="AB569">
        <v>-8.0645161290319997E-2</v>
      </c>
      <c r="AC569">
        <v>0</v>
      </c>
    </row>
    <row r="570" spans="1:29" x14ac:dyDescent="0.35">
      <c r="A570">
        <v>1943</v>
      </c>
      <c r="B570">
        <v>1943</v>
      </c>
      <c r="C570">
        <v>61</v>
      </c>
      <c r="D570">
        <v>36</v>
      </c>
      <c r="E570">
        <v>29</v>
      </c>
      <c r="F570">
        <v>2</v>
      </c>
      <c r="G570">
        <v>0.5</v>
      </c>
      <c r="H570">
        <v>2</v>
      </c>
      <c r="I570">
        <v>0</v>
      </c>
      <c r="J570">
        <v>1</v>
      </c>
      <c r="K570">
        <v>0</v>
      </c>
      <c r="L570">
        <v>90210</v>
      </c>
      <c r="M570">
        <v>0</v>
      </c>
      <c r="N570">
        <v>0</v>
      </c>
      <c r="O570">
        <v>0</v>
      </c>
      <c r="Q570">
        <v>0</v>
      </c>
      <c r="R570">
        <v>0</v>
      </c>
      <c r="S570">
        <v>0</v>
      </c>
      <c r="T570">
        <v>5</v>
      </c>
      <c r="U570">
        <v>1</v>
      </c>
      <c r="V570">
        <v>0</v>
      </c>
      <c r="W570">
        <v>1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</row>
    <row r="571" spans="1:29" x14ac:dyDescent="0.35">
      <c r="A571">
        <v>1947</v>
      </c>
      <c r="B571">
        <v>1947</v>
      </c>
      <c r="C571">
        <v>53</v>
      </c>
      <c r="D571">
        <v>23</v>
      </c>
      <c r="E571">
        <v>58</v>
      </c>
      <c r="F571">
        <v>4</v>
      </c>
      <c r="G571">
        <v>2</v>
      </c>
      <c r="H571">
        <v>3</v>
      </c>
      <c r="I571">
        <v>0</v>
      </c>
      <c r="J571">
        <v>1</v>
      </c>
      <c r="K571">
        <v>1</v>
      </c>
      <c r="L571">
        <v>94720</v>
      </c>
      <c r="M571">
        <v>0</v>
      </c>
      <c r="N571">
        <v>0</v>
      </c>
      <c r="O571">
        <v>0</v>
      </c>
      <c r="Q571">
        <v>0</v>
      </c>
      <c r="R571">
        <v>0</v>
      </c>
      <c r="S571">
        <v>0</v>
      </c>
      <c r="T571">
        <v>5</v>
      </c>
      <c r="U571">
        <v>1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</row>
    <row r="572" spans="1:29" x14ac:dyDescent="0.35">
      <c r="A572">
        <v>1948</v>
      </c>
      <c r="B572">
        <v>1948</v>
      </c>
      <c r="C572">
        <v>52</v>
      </c>
      <c r="D572">
        <v>28</v>
      </c>
      <c r="E572">
        <v>62</v>
      </c>
      <c r="F572">
        <v>1</v>
      </c>
      <c r="G572">
        <v>1.8</v>
      </c>
      <c r="H572">
        <v>3</v>
      </c>
      <c r="I572">
        <v>231</v>
      </c>
      <c r="J572">
        <v>1</v>
      </c>
      <c r="K572">
        <v>0</v>
      </c>
      <c r="L572">
        <v>94111</v>
      </c>
      <c r="M572">
        <v>0</v>
      </c>
      <c r="N572">
        <v>0</v>
      </c>
      <c r="O572">
        <v>0</v>
      </c>
      <c r="Q572">
        <v>0</v>
      </c>
      <c r="R572">
        <v>0</v>
      </c>
      <c r="S572">
        <v>0</v>
      </c>
      <c r="T572">
        <v>5</v>
      </c>
      <c r="U572">
        <v>1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</row>
    <row r="573" spans="1:29" x14ac:dyDescent="0.35">
      <c r="A573">
        <v>1949</v>
      </c>
      <c r="B573">
        <v>1949</v>
      </c>
      <c r="C573">
        <v>39</v>
      </c>
      <c r="D573">
        <v>15</v>
      </c>
      <c r="E573">
        <v>62</v>
      </c>
      <c r="F573">
        <v>4</v>
      </c>
      <c r="G573">
        <v>2.4</v>
      </c>
      <c r="H573">
        <v>1</v>
      </c>
      <c r="I573">
        <v>86</v>
      </c>
      <c r="J573">
        <v>0</v>
      </c>
      <c r="K573">
        <v>0</v>
      </c>
      <c r="L573">
        <v>93955</v>
      </c>
      <c r="M573">
        <v>0</v>
      </c>
      <c r="N573">
        <v>0</v>
      </c>
      <c r="O573">
        <v>0</v>
      </c>
      <c r="Q573">
        <v>1</v>
      </c>
      <c r="R573">
        <v>0</v>
      </c>
      <c r="S573">
        <v>0</v>
      </c>
      <c r="T573">
        <v>5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</row>
    <row r="574" spans="1:29" x14ac:dyDescent="0.35">
      <c r="A574">
        <v>1958</v>
      </c>
      <c r="B574">
        <v>1958</v>
      </c>
      <c r="C574">
        <v>29</v>
      </c>
      <c r="D574">
        <v>4</v>
      </c>
      <c r="E574">
        <v>121</v>
      </c>
      <c r="F574">
        <v>2</v>
      </c>
      <c r="G574">
        <v>3.3</v>
      </c>
      <c r="H574">
        <v>1</v>
      </c>
      <c r="I574">
        <v>0</v>
      </c>
      <c r="J574">
        <v>1</v>
      </c>
      <c r="K574">
        <v>0</v>
      </c>
      <c r="L574">
        <v>90028</v>
      </c>
      <c r="M574">
        <v>0</v>
      </c>
      <c r="N574">
        <v>0</v>
      </c>
      <c r="O574">
        <v>0</v>
      </c>
      <c r="Q574">
        <v>1</v>
      </c>
      <c r="R574">
        <v>0</v>
      </c>
      <c r="S574">
        <v>0</v>
      </c>
      <c r="T574">
        <v>22</v>
      </c>
      <c r="U574">
        <v>1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</row>
    <row r="575" spans="1:29" x14ac:dyDescent="0.35">
      <c r="A575">
        <v>1959</v>
      </c>
      <c r="B575">
        <v>1959</v>
      </c>
      <c r="C575">
        <v>28</v>
      </c>
      <c r="D575">
        <v>2</v>
      </c>
      <c r="E575">
        <v>42</v>
      </c>
      <c r="F575">
        <v>1</v>
      </c>
      <c r="G575">
        <v>1.5</v>
      </c>
      <c r="H575">
        <v>1</v>
      </c>
      <c r="I575">
        <v>0</v>
      </c>
      <c r="J575">
        <v>1</v>
      </c>
      <c r="K575">
        <v>1</v>
      </c>
      <c r="L575">
        <v>95762</v>
      </c>
      <c r="M575">
        <v>0</v>
      </c>
      <c r="N575">
        <v>0</v>
      </c>
      <c r="O575">
        <v>0</v>
      </c>
      <c r="Q575">
        <v>1</v>
      </c>
      <c r="R575">
        <v>0</v>
      </c>
      <c r="S575">
        <v>0</v>
      </c>
      <c r="T575">
        <v>5</v>
      </c>
      <c r="U575">
        <v>1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</row>
    <row r="576" spans="1:29" x14ac:dyDescent="0.35">
      <c r="A576">
        <v>1960</v>
      </c>
      <c r="B576">
        <v>1960</v>
      </c>
      <c r="C576">
        <v>50</v>
      </c>
      <c r="D576">
        <v>24</v>
      </c>
      <c r="E576">
        <v>130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95833</v>
      </c>
      <c r="M576">
        <v>0</v>
      </c>
      <c r="N576">
        <v>0</v>
      </c>
      <c r="O576">
        <v>0</v>
      </c>
      <c r="Q576">
        <v>1</v>
      </c>
      <c r="R576">
        <v>0</v>
      </c>
      <c r="S576">
        <v>0</v>
      </c>
      <c r="T576">
        <v>22</v>
      </c>
      <c r="U576">
        <v>1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</row>
    <row r="577" spans="1:29" x14ac:dyDescent="0.35">
      <c r="A577">
        <v>1961</v>
      </c>
      <c r="B577">
        <v>1961</v>
      </c>
      <c r="C577">
        <v>44</v>
      </c>
      <c r="D577">
        <v>19</v>
      </c>
      <c r="E577">
        <v>30</v>
      </c>
      <c r="F577">
        <v>4</v>
      </c>
      <c r="G577">
        <v>0</v>
      </c>
      <c r="H577">
        <v>2</v>
      </c>
      <c r="I577">
        <v>0</v>
      </c>
      <c r="J577">
        <v>1</v>
      </c>
      <c r="K577">
        <v>0</v>
      </c>
      <c r="L577">
        <v>95616</v>
      </c>
      <c r="M577">
        <v>0</v>
      </c>
      <c r="N577">
        <v>0</v>
      </c>
      <c r="O577">
        <v>0</v>
      </c>
      <c r="Q577">
        <v>0</v>
      </c>
      <c r="R577">
        <v>0</v>
      </c>
      <c r="S577">
        <v>0</v>
      </c>
      <c r="T577">
        <v>5</v>
      </c>
      <c r="U577">
        <v>1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</row>
    <row r="578" spans="1:29" x14ac:dyDescent="0.35">
      <c r="A578">
        <v>1962</v>
      </c>
      <c r="B578">
        <v>1962</v>
      </c>
      <c r="C578">
        <v>52</v>
      </c>
      <c r="D578">
        <v>26</v>
      </c>
      <c r="E578">
        <v>114</v>
      </c>
      <c r="F578">
        <v>1</v>
      </c>
      <c r="G578">
        <v>4.9000000000000004</v>
      </c>
      <c r="H578">
        <v>1</v>
      </c>
      <c r="I578">
        <v>0</v>
      </c>
      <c r="J578">
        <v>0</v>
      </c>
      <c r="K578">
        <v>0</v>
      </c>
      <c r="L578">
        <v>94304</v>
      </c>
      <c r="M578">
        <v>0</v>
      </c>
      <c r="N578">
        <v>0</v>
      </c>
      <c r="O578">
        <v>0</v>
      </c>
      <c r="Q578">
        <v>1</v>
      </c>
      <c r="R578">
        <v>0</v>
      </c>
      <c r="S578">
        <v>0</v>
      </c>
      <c r="T578">
        <v>22</v>
      </c>
      <c r="U578">
        <v>1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</row>
    <row r="579" spans="1:29" x14ac:dyDescent="0.35">
      <c r="A579">
        <v>1963</v>
      </c>
      <c r="B579">
        <v>1963</v>
      </c>
      <c r="C579">
        <v>28</v>
      </c>
      <c r="D579">
        <v>4</v>
      </c>
      <c r="E579">
        <v>155</v>
      </c>
      <c r="F579">
        <v>1</v>
      </c>
      <c r="G579">
        <v>6.33</v>
      </c>
      <c r="H579">
        <v>1</v>
      </c>
      <c r="I579">
        <v>0</v>
      </c>
      <c r="J579">
        <v>0</v>
      </c>
      <c r="K579">
        <v>0</v>
      </c>
      <c r="L579">
        <v>90019</v>
      </c>
      <c r="M579">
        <v>0</v>
      </c>
      <c r="N579">
        <v>0</v>
      </c>
      <c r="O579">
        <v>0</v>
      </c>
      <c r="Q579">
        <v>1</v>
      </c>
      <c r="R579">
        <v>0</v>
      </c>
      <c r="S579">
        <v>0</v>
      </c>
      <c r="T579">
        <v>22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</row>
    <row r="580" spans="1:29" x14ac:dyDescent="0.35">
      <c r="A580">
        <v>1964</v>
      </c>
      <c r="B580">
        <v>1964</v>
      </c>
      <c r="C580">
        <v>62</v>
      </c>
      <c r="D580">
        <v>38</v>
      </c>
      <c r="E580">
        <v>50</v>
      </c>
      <c r="F580">
        <v>2</v>
      </c>
      <c r="G580">
        <v>1.1000000000000001</v>
      </c>
      <c r="H580">
        <v>1</v>
      </c>
      <c r="I580">
        <v>0</v>
      </c>
      <c r="J580">
        <v>0</v>
      </c>
      <c r="K580">
        <v>1</v>
      </c>
      <c r="L580">
        <v>94539</v>
      </c>
      <c r="M580">
        <v>0</v>
      </c>
      <c r="N580">
        <v>0</v>
      </c>
      <c r="O580">
        <v>0</v>
      </c>
      <c r="Q580">
        <v>1</v>
      </c>
      <c r="R580">
        <v>0</v>
      </c>
      <c r="S580">
        <v>0</v>
      </c>
      <c r="T580">
        <v>5</v>
      </c>
      <c r="U580">
        <v>1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</row>
    <row r="581" spans="1:29" x14ac:dyDescent="0.35">
      <c r="A581">
        <v>1965</v>
      </c>
      <c r="B581">
        <v>1965</v>
      </c>
      <c r="C581">
        <v>34</v>
      </c>
      <c r="D581">
        <v>10</v>
      </c>
      <c r="E581">
        <v>34</v>
      </c>
      <c r="F581">
        <v>1</v>
      </c>
      <c r="G581">
        <v>1.5</v>
      </c>
      <c r="H581">
        <v>2</v>
      </c>
      <c r="I581">
        <v>111</v>
      </c>
      <c r="J581">
        <v>0</v>
      </c>
      <c r="K581">
        <v>1</v>
      </c>
      <c r="L581">
        <v>95060</v>
      </c>
      <c r="M581">
        <v>0</v>
      </c>
      <c r="N581">
        <v>0</v>
      </c>
      <c r="O581">
        <v>0</v>
      </c>
      <c r="Q581">
        <v>0</v>
      </c>
      <c r="R581">
        <v>0</v>
      </c>
      <c r="S581">
        <v>0</v>
      </c>
      <c r="T581">
        <v>5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</row>
    <row r="582" spans="1:29" x14ac:dyDescent="0.35">
      <c r="A582">
        <v>1966</v>
      </c>
      <c r="B582">
        <v>1966</v>
      </c>
      <c r="C582">
        <v>45</v>
      </c>
      <c r="D582">
        <v>20</v>
      </c>
      <c r="E582">
        <v>94</v>
      </c>
      <c r="F582">
        <v>3</v>
      </c>
      <c r="G582">
        <v>0.5</v>
      </c>
      <c r="H582">
        <v>3</v>
      </c>
      <c r="I582">
        <v>0</v>
      </c>
      <c r="J582">
        <v>1</v>
      </c>
      <c r="K582">
        <v>0</v>
      </c>
      <c r="L582">
        <v>90095</v>
      </c>
      <c r="M582">
        <v>0</v>
      </c>
      <c r="N582">
        <v>0</v>
      </c>
      <c r="O582">
        <v>0</v>
      </c>
      <c r="Q582">
        <v>0</v>
      </c>
      <c r="R582">
        <v>0</v>
      </c>
      <c r="S582">
        <v>0</v>
      </c>
      <c r="T582">
        <v>5</v>
      </c>
      <c r="U582">
        <v>1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</row>
    <row r="583" spans="1:29" x14ac:dyDescent="0.35">
      <c r="A583">
        <v>1973</v>
      </c>
      <c r="B583">
        <v>1973</v>
      </c>
      <c r="C583">
        <v>28</v>
      </c>
      <c r="D583">
        <v>2</v>
      </c>
      <c r="E583">
        <v>114</v>
      </c>
      <c r="F583">
        <v>4</v>
      </c>
      <c r="G583">
        <v>2.1</v>
      </c>
      <c r="H583">
        <v>3</v>
      </c>
      <c r="I583">
        <v>0</v>
      </c>
      <c r="J583">
        <v>1</v>
      </c>
      <c r="K583">
        <v>0</v>
      </c>
      <c r="L583">
        <v>94606</v>
      </c>
      <c r="M583">
        <v>0</v>
      </c>
      <c r="N583">
        <v>0</v>
      </c>
      <c r="O583">
        <v>0</v>
      </c>
      <c r="Q583">
        <v>0</v>
      </c>
      <c r="R583">
        <v>0</v>
      </c>
      <c r="S583">
        <v>0</v>
      </c>
      <c r="T583">
        <v>13</v>
      </c>
      <c r="U583">
        <v>0.88607594936708001</v>
      </c>
      <c r="V583">
        <v>0.11392405063291</v>
      </c>
      <c r="W583">
        <v>0.88607594936708001</v>
      </c>
      <c r="X583">
        <v>0.11392405063291</v>
      </c>
      <c r="Y583">
        <v>0.86842105263156999</v>
      </c>
      <c r="Z583">
        <v>0.13157894736841999</v>
      </c>
      <c r="AA583">
        <v>0.11392405063291999</v>
      </c>
      <c r="AB583">
        <v>-0.11392405063291</v>
      </c>
      <c r="AC583">
        <v>0</v>
      </c>
    </row>
    <row r="584" spans="1:29" x14ac:dyDescent="0.35">
      <c r="A584">
        <v>1991</v>
      </c>
      <c r="B584">
        <v>1991</v>
      </c>
      <c r="C584">
        <v>32</v>
      </c>
      <c r="D584">
        <v>8</v>
      </c>
      <c r="E584">
        <v>29</v>
      </c>
      <c r="F584">
        <v>1</v>
      </c>
      <c r="G584">
        <v>0.2</v>
      </c>
      <c r="H584">
        <v>3</v>
      </c>
      <c r="I584">
        <v>76</v>
      </c>
      <c r="J584">
        <v>1</v>
      </c>
      <c r="K584">
        <v>1</v>
      </c>
      <c r="L584">
        <v>92807</v>
      </c>
      <c r="M584">
        <v>0</v>
      </c>
      <c r="N584">
        <v>0</v>
      </c>
      <c r="O584">
        <v>0</v>
      </c>
      <c r="Q584">
        <v>0</v>
      </c>
      <c r="R584">
        <v>0</v>
      </c>
      <c r="S584">
        <v>0</v>
      </c>
      <c r="T584">
        <v>5</v>
      </c>
      <c r="U584">
        <v>1</v>
      </c>
      <c r="V584">
        <v>0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</row>
    <row r="585" spans="1:29" x14ac:dyDescent="0.35">
      <c r="A585">
        <v>1997</v>
      </c>
      <c r="B585">
        <v>1997</v>
      </c>
      <c r="C585">
        <v>49</v>
      </c>
      <c r="D585">
        <v>24</v>
      </c>
      <c r="E585">
        <v>38</v>
      </c>
      <c r="F585">
        <v>1</v>
      </c>
      <c r="G585">
        <v>1.4</v>
      </c>
      <c r="H585">
        <v>3</v>
      </c>
      <c r="I585">
        <v>0</v>
      </c>
      <c r="J585">
        <v>0</v>
      </c>
      <c r="K585">
        <v>0</v>
      </c>
      <c r="L585">
        <v>94305</v>
      </c>
      <c r="M585">
        <v>0</v>
      </c>
      <c r="N585">
        <v>0</v>
      </c>
      <c r="O585">
        <v>0</v>
      </c>
      <c r="Q585">
        <v>0</v>
      </c>
      <c r="R585">
        <v>0</v>
      </c>
      <c r="S585">
        <v>0</v>
      </c>
      <c r="T585">
        <v>5</v>
      </c>
      <c r="U585">
        <v>1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</row>
    <row r="586" spans="1:29" x14ac:dyDescent="0.35">
      <c r="A586">
        <v>2000</v>
      </c>
      <c r="B586">
        <v>2000</v>
      </c>
      <c r="C586">
        <v>48</v>
      </c>
      <c r="D586">
        <v>22</v>
      </c>
      <c r="E586">
        <v>80</v>
      </c>
      <c r="F586">
        <v>2</v>
      </c>
      <c r="G586">
        <v>2.4</v>
      </c>
      <c r="H586">
        <v>2</v>
      </c>
      <c r="I586">
        <v>0</v>
      </c>
      <c r="J586">
        <v>1</v>
      </c>
      <c r="K586">
        <v>0</v>
      </c>
      <c r="L586">
        <v>93940</v>
      </c>
      <c r="M586">
        <v>0</v>
      </c>
      <c r="N586">
        <v>0</v>
      </c>
      <c r="O586">
        <v>0</v>
      </c>
      <c r="Q586">
        <v>0</v>
      </c>
      <c r="R586">
        <v>0</v>
      </c>
      <c r="S586">
        <v>0</v>
      </c>
      <c r="T586">
        <v>5</v>
      </c>
      <c r="U586">
        <v>1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</row>
    <row r="587" spans="1:29" x14ac:dyDescent="0.35">
      <c r="A587">
        <v>2005</v>
      </c>
      <c r="B587">
        <v>2005</v>
      </c>
      <c r="C587">
        <v>30</v>
      </c>
      <c r="D587">
        <v>4</v>
      </c>
      <c r="E587">
        <v>44</v>
      </c>
      <c r="F587">
        <v>1</v>
      </c>
      <c r="G587">
        <v>1.9</v>
      </c>
      <c r="H587">
        <v>3</v>
      </c>
      <c r="I587">
        <v>143</v>
      </c>
      <c r="J587">
        <v>0</v>
      </c>
      <c r="K587">
        <v>0</v>
      </c>
      <c r="L587">
        <v>92704</v>
      </c>
      <c r="M587">
        <v>0</v>
      </c>
      <c r="N587">
        <v>0</v>
      </c>
      <c r="O587">
        <v>0</v>
      </c>
      <c r="Q587">
        <v>0</v>
      </c>
      <c r="R587">
        <v>0</v>
      </c>
      <c r="S587">
        <v>0</v>
      </c>
      <c r="T587">
        <v>5</v>
      </c>
      <c r="U587">
        <v>1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</row>
    <row r="588" spans="1:29" x14ac:dyDescent="0.35">
      <c r="A588">
        <v>2006</v>
      </c>
      <c r="B588">
        <v>2006</v>
      </c>
      <c r="C588">
        <v>47</v>
      </c>
      <c r="D588">
        <v>23</v>
      </c>
      <c r="E588">
        <v>170</v>
      </c>
      <c r="F588">
        <v>2</v>
      </c>
      <c r="G588">
        <v>6.5</v>
      </c>
      <c r="H588">
        <v>2</v>
      </c>
      <c r="I588">
        <v>0</v>
      </c>
      <c r="J588">
        <v>1</v>
      </c>
      <c r="K588">
        <v>1</v>
      </c>
      <c r="L588">
        <v>90254</v>
      </c>
      <c r="M588">
        <v>1</v>
      </c>
      <c r="N588">
        <v>0</v>
      </c>
      <c r="O588">
        <v>1</v>
      </c>
      <c r="Q588">
        <v>0</v>
      </c>
      <c r="R588">
        <v>1</v>
      </c>
      <c r="S588">
        <v>1</v>
      </c>
      <c r="T588">
        <v>10</v>
      </c>
      <c r="U588">
        <v>0</v>
      </c>
      <c r="V588">
        <v>1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0</v>
      </c>
      <c r="AC588">
        <v>1</v>
      </c>
    </row>
    <row r="589" spans="1:29" x14ac:dyDescent="0.35">
      <c r="A589">
        <v>2009</v>
      </c>
      <c r="B589">
        <v>2009</v>
      </c>
      <c r="C589">
        <v>63</v>
      </c>
      <c r="D589">
        <v>38</v>
      </c>
      <c r="E589">
        <v>31</v>
      </c>
      <c r="F589">
        <v>1</v>
      </c>
      <c r="G589">
        <v>1.1000000000000001</v>
      </c>
      <c r="H589">
        <v>3</v>
      </c>
      <c r="I589">
        <v>125</v>
      </c>
      <c r="J589">
        <v>1</v>
      </c>
      <c r="K589">
        <v>0</v>
      </c>
      <c r="L589">
        <v>92037</v>
      </c>
      <c r="M589">
        <v>0</v>
      </c>
      <c r="N589">
        <v>0</v>
      </c>
      <c r="O589">
        <v>0</v>
      </c>
      <c r="Q589">
        <v>0</v>
      </c>
      <c r="R589">
        <v>0</v>
      </c>
      <c r="S589">
        <v>0</v>
      </c>
      <c r="T589">
        <v>5</v>
      </c>
      <c r="U589">
        <v>1</v>
      </c>
      <c r="V589">
        <v>0</v>
      </c>
      <c r="W589">
        <v>1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</row>
    <row r="590" spans="1:29" x14ac:dyDescent="0.35">
      <c r="A590">
        <v>2015</v>
      </c>
      <c r="B590">
        <v>2015</v>
      </c>
      <c r="C590">
        <v>49</v>
      </c>
      <c r="D590">
        <v>19</v>
      </c>
      <c r="E590">
        <v>169</v>
      </c>
      <c r="F590">
        <v>3</v>
      </c>
      <c r="G590">
        <v>5.67</v>
      </c>
      <c r="H590">
        <v>3</v>
      </c>
      <c r="I590">
        <v>167</v>
      </c>
      <c r="J590">
        <v>0</v>
      </c>
      <c r="K590">
        <v>1</v>
      </c>
      <c r="L590">
        <v>95054</v>
      </c>
      <c r="M590">
        <v>1</v>
      </c>
      <c r="N590">
        <v>0</v>
      </c>
      <c r="O590">
        <v>1</v>
      </c>
      <c r="Q590">
        <v>0</v>
      </c>
      <c r="R590">
        <v>1</v>
      </c>
      <c r="S590">
        <v>1</v>
      </c>
      <c r="T590">
        <v>10</v>
      </c>
      <c r="U590">
        <v>0</v>
      </c>
      <c r="V590">
        <v>1</v>
      </c>
      <c r="W590">
        <v>0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1</v>
      </c>
    </row>
    <row r="591" spans="1:29" x14ac:dyDescent="0.35">
      <c r="A591">
        <v>2017</v>
      </c>
      <c r="B591">
        <v>2017</v>
      </c>
      <c r="C591">
        <v>41</v>
      </c>
      <c r="D591">
        <v>17</v>
      </c>
      <c r="E591">
        <v>93</v>
      </c>
      <c r="F591">
        <v>4</v>
      </c>
      <c r="G591">
        <v>0.8</v>
      </c>
      <c r="H591">
        <v>1</v>
      </c>
      <c r="I591">
        <v>218</v>
      </c>
      <c r="J591">
        <v>0</v>
      </c>
      <c r="K591">
        <v>0</v>
      </c>
      <c r="L591">
        <v>92835</v>
      </c>
      <c r="M591">
        <v>0</v>
      </c>
      <c r="N591">
        <v>0</v>
      </c>
      <c r="O591">
        <v>0</v>
      </c>
      <c r="Q591">
        <v>1</v>
      </c>
      <c r="R591">
        <v>0</v>
      </c>
      <c r="S591">
        <v>0</v>
      </c>
      <c r="T591">
        <v>5</v>
      </c>
      <c r="U591">
        <v>1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</row>
    <row r="592" spans="1:29" x14ac:dyDescent="0.35">
      <c r="A592">
        <v>2018</v>
      </c>
      <c r="B592">
        <v>2018</v>
      </c>
      <c r="C592">
        <v>42</v>
      </c>
      <c r="D592">
        <v>15</v>
      </c>
      <c r="E592">
        <v>14</v>
      </c>
      <c r="F592">
        <v>3</v>
      </c>
      <c r="G592">
        <v>1</v>
      </c>
      <c r="H592">
        <v>2</v>
      </c>
      <c r="I592">
        <v>0</v>
      </c>
      <c r="J592">
        <v>0</v>
      </c>
      <c r="K592">
        <v>0</v>
      </c>
      <c r="L592">
        <v>92064</v>
      </c>
      <c r="M592">
        <v>0</v>
      </c>
      <c r="N592">
        <v>1</v>
      </c>
      <c r="O592">
        <v>0</v>
      </c>
      <c r="Q592">
        <v>0</v>
      </c>
      <c r="R592">
        <v>0</v>
      </c>
      <c r="S592">
        <v>0</v>
      </c>
      <c r="T592">
        <v>5</v>
      </c>
      <c r="U592">
        <v>1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</row>
    <row r="593" spans="1:29" x14ac:dyDescent="0.35">
      <c r="A593">
        <v>2023</v>
      </c>
      <c r="B593">
        <v>2023</v>
      </c>
      <c r="C593">
        <v>33</v>
      </c>
      <c r="D593">
        <v>3</v>
      </c>
      <c r="E593">
        <v>71</v>
      </c>
      <c r="F593">
        <v>4</v>
      </c>
      <c r="G593">
        <v>1.8</v>
      </c>
      <c r="H593">
        <v>3</v>
      </c>
      <c r="I593">
        <v>236</v>
      </c>
      <c r="J593">
        <v>0</v>
      </c>
      <c r="K593">
        <v>0</v>
      </c>
      <c r="L593">
        <v>93561</v>
      </c>
      <c r="M593">
        <v>0</v>
      </c>
      <c r="N593">
        <v>0</v>
      </c>
      <c r="O593">
        <v>0</v>
      </c>
      <c r="Q593">
        <v>0</v>
      </c>
      <c r="R593">
        <v>0</v>
      </c>
      <c r="S593">
        <v>0</v>
      </c>
      <c r="T593">
        <v>5</v>
      </c>
      <c r="U593">
        <v>1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</row>
    <row r="594" spans="1:29" x14ac:dyDescent="0.35">
      <c r="A594">
        <v>2028</v>
      </c>
      <c r="B594">
        <v>2028</v>
      </c>
      <c r="C594">
        <v>38</v>
      </c>
      <c r="D594">
        <v>12</v>
      </c>
      <c r="E594">
        <v>179</v>
      </c>
      <c r="F594">
        <v>2</v>
      </c>
      <c r="G594">
        <v>0</v>
      </c>
      <c r="H594">
        <v>1</v>
      </c>
      <c r="I594">
        <v>380</v>
      </c>
      <c r="J594">
        <v>0</v>
      </c>
      <c r="K594">
        <v>0</v>
      </c>
      <c r="L594">
        <v>94596</v>
      </c>
      <c r="M594">
        <v>0</v>
      </c>
      <c r="N594">
        <v>0</v>
      </c>
      <c r="O594">
        <v>0</v>
      </c>
      <c r="Q594">
        <v>1</v>
      </c>
      <c r="R594">
        <v>0</v>
      </c>
      <c r="S594">
        <v>0</v>
      </c>
      <c r="T594">
        <v>22</v>
      </c>
      <c r="U594">
        <v>1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</row>
    <row r="595" spans="1:29" x14ac:dyDescent="0.35">
      <c r="A595">
        <v>2034</v>
      </c>
      <c r="B595">
        <v>2034</v>
      </c>
      <c r="C595">
        <v>49</v>
      </c>
      <c r="D595">
        <v>23</v>
      </c>
      <c r="E595">
        <v>83</v>
      </c>
      <c r="F595">
        <v>1</v>
      </c>
      <c r="G595">
        <v>0.3</v>
      </c>
      <c r="H595">
        <v>1</v>
      </c>
      <c r="I595">
        <v>0</v>
      </c>
      <c r="J595">
        <v>1</v>
      </c>
      <c r="K595">
        <v>1</v>
      </c>
      <c r="L595">
        <v>92126</v>
      </c>
      <c r="M595">
        <v>0</v>
      </c>
      <c r="N595">
        <v>0</v>
      </c>
      <c r="O595">
        <v>0</v>
      </c>
      <c r="Q595">
        <v>1</v>
      </c>
      <c r="R595">
        <v>0</v>
      </c>
      <c r="S595">
        <v>0</v>
      </c>
      <c r="T595">
        <v>5</v>
      </c>
      <c r="U595">
        <v>1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</row>
    <row r="596" spans="1:29" x14ac:dyDescent="0.35">
      <c r="A596">
        <v>2036</v>
      </c>
      <c r="B596">
        <v>2036</v>
      </c>
      <c r="C596">
        <v>36</v>
      </c>
      <c r="D596">
        <v>10</v>
      </c>
      <c r="E596">
        <v>29</v>
      </c>
      <c r="F596">
        <v>4</v>
      </c>
      <c r="G596">
        <v>1</v>
      </c>
      <c r="H596">
        <v>1</v>
      </c>
      <c r="I596">
        <v>0</v>
      </c>
      <c r="J596">
        <v>1</v>
      </c>
      <c r="K596">
        <v>1</v>
      </c>
      <c r="L596">
        <v>93065</v>
      </c>
      <c r="M596">
        <v>0</v>
      </c>
      <c r="N596">
        <v>0</v>
      </c>
      <c r="O596">
        <v>0</v>
      </c>
      <c r="Q596">
        <v>1</v>
      </c>
      <c r="R596">
        <v>0</v>
      </c>
      <c r="S596">
        <v>0</v>
      </c>
      <c r="T596">
        <v>5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</row>
    <row r="597" spans="1:29" x14ac:dyDescent="0.35">
      <c r="A597">
        <v>2039</v>
      </c>
      <c r="B597">
        <v>2039</v>
      </c>
      <c r="C597">
        <v>50</v>
      </c>
      <c r="D597">
        <v>24</v>
      </c>
      <c r="E597">
        <v>150</v>
      </c>
      <c r="F597">
        <v>1</v>
      </c>
      <c r="G597">
        <v>7.3</v>
      </c>
      <c r="H597">
        <v>1</v>
      </c>
      <c r="I597">
        <v>0</v>
      </c>
      <c r="J597">
        <v>1</v>
      </c>
      <c r="K597">
        <v>1</v>
      </c>
      <c r="L597">
        <v>94551</v>
      </c>
      <c r="M597">
        <v>0</v>
      </c>
      <c r="N597">
        <v>0</v>
      </c>
      <c r="O597">
        <v>0</v>
      </c>
      <c r="Q597">
        <v>1</v>
      </c>
      <c r="R597">
        <v>0</v>
      </c>
      <c r="S597">
        <v>0</v>
      </c>
      <c r="T597">
        <v>22</v>
      </c>
      <c r="U597">
        <v>1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</row>
    <row r="598" spans="1:29" x14ac:dyDescent="0.35">
      <c r="A598">
        <v>2041</v>
      </c>
      <c r="B598">
        <v>2041</v>
      </c>
      <c r="C598">
        <v>41</v>
      </c>
      <c r="D598">
        <v>16</v>
      </c>
      <c r="E598">
        <v>91</v>
      </c>
      <c r="F598">
        <v>3</v>
      </c>
      <c r="G598">
        <v>0.5</v>
      </c>
      <c r="H598">
        <v>3</v>
      </c>
      <c r="I598">
        <v>0</v>
      </c>
      <c r="J598">
        <v>0</v>
      </c>
      <c r="K598">
        <v>0</v>
      </c>
      <c r="L598">
        <v>94720</v>
      </c>
      <c r="M598">
        <v>0</v>
      </c>
      <c r="N598">
        <v>0</v>
      </c>
      <c r="O598">
        <v>0</v>
      </c>
      <c r="Q598">
        <v>0</v>
      </c>
      <c r="R598">
        <v>0</v>
      </c>
      <c r="S598">
        <v>0</v>
      </c>
      <c r="T598">
        <v>5</v>
      </c>
      <c r="U598">
        <v>1</v>
      </c>
      <c r="V598">
        <v>0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</row>
    <row r="599" spans="1:29" x14ac:dyDescent="0.35">
      <c r="A599">
        <v>2044</v>
      </c>
      <c r="B599">
        <v>2044</v>
      </c>
      <c r="C599">
        <v>57</v>
      </c>
      <c r="D599">
        <v>32</v>
      </c>
      <c r="E599">
        <v>25</v>
      </c>
      <c r="F599">
        <v>2</v>
      </c>
      <c r="G599">
        <v>0.2</v>
      </c>
      <c r="H599">
        <v>3</v>
      </c>
      <c r="I599">
        <v>0</v>
      </c>
      <c r="J599">
        <v>1</v>
      </c>
      <c r="K599">
        <v>1</v>
      </c>
      <c r="L599">
        <v>90049</v>
      </c>
      <c r="M599">
        <v>0</v>
      </c>
      <c r="N599">
        <v>0</v>
      </c>
      <c r="O599">
        <v>0</v>
      </c>
      <c r="Q599">
        <v>0</v>
      </c>
      <c r="R599">
        <v>0</v>
      </c>
      <c r="S599">
        <v>0</v>
      </c>
      <c r="T599">
        <v>5</v>
      </c>
      <c r="U599">
        <v>1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</row>
    <row r="600" spans="1:29" x14ac:dyDescent="0.35">
      <c r="A600">
        <v>2045</v>
      </c>
      <c r="B600">
        <v>2045</v>
      </c>
      <c r="C600">
        <v>51</v>
      </c>
      <c r="D600">
        <v>25</v>
      </c>
      <c r="E600">
        <v>102</v>
      </c>
      <c r="F600">
        <v>1</v>
      </c>
      <c r="G600">
        <v>0.3</v>
      </c>
      <c r="H600">
        <v>1</v>
      </c>
      <c r="I600">
        <v>0</v>
      </c>
      <c r="J600">
        <v>1</v>
      </c>
      <c r="K600">
        <v>0</v>
      </c>
      <c r="L600">
        <v>92677</v>
      </c>
      <c r="M600">
        <v>0</v>
      </c>
      <c r="N600">
        <v>0</v>
      </c>
      <c r="O600">
        <v>0</v>
      </c>
      <c r="Q600">
        <v>1</v>
      </c>
      <c r="R600">
        <v>0</v>
      </c>
      <c r="S600">
        <v>0</v>
      </c>
      <c r="T600">
        <v>25</v>
      </c>
      <c r="U600">
        <v>1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</row>
    <row r="601" spans="1:29" x14ac:dyDescent="0.35">
      <c r="A601">
        <v>2047</v>
      </c>
      <c r="B601">
        <v>2047</v>
      </c>
      <c r="C601">
        <v>43</v>
      </c>
      <c r="D601">
        <v>16</v>
      </c>
      <c r="E601">
        <v>161</v>
      </c>
      <c r="F601">
        <v>3</v>
      </c>
      <c r="G601">
        <v>8</v>
      </c>
      <c r="H601">
        <v>2</v>
      </c>
      <c r="I601">
        <v>0</v>
      </c>
      <c r="J601">
        <v>1</v>
      </c>
      <c r="K601">
        <v>1</v>
      </c>
      <c r="L601">
        <v>95134</v>
      </c>
      <c r="M601">
        <v>1</v>
      </c>
      <c r="N601">
        <v>0</v>
      </c>
      <c r="O601">
        <v>1</v>
      </c>
      <c r="Q601">
        <v>0</v>
      </c>
      <c r="R601">
        <v>1</v>
      </c>
      <c r="S601">
        <v>1</v>
      </c>
      <c r="T601">
        <v>10</v>
      </c>
      <c r="U601">
        <v>0</v>
      </c>
      <c r="V601">
        <v>1</v>
      </c>
      <c r="W601">
        <v>0</v>
      </c>
      <c r="X601">
        <v>1</v>
      </c>
      <c r="Y601">
        <v>0</v>
      </c>
      <c r="Z601">
        <v>1</v>
      </c>
      <c r="AA601">
        <v>0</v>
      </c>
      <c r="AB601">
        <v>0</v>
      </c>
      <c r="AC601">
        <v>1</v>
      </c>
    </row>
    <row r="602" spans="1:29" x14ac:dyDescent="0.35">
      <c r="A602">
        <v>2048</v>
      </c>
      <c r="B602">
        <v>2048</v>
      </c>
      <c r="C602">
        <v>63</v>
      </c>
      <c r="D602">
        <v>38</v>
      </c>
      <c r="E602">
        <v>134</v>
      </c>
      <c r="F602">
        <v>3</v>
      </c>
      <c r="G602">
        <v>4</v>
      </c>
      <c r="H602">
        <v>2</v>
      </c>
      <c r="I602">
        <v>0</v>
      </c>
      <c r="J602">
        <v>0</v>
      </c>
      <c r="K602">
        <v>1</v>
      </c>
      <c r="L602">
        <v>90640</v>
      </c>
      <c r="M602">
        <v>1</v>
      </c>
      <c r="N602">
        <v>0</v>
      </c>
      <c r="O602">
        <v>0</v>
      </c>
      <c r="Q602">
        <v>0</v>
      </c>
      <c r="R602">
        <v>1</v>
      </c>
      <c r="S602">
        <v>1</v>
      </c>
      <c r="T602">
        <v>10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1</v>
      </c>
      <c r="AA602">
        <v>0</v>
      </c>
      <c r="AB602">
        <v>0</v>
      </c>
      <c r="AC602">
        <v>1</v>
      </c>
    </row>
    <row r="603" spans="1:29" x14ac:dyDescent="0.35">
      <c r="A603">
        <v>2057</v>
      </c>
      <c r="B603">
        <v>2057</v>
      </c>
      <c r="C603">
        <v>33</v>
      </c>
      <c r="D603">
        <v>8</v>
      </c>
      <c r="E603">
        <v>20</v>
      </c>
      <c r="F603">
        <v>3</v>
      </c>
      <c r="G603">
        <v>1.3</v>
      </c>
      <c r="H603">
        <v>1</v>
      </c>
      <c r="I603">
        <v>83</v>
      </c>
      <c r="J603">
        <v>0</v>
      </c>
      <c r="K603">
        <v>1</v>
      </c>
      <c r="L603">
        <v>92691</v>
      </c>
      <c r="M603">
        <v>0</v>
      </c>
      <c r="N603">
        <v>0</v>
      </c>
      <c r="O603">
        <v>0</v>
      </c>
      <c r="Q603">
        <v>1</v>
      </c>
      <c r="R603">
        <v>0</v>
      </c>
      <c r="S603">
        <v>0</v>
      </c>
      <c r="T603">
        <v>5</v>
      </c>
      <c r="U603">
        <v>1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</row>
    <row r="604" spans="1:29" x14ac:dyDescent="0.35">
      <c r="A604">
        <v>2058</v>
      </c>
      <c r="B604">
        <v>2058</v>
      </c>
      <c r="C604">
        <v>37</v>
      </c>
      <c r="D604">
        <v>12</v>
      </c>
      <c r="E604">
        <v>125</v>
      </c>
      <c r="F604">
        <v>2</v>
      </c>
      <c r="G604">
        <v>3.9</v>
      </c>
      <c r="H604">
        <v>1</v>
      </c>
      <c r="I604">
        <v>0</v>
      </c>
      <c r="J604">
        <v>1</v>
      </c>
      <c r="K604">
        <v>1</v>
      </c>
      <c r="L604">
        <v>91754</v>
      </c>
      <c r="M604">
        <v>0</v>
      </c>
      <c r="N604">
        <v>0</v>
      </c>
      <c r="O604">
        <v>0</v>
      </c>
      <c r="Q604">
        <v>1</v>
      </c>
      <c r="R604">
        <v>0</v>
      </c>
      <c r="S604">
        <v>0</v>
      </c>
      <c r="T604">
        <v>22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</row>
    <row r="605" spans="1:29" x14ac:dyDescent="0.35">
      <c r="A605">
        <v>2059</v>
      </c>
      <c r="B605">
        <v>2059</v>
      </c>
      <c r="C605">
        <v>33</v>
      </c>
      <c r="D605">
        <v>7</v>
      </c>
      <c r="E605">
        <v>18</v>
      </c>
      <c r="F605">
        <v>1</v>
      </c>
      <c r="G605">
        <v>0.6</v>
      </c>
      <c r="H605">
        <v>3</v>
      </c>
      <c r="I605">
        <v>0</v>
      </c>
      <c r="J605">
        <v>0</v>
      </c>
      <c r="K605">
        <v>0</v>
      </c>
      <c r="L605">
        <v>92093</v>
      </c>
      <c r="M605">
        <v>0</v>
      </c>
      <c r="N605">
        <v>0</v>
      </c>
      <c r="O605">
        <v>0</v>
      </c>
      <c r="Q605">
        <v>0</v>
      </c>
      <c r="R605">
        <v>0</v>
      </c>
      <c r="S605">
        <v>0</v>
      </c>
      <c r="T605">
        <v>5</v>
      </c>
      <c r="U605">
        <v>1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</row>
    <row r="606" spans="1:29" x14ac:dyDescent="0.35">
      <c r="A606">
        <v>2060</v>
      </c>
      <c r="B606">
        <v>2060</v>
      </c>
      <c r="C606">
        <v>28</v>
      </c>
      <c r="D606">
        <v>3</v>
      </c>
      <c r="E606">
        <v>173</v>
      </c>
      <c r="F606">
        <v>2</v>
      </c>
      <c r="G606">
        <v>6.7</v>
      </c>
      <c r="H606">
        <v>1</v>
      </c>
      <c r="I606">
        <v>222</v>
      </c>
      <c r="J606">
        <v>1</v>
      </c>
      <c r="K606">
        <v>0</v>
      </c>
      <c r="L606">
        <v>92121</v>
      </c>
      <c r="M606">
        <v>0</v>
      </c>
      <c r="N606">
        <v>0</v>
      </c>
      <c r="O606">
        <v>0</v>
      </c>
      <c r="Q606">
        <v>1</v>
      </c>
      <c r="R606">
        <v>0</v>
      </c>
      <c r="S606">
        <v>0</v>
      </c>
      <c r="T606">
        <v>22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</row>
    <row r="607" spans="1:29" x14ac:dyDescent="0.35">
      <c r="A607">
        <v>2070</v>
      </c>
      <c r="B607">
        <v>2070</v>
      </c>
      <c r="C607">
        <v>30</v>
      </c>
      <c r="D607">
        <v>4</v>
      </c>
      <c r="E607">
        <v>35</v>
      </c>
      <c r="F607">
        <v>4</v>
      </c>
      <c r="G607">
        <v>0.8</v>
      </c>
      <c r="H607">
        <v>1</v>
      </c>
      <c r="I607">
        <v>0</v>
      </c>
      <c r="J607">
        <v>1</v>
      </c>
      <c r="K607">
        <v>1</v>
      </c>
      <c r="L607">
        <v>90059</v>
      </c>
      <c r="M607">
        <v>0</v>
      </c>
      <c r="N607">
        <v>0</v>
      </c>
      <c r="O607">
        <v>0</v>
      </c>
      <c r="Q607">
        <v>1</v>
      </c>
      <c r="R607">
        <v>0</v>
      </c>
      <c r="S607">
        <v>0</v>
      </c>
      <c r="T607">
        <v>5</v>
      </c>
      <c r="U607">
        <v>1</v>
      </c>
      <c r="V607">
        <v>0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</row>
    <row r="608" spans="1:29" x14ac:dyDescent="0.35">
      <c r="A608">
        <v>2081</v>
      </c>
      <c r="B608">
        <v>2081</v>
      </c>
      <c r="C608">
        <v>65</v>
      </c>
      <c r="D608">
        <v>40</v>
      </c>
      <c r="E608">
        <v>69</v>
      </c>
      <c r="F608">
        <v>4</v>
      </c>
      <c r="G608">
        <v>0.1</v>
      </c>
      <c r="H608">
        <v>2</v>
      </c>
      <c r="I608">
        <v>0</v>
      </c>
      <c r="J608">
        <v>1</v>
      </c>
      <c r="K608">
        <v>0</v>
      </c>
      <c r="L608">
        <v>91706</v>
      </c>
      <c r="M608">
        <v>0</v>
      </c>
      <c r="N608">
        <v>0</v>
      </c>
      <c r="O608">
        <v>0</v>
      </c>
      <c r="Q608">
        <v>0</v>
      </c>
      <c r="R608">
        <v>0</v>
      </c>
      <c r="S608">
        <v>0</v>
      </c>
      <c r="T608">
        <v>5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</row>
    <row r="609" spans="1:29" x14ac:dyDescent="0.35">
      <c r="A609">
        <v>2089</v>
      </c>
      <c r="B609">
        <v>2089</v>
      </c>
      <c r="C609">
        <v>39</v>
      </c>
      <c r="D609">
        <v>9</v>
      </c>
      <c r="E609">
        <v>29</v>
      </c>
      <c r="F609">
        <v>3</v>
      </c>
      <c r="G609">
        <v>2</v>
      </c>
      <c r="H609">
        <v>3</v>
      </c>
      <c r="I609">
        <v>151</v>
      </c>
      <c r="J609">
        <v>0</v>
      </c>
      <c r="K609">
        <v>0</v>
      </c>
      <c r="L609">
        <v>94701</v>
      </c>
      <c r="M609">
        <v>0</v>
      </c>
      <c r="N609">
        <v>1</v>
      </c>
      <c r="O609">
        <v>0</v>
      </c>
      <c r="Q609">
        <v>0</v>
      </c>
      <c r="R609">
        <v>0</v>
      </c>
      <c r="S609">
        <v>0</v>
      </c>
      <c r="T609">
        <v>5</v>
      </c>
      <c r="U609">
        <v>1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</row>
    <row r="610" spans="1:29" x14ac:dyDescent="0.35">
      <c r="A610">
        <v>2091</v>
      </c>
      <c r="B610">
        <v>2091</v>
      </c>
      <c r="C610">
        <v>50</v>
      </c>
      <c r="D610">
        <v>25</v>
      </c>
      <c r="E610">
        <v>79</v>
      </c>
      <c r="F610">
        <v>1</v>
      </c>
      <c r="G610">
        <v>2.9</v>
      </c>
      <c r="H610">
        <v>1</v>
      </c>
      <c r="I610">
        <v>307</v>
      </c>
      <c r="J610">
        <v>0</v>
      </c>
      <c r="K610">
        <v>1</v>
      </c>
      <c r="L610">
        <v>95023</v>
      </c>
      <c r="M610">
        <v>0</v>
      </c>
      <c r="N610">
        <v>0</v>
      </c>
      <c r="O610">
        <v>0</v>
      </c>
      <c r="Q610">
        <v>1</v>
      </c>
      <c r="R610">
        <v>0</v>
      </c>
      <c r="S610">
        <v>0</v>
      </c>
      <c r="T610">
        <v>5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</row>
    <row r="611" spans="1:29" x14ac:dyDescent="0.35">
      <c r="A611">
        <v>2095</v>
      </c>
      <c r="B611">
        <v>2095</v>
      </c>
      <c r="C611">
        <v>57</v>
      </c>
      <c r="D611">
        <v>31</v>
      </c>
      <c r="E611">
        <v>64</v>
      </c>
      <c r="F611">
        <v>3</v>
      </c>
      <c r="G611">
        <v>2.5</v>
      </c>
      <c r="H611">
        <v>1</v>
      </c>
      <c r="I611">
        <v>208</v>
      </c>
      <c r="J611">
        <v>0</v>
      </c>
      <c r="K611">
        <v>1</v>
      </c>
      <c r="L611">
        <v>90024</v>
      </c>
      <c r="M611">
        <v>0</v>
      </c>
      <c r="N611">
        <v>0</v>
      </c>
      <c r="O611">
        <v>0</v>
      </c>
      <c r="Q611">
        <v>1</v>
      </c>
      <c r="R611">
        <v>0</v>
      </c>
      <c r="S611">
        <v>0</v>
      </c>
      <c r="T611">
        <v>5</v>
      </c>
      <c r="U611">
        <v>1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</row>
    <row r="612" spans="1:29" x14ac:dyDescent="0.35">
      <c r="A612">
        <v>2096</v>
      </c>
      <c r="B612">
        <v>2096</v>
      </c>
      <c r="C612">
        <v>47</v>
      </c>
      <c r="D612">
        <v>21</v>
      </c>
      <c r="E612">
        <v>174</v>
      </c>
      <c r="F612">
        <v>4</v>
      </c>
      <c r="G612">
        <v>3.2</v>
      </c>
      <c r="H612">
        <v>3</v>
      </c>
      <c r="I612">
        <v>0</v>
      </c>
      <c r="J612">
        <v>0</v>
      </c>
      <c r="K612">
        <v>0</v>
      </c>
      <c r="L612">
        <v>94025</v>
      </c>
      <c r="M612">
        <v>1</v>
      </c>
      <c r="N612">
        <v>0</v>
      </c>
      <c r="O612">
        <v>0</v>
      </c>
      <c r="Q612">
        <v>0</v>
      </c>
      <c r="R612">
        <v>1</v>
      </c>
      <c r="S612">
        <v>1</v>
      </c>
      <c r="T612">
        <v>10</v>
      </c>
      <c r="U612">
        <v>0</v>
      </c>
      <c r="V612">
        <v>1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0</v>
      </c>
      <c r="AC612">
        <v>1</v>
      </c>
    </row>
    <row r="613" spans="1:29" x14ac:dyDescent="0.35">
      <c r="A613">
        <v>2097</v>
      </c>
      <c r="B613">
        <v>2097</v>
      </c>
      <c r="C613">
        <v>55</v>
      </c>
      <c r="D613">
        <v>29</v>
      </c>
      <c r="E613">
        <v>54</v>
      </c>
      <c r="F613">
        <v>2</v>
      </c>
      <c r="G613">
        <v>2.2999999999999998</v>
      </c>
      <c r="H613">
        <v>3</v>
      </c>
      <c r="I613">
        <v>93</v>
      </c>
      <c r="J613">
        <v>0</v>
      </c>
      <c r="K613">
        <v>0</v>
      </c>
      <c r="L613">
        <v>95051</v>
      </c>
      <c r="M613">
        <v>0</v>
      </c>
      <c r="N613">
        <v>0</v>
      </c>
      <c r="O613">
        <v>0</v>
      </c>
      <c r="Q613">
        <v>0</v>
      </c>
      <c r="R613">
        <v>0</v>
      </c>
      <c r="S613">
        <v>0</v>
      </c>
      <c r="T613">
        <v>5</v>
      </c>
      <c r="U613">
        <v>1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</row>
    <row r="614" spans="1:29" x14ac:dyDescent="0.35">
      <c r="A614">
        <v>2100</v>
      </c>
      <c r="B614">
        <v>2100</v>
      </c>
      <c r="C614">
        <v>53</v>
      </c>
      <c r="D614">
        <v>29</v>
      </c>
      <c r="E614">
        <v>10</v>
      </c>
      <c r="F614">
        <v>2</v>
      </c>
      <c r="G614">
        <v>0.4</v>
      </c>
      <c r="H614">
        <v>1</v>
      </c>
      <c r="I614">
        <v>0</v>
      </c>
      <c r="J614">
        <v>0</v>
      </c>
      <c r="K614">
        <v>0</v>
      </c>
      <c r="L614">
        <v>90095</v>
      </c>
      <c r="M614">
        <v>0</v>
      </c>
      <c r="N614">
        <v>0</v>
      </c>
      <c r="O614">
        <v>0</v>
      </c>
      <c r="Q614">
        <v>1</v>
      </c>
      <c r="R614">
        <v>0</v>
      </c>
      <c r="S614">
        <v>0</v>
      </c>
      <c r="T614">
        <v>5</v>
      </c>
      <c r="U614">
        <v>1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</row>
    <row r="615" spans="1:29" x14ac:dyDescent="0.35">
      <c r="A615">
        <v>2101</v>
      </c>
      <c r="B615">
        <v>2101</v>
      </c>
      <c r="C615">
        <v>31</v>
      </c>
      <c r="D615">
        <v>6</v>
      </c>
      <c r="E615">
        <v>145</v>
      </c>
      <c r="F615">
        <v>1</v>
      </c>
      <c r="G615">
        <v>0.8</v>
      </c>
      <c r="H615">
        <v>1</v>
      </c>
      <c r="I615">
        <v>84</v>
      </c>
      <c r="J615">
        <v>1</v>
      </c>
      <c r="K615">
        <v>0</v>
      </c>
      <c r="L615">
        <v>93940</v>
      </c>
      <c r="M615">
        <v>0</v>
      </c>
      <c r="N615">
        <v>0</v>
      </c>
      <c r="O615">
        <v>0</v>
      </c>
      <c r="Q615">
        <v>1</v>
      </c>
      <c r="R615">
        <v>0</v>
      </c>
      <c r="S615">
        <v>0</v>
      </c>
      <c r="T615">
        <v>22</v>
      </c>
      <c r="U615">
        <v>1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</row>
    <row r="616" spans="1:29" x14ac:dyDescent="0.35">
      <c r="A616">
        <v>2103</v>
      </c>
      <c r="B616">
        <v>2103</v>
      </c>
      <c r="C616">
        <v>25</v>
      </c>
      <c r="D616">
        <v>-1</v>
      </c>
      <c r="E616">
        <v>81</v>
      </c>
      <c r="F616">
        <v>2</v>
      </c>
      <c r="G616">
        <v>1.6</v>
      </c>
      <c r="H616">
        <v>3</v>
      </c>
      <c r="I616">
        <v>0</v>
      </c>
      <c r="J616">
        <v>1</v>
      </c>
      <c r="K616">
        <v>1</v>
      </c>
      <c r="L616">
        <v>92647</v>
      </c>
      <c r="M616">
        <v>0</v>
      </c>
      <c r="N616">
        <v>0</v>
      </c>
      <c r="O616">
        <v>0</v>
      </c>
      <c r="Q616">
        <v>0</v>
      </c>
      <c r="R616">
        <v>0</v>
      </c>
      <c r="S616">
        <v>0</v>
      </c>
      <c r="T616">
        <v>5</v>
      </c>
      <c r="U616">
        <v>1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</row>
    <row r="617" spans="1:29" x14ac:dyDescent="0.35">
      <c r="A617">
        <v>2105</v>
      </c>
      <c r="B617">
        <v>2105</v>
      </c>
      <c r="C617">
        <v>40</v>
      </c>
      <c r="D617">
        <v>14</v>
      </c>
      <c r="E617">
        <v>58</v>
      </c>
      <c r="F617">
        <v>4</v>
      </c>
      <c r="G617">
        <v>0.2</v>
      </c>
      <c r="H617">
        <v>3</v>
      </c>
      <c r="I617">
        <v>0</v>
      </c>
      <c r="J617">
        <v>1</v>
      </c>
      <c r="K617">
        <v>0</v>
      </c>
      <c r="L617">
        <v>90245</v>
      </c>
      <c r="M617">
        <v>0</v>
      </c>
      <c r="N617">
        <v>0</v>
      </c>
      <c r="O617">
        <v>0</v>
      </c>
      <c r="Q617">
        <v>0</v>
      </c>
      <c r="R617">
        <v>0</v>
      </c>
      <c r="S617">
        <v>0</v>
      </c>
      <c r="T617">
        <v>5</v>
      </c>
      <c r="U617">
        <v>1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</row>
    <row r="618" spans="1:29" x14ac:dyDescent="0.35">
      <c r="A618">
        <v>2106</v>
      </c>
      <c r="B618">
        <v>2106</v>
      </c>
      <c r="C618">
        <v>31</v>
      </c>
      <c r="D618">
        <v>5</v>
      </c>
      <c r="E618">
        <v>49</v>
      </c>
      <c r="F618">
        <v>4</v>
      </c>
      <c r="G618">
        <v>1.8</v>
      </c>
      <c r="H618">
        <v>3</v>
      </c>
      <c r="I618">
        <v>0</v>
      </c>
      <c r="J618">
        <v>1</v>
      </c>
      <c r="K618">
        <v>1</v>
      </c>
      <c r="L618">
        <v>94114</v>
      </c>
      <c r="M618">
        <v>0</v>
      </c>
      <c r="N618">
        <v>0</v>
      </c>
      <c r="O618">
        <v>0</v>
      </c>
      <c r="Q618">
        <v>0</v>
      </c>
      <c r="R618">
        <v>0</v>
      </c>
      <c r="S618">
        <v>0</v>
      </c>
      <c r="T618">
        <v>5</v>
      </c>
      <c r="U618">
        <v>1</v>
      </c>
      <c r="V618">
        <v>0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</row>
    <row r="619" spans="1:29" x14ac:dyDescent="0.35">
      <c r="A619">
        <v>2109</v>
      </c>
      <c r="B619">
        <v>2109</v>
      </c>
      <c r="C619">
        <v>56</v>
      </c>
      <c r="D619">
        <v>32</v>
      </c>
      <c r="E619">
        <v>85</v>
      </c>
      <c r="F619">
        <v>3</v>
      </c>
      <c r="G619">
        <v>2.67</v>
      </c>
      <c r="H619">
        <v>1</v>
      </c>
      <c r="I619">
        <v>0</v>
      </c>
      <c r="J619">
        <v>1</v>
      </c>
      <c r="K619">
        <v>0</v>
      </c>
      <c r="L619">
        <v>94132</v>
      </c>
      <c r="M619">
        <v>0</v>
      </c>
      <c r="N619">
        <v>1</v>
      </c>
      <c r="O619">
        <v>0</v>
      </c>
      <c r="Q619">
        <v>1</v>
      </c>
      <c r="R619">
        <v>0</v>
      </c>
      <c r="S619">
        <v>0</v>
      </c>
      <c r="T619">
        <v>5</v>
      </c>
      <c r="U619">
        <v>1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</row>
    <row r="620" spans="1:29" x14ac:dyDescent="0.35">
      <c r="A620">
        <v>2115</v>
      </c>
      <c r="B620">
        <v>2115</v>
      </c>
      <c r="C620">
        <v>62</v>
      </c>
      <c r="D620">
        <v>36</v>
      </c>
      <c r="E620">
        <v>69</v>
      </c>
      <c r="F620">
        <v>2</v>
      </c>
      <c r="G620">
        <v>1.7</v>
      </c>
      <c r="H620">
        <v>3</v>
      </c>
      <c r="I620">
        <v>0</v>
      </c>
      <c r="J620">
        <v>1</v>
      </c>
      <c r="K620">
        <v>0</v>
      </c>
      <c r="L620">
        <v>95039</v>
      </c>
      <c r="M620">
        <v>0</v>
      </c>
      <c r="N620">
        <v>0</v>
      </c>
      <c r="O620">
        <v>0</v>
      </c>
      <c r="Q620">
        <v>0</v>
      </c>
      <c r="R620">
        <v>0</v>
      </c>
      <c r="S620">
        <v>0</v>
      </c>
      <c r="T620">
        <v>5</v>
      </c>
      <c r="U620">
        <v>1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</row>
    <row r="621" spans="1:29" x14ac:dyDescent="0.35">
      <c r="A621">
        <v>2118</v>
      </c>
      <c r="B621">
        <v>2118</v>
      </c>
      <c r="C621">
        <v>31</v>
      </c>
      <c r="D621">
        <v>7</v>
      </c>
      <c r="E621">
        <v>15</v>
      </c>
      <c r="F621">
        <v>3</v>
      </c>
      <c r="G621">
        <v>0.9</v>
      </c>
      <c r="H621">
        <v>3</v>
      </c>
      <c r="I621">
        <v>0</v>
      </c>
      <c r="J621">
        <v>1</v>
      </c>
      <c r="K621">
        <v>0</v>
      </c>
      <c r="L621">
        <v>91380</v>
      </c>
      <c r="M621">
        <v>0</v>
      </c>
      <c r="N621">
        <v>0</v>
      </c>
      <c r="O621">
        <v>0</v>
      </c>
      <c r="Q621">
        <v>0</v>
      </c>
      <c r="R621">
        <v>0</v>
      </c>
      <c r="S621">
        <v>0</v>
      </c>
      <c r="T621">
        <v>5</v>
      </c>
      <c r="U621">
        <v>1</v>
      </c>
      <c r="V621">
        <v>0</v>
      </c>
      <c r="W621">
        <v>1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</row>
    <row r="622" spans="1:29" x14ac:dyDescent="0.35">
      <c r="A622">
        <v>2120</v>
      </c>
      <c r="B622">
        <v>2120</v>
      </c>
      <c r="C622">
        <v>39</v>
      </c>
      <c r="D622">
        <v>13</v>
      </c>
      <c r="E622">
        <v>50</v>
      </c>
      <c r="F622">
        <v>3</v>
      </c>
      <c r="G622">
        <v>0.5</v>
      </c>
      <c r="H622">
        <v>3</v>
      </c>
      <c r="I622">
        <v>0</v>
      </c>
      <c r="J622">
        <v>0</v>
      </c>
      <c r="K622">
        <v>0</v>
      </c>
      <c r="L622">
        <v>94923</v>
      </c>
      <c r="M622">
        <v>0</v>
      </c>
      <c r="N622">
        <v>0</v>
      </c>
      <c r="O622">
        <v>0</v>
      </c>
      <c r="Q622">
        <v>0</v>
      </c>
      <c r="R622">
        <v>0</v>
      </c>
      <c r="S622">
        <v>0</v>
      </c>
      <c r="T622">
        <v>5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</row>
    <row r="623" spans="1:29" x14ac:dyDescent="0.35">
      <c r="A623">
        <v>2123</v>
      </c>
      <c r="B623">
        <v>2123</v>
      </c>
      <c r="C623">
        <v>55</v>
      </c>
      <c r="D623">
        <v>29</v>
      </c>
      <c r="E623">
        <v>64</v>
      </c>
      <c r="F623">
        <v>3</v>
      </c>
      <c r="G623">
        <v>0.8</v>
      </c>
      <c r="H623">
        <v>1</v>
      </c>
      <c r="I623">
        <v>119</v>
      </c>
      <c r="J623">
        <v>0</v>
      </c>
      <c r="K623">
        <v>1</v>
      </c>
      <c r="L623">
        <v>93437</v>
      </c>
      <c r="M623">
        <v>0</v>
      </c>
      <c r="N623">
        <v>0</v>
      </c>
      <c r="O623">
        <v>0</v>
      </c>
      <c r="Q623">
        <v>1</v>
      </c>
      <c r="R623">
        <v>0</v>
      </c>
      <c r="S623">
        <v>0</v>
      </c>
      <c r="T623">
        <v>5</v>
      </c>
      <c r="U623">
        <v>1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</row>
    <row r="624" spans="1:29" x14ac:dyDescent="0.35">
      <c r="A624">
        <v>2125</v>
      </c>
      <c r="B624">
        <v>2125</v>
      </c>
      <c r="C624">
        <v>35</v>
      </c>
      <c r="D624">
        <v>9</v>
      </c>
      <c r="E624">
        <v>44</v>
      </c>
      <c r="F624">
        <v>3</v>
      </c>
      <c r="G624">
        <v>0.9</v>
      </c>
      <c r="H624">
        <v>1</v>
      </c>
      <c r="I624">
        <v>89</v>
      </c>
      <c r="J624">
        <v>0</v>
      </c>
      <c r="K624">
        <v>0</v>
      </c>
      <c r="L624">
        <v>92054</v>
      </c>
      <c r="M624">
        <v>0</v>
      </c>
      <c r="N624">
        <v>0</v>
      </c>
      <c r="O624">
        <v>0</v>
      </c>
      <c r="Q624">
        <v>1</v>
      </c>
      <c r="R624">
        <v>0</v>
      </c>
      <c r="S624">
        <v>0</v>
      </c>
      <c r="T624">
        <v>5</v>
      </c>
      <c r="U624">
        <v>1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</row>
    <row r="625" spans="1:29" x14ac:dyDescent="0.35">
      <c r="A625">
        <v>2126</v>
      </c>
      <c r="B625">
        <v>2126</v>
      </c>
      <c r="C625">
        <v>44</v>
      </c>
      <c r="D625">
        <v>20</v>
      </c>
      <c r="E625">
        <v>93</v>
      </c>
      <c r="F625">
        <v>4</v>
      </c>
      <c r="G625">
        <v>0.8</v>
      </c>
      <c r="H625">
        <v>1</v>
      </c>
      <c r="I625">
        <v>101</v>
      </c>
      <c r="J625">
        <v>1</v>
      </c>
      <c r="K625">
        <v>0</v>
      </c>
      <c r="L625">
        <v>91910</v>
      </c>
      <c r="M625">
        <v>0</v>
      </c>
      <c r="N625">
        <v>0</v>
      </c>
      <c r="O625">
        <v>0</v>
      </c>
      <c r="Q625">
        <v>1</v>
      </c>
      <c r="R625">
        <v>0</v>
      </c>
      <c r="S625">
        <v>0</v>
      </c>
      <c r="T625">
        <v>5</v>
      </c>
      <c r="U625">
        <v>1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</row>
    <row r="626" spans="1:29" x14ac:dyDescent="0.35">
      <c r="A626">
        <v>2130</v>
      </c>
      <c r="B626">
        <v>2130</v>
      </c>
      <c r="C626">
        <v>35</v>
      </c>
      <c r="D626">
        <v>10</v>
      </c>
      <c r="E626">
        <v>58</v>
      </c>
      <c r="F626">
        <v>4</v>
      </c>
      <c r="G626">
        <v>0.7</v>
      </c>
      <c r="H626">
        <v>3</v>
      </c>
      <c r="I626">
        <v>232</v>
      </c>
      <c r="J626">
        <v>0</v>
      </c>
      <c r="K626">
        <v>0</v>
      </c>
      <c r="L626">
        <v>91754</v>
      </c>
      <c r="M626">
        <v>0</v>
      </c>
      <c r="N626">
        <v>0</v>
      </c>
      <c r="O626">
        <v>0</v>
      </c>
      <c r="Q626">
        <v>0</v>
      </c>
      <c r="R626">
        <v>0</v>
      </c>
      <c r="S626">
        <v>0</v>
      </c>
      <c r="T626">
        <v>5</v>
      </c>
      <c r="U626">
        <v>1</v>
      </c>
      <c r="V626">
        <v>0</v>
      </c>
      <c r="W626">
        <v>1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</row>
    <row r="627" spans="1:29" x14ac:dyDescent="0.35">
      <c r="A627">
        <v>2132</v>
      </c>
      <c r="B627">
        <v>2132</v>
      </c>
      <c r="C627">
        <v>55</v>
      </c>
      <c r="D627">
        <v>31</v>
      </c>
      <c r="E627">
        <v>15</v>
      </c>
      <c r="F627">
        <v>1</v>
      </c>
      <c r="G627">
        <v>0.2</v>
      </c>
      <c r="H627">
        <v>1</v>
      </c>
      <c r="I627">
        <v>0</v>
      </c>
      <c r="J627">
        <v>0</v>
      </c>
      <c r="K627">
        <v>0</v>
      </c>
      <c r="L627">
        <v>95747</v>
      </c>
      <c r="M627">
        <v>0</v>
      </c>
      <c r="N627">
        <v>0</v>
      </c>
      <c r="O627">
        <v>0</v>
      </c>
      <c r="Q627">
        <v>1</v>
      </c>
      <c r="R627">
        <v>0</v>
      </c>
      <c r="S627">
        <v>0</v>
      </c>
      <c r="T627">
        <v>5</v>
      </c>
      <c r="U627">
        <v>1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</row>
    <row r="628" spans="1:29" x14ac:dyDescent="0.35">
      <c r="A628">
        <v>2134</v>
      </c>
      <c r="B628">
        <v>2134</v>
      </c>
      <c r="C628">
        <v>39</v>
      </c>
      <c r="D628">
        <v>15</v>
      </c>
      <c r="E628">
        <v>41</v>
      </c>
      <c r="F628">
        <v>1</v>
      </c>
      <c r="G628">
        <v>2</v>
      </c>
      <c r="H628">
        <v>2</v>
      </c>
      <c r="I628">
        <v>176</v>
      </c>
      <c r="J628">
        <v>1</v>
      </c>
      <c r="K628">
        <v>0</v>
      </c>
      <c r="L628">
        <v>95035</v>
      </c>
      <c r="M628">
        <v>0</v>
      </c>
      <c r="N628">
        <v>0</v>
      </c>
      <c r="O628">
        <v>0</v>
      </c>
      <c r="Q628">
        <v>0</v>
      </c>
      <c r="R628">
        <v>0</v>
      </c>
      <c r="S628">
        <v>0</v>
      </c>
      <c r="T628">
        <v>5</v>
      </c>
      <c r="U628">
        <v>1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</row>
    <row r="629" spans="1:29" x14ac:dyDescent="0.35">
      <c r="A629">
        <v>2136</v>
      </c>
      <c r="B629">
        <v>2136</v>
      </c>
      <c r="C629">
        <v>45</v>
      </c>
      <c r="D629">
        <v>15</v>
      </c>
      <c r="E629">
        <v>28</v>
      </c>
      <c r="F629">
        <v>1</v>
      </c>
      <c r="G629">
        <v>0.75</v>
      </c>
      <c r="H629">
        <v>3</v>
      </c>
      <c r="I629">
        <v>0</v>
      </c>
      <c r="J629">
        <v>0</v>
      </c>
      <c r="K629">
        <v>0</v>
      </c>
      <c r="L629">
        <v>95039</v>
      </c>
      <c r="M629">
        <v>0</v>
      </c>
      <c r="N629">
        <v>1</v>
      </c>
      <c r="O629">
        <v>0</v>
      </c>
      <c r="Q629">
        <v>0</v>
      </c>
      <c r="R629">
        <v>0</v>
      </c>
      <c r="S629">
        <v>0</v>
      </c>
      <c r="T629">
        <v>5</v>
      </c>
      <c r="U629">
        <v>1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</row>
    <row r="630" spans="1:29" x14ac:dyDescent="0.35">
      <c r="A630">
        <v>2137</v>
      </c>
      <c r="B630">
        <v>2137</v>
      </c>
      <c r="C630">
        <v>50</v>
      </c>
      <c r="D630">
        <v>26</v>
      </c>
      <c r="E630">
        <v>115</v>
      </c>
      <c r="F630">
        <v>1</v>
      </c>
      <c r="G630">
        <v>1.2</v>
      </c>
      <c r="H630">
        <v>3</v>
      </c>
      <c r="I630">
        <v>0</v>
      </c>
      <c r="J630">
        <v>0</v>
      </c>
      <c r="K630">
        <v>1</v>
      </c>
      <c r="L630">
        <v>95008</v>
      </c>
      <c r="M630">
        <v>1</v>
      </c>
      <c r="N630">
        <v>0</v>
      </c>
      <c r="O630">
        <v>0</v>
      </c>
      <c r="Q630">
        <v>0</v>
      </c>
      <c r="R630">
        <v>1</v>
      </c>
      <c r="S630">
        <v>0</v>
      </c>
      <c r="T630">
        <v>13</v>
      </c>
      <c r="U630">
        <v>0.88607594936708001</v>
      </c>
      <c r="V630">
        <v>0.11392405063291</v>
      </c>
      <c r="W630">
        <v>0.88607594936708001</v>
      </c>
      <c r="X630">
        <v>0.11392405063291</v>
      </c>
      <c r="Y630">
        <v>0.86842105263156999</v>
      </c>
      <c r="Z630">
        <v>0.13157894736841999</v>
      </c>
      <c r="AA630">
        <v>-0.88607594936708001</v>
      </c>
      <c r="AB630">
        <v>0.88607594936709</v>
      </c>
      <c r="AC630">
        <v>0</v>
      </c>
    </row>
    <row r="631" spans="1:29" x14ac:dyDescent="0.35">
      <c r="A631">
        <v>2139</v>
      </c>
      <c r="B631">
        <v>2139</v>
      </c>
      <c r="C631">
        <v>36</v>
      </c>
      <c r="D631">
        <v>11</v>
      </c>
      <c r="E631">
        <v>40</v>
      </c>
      <c r="F631">
        <v>2</v>
      </c>
      <c r="G631">
        <v>1.1000000000000001</v>
      </c>
      <c r="H631">
        <v>2</v>
      </c>
      <c r="I631">
        <v>166</v>
      </c>
      <c r="J631">
        <v>0</v>
      </c>
      <c r="K631">
        <v>0</v>
      </c>
      <c r="L631">
        <v>93611</v>
      </c>
      <c r="M631">
        <v>0</v>
      </c>
      <c r="N631">
        <v>1</v>
      </c>
      <c r="O631">
        <v>0</v>
      </c>
      <c r="Q631">
        <v>0</v>
      </c>
      <c r="R631">
        <v>0</v>
      </c>
      <c r="S631">
        <v>0</v>
      </c>
      <c r="T631">
        <v>5</v>
      </c>
      <c r="U631">
        <v>1</v>
      </c>
      <c r="V631">
        <v>0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</row>
    <row r="632" spans="1:29" x14ac:dyDescent="0.35">
      <c r="A632">
        <v>2146</v>
      </c>
      <c r="B632">
        <v>2146</v>
      </c>
      <c r="C632">
        <v>57</v>
      </c>
      <c r="D632">
        <v>32</v>
      </c>
      <c r="E632">
        <v>40</v>
      </c>
      <c r="F632">
        <v>3</v>
      </c>
      <c r="G632">
        <v>1.7</v>
      </c>
      <c r="H632">
        <v>1</v>
      </c>
      <c r="I632">
        <v>0</v>
      </c>
      <c r="J632">
        <v>1</v>
      </c>
      <c r="K632">
        <v>1</v>
      </c>
      <c r="L632">
        <v>94720</v>
      </c>
      <c r="M632">
        <v>0</v>
      </c>
      <c r="N632">
        <v>0</v>
      </c>
      <c r="O632">
        <v>0</v>
      </c>
      <c r="Q632">
        <v>1</v>
      </c>
      <c r="R632">
        <v>0</v>
      </c>
      <c r="S632">
        <v>0</v>
      </c>
      <c r="T632">
        <v>5</v>
      </c>
      <c r="U632">
        <v>1</v>
      </c>
      <c r="V632">
        <v>0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</row>
    <row r="633" spans="1:29" x14ac:dyDescent="0.35">
      <c r="A633">
        <v>2151</v>
      </c>
      <c r="B633">
        <v>2151</v>
      </c>
      <c r="C633">
        <v>62</v>
      </c>
      <c r="D633">
        <v>38</v>
      </c>
      <c r="E633">
        <v>54</v>
      </c>
      <c r="F633">
        <v>1</v>
      </c>
      <c r="G633">
        <v>0.8</v>
      </c>
      <c r="H633">
        <v>1</v>
      </c>
      <c r="I633">
        <v>0</v>
      </c>
      <c r="J633">
        <v>0</v>
      </c>
      <c r="K633">
        <v>1</v>
      </c>
      <c r="L633">
        <v>91320</v>
      </c>
      <c r="M633">
        <v>0</v>
      </c>
      <c r="N633">
        <v>1</v>
      </c>
      <c r="O633">
        <v>0</v>
      </c>
      <c r="Q633">
        <v>1</v>
      </c>
      <c r="R633">
        <v>0</v>
      </c>
      <c r="S633">
        <v>0</v>
      </c>
      <c r="T633">
        <v>5</v>
      </c>
      <c r="U633">
        <v>1</v>
      </c>
      <c r="V633">
        <v>0</v>
      </c>
      <c r="W633">
        <v>1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</row>
    <row r="634" spans="1:29" x14ac:dyDescent="0.35">
      <c r="A634">
        <v>2153</v>
      </c>
      <c r="B634">
        <v>2153</v>
      </c>
      <c r="C634">
        <v>62</v>
      </c>
      <c r="D634">
        <v>38</v>
      </c>
      <c r="E634">
        <v>30</v>
      </c>
      <c r="F634">
        <v>3</v>
      </c>
      <c r="G634">
        <v>0.1</v>
      </c>
      <c r="H634">
        <v>3</v>
      </c>
      <c r="I634">
        <v>128</v>
      </c>
      <c r="J634">
        <v>1</v>
      </c>
      <c r="K634">
        <v>0</v>
      </c>
      <c r="L634">
        <v>94304</v>
      </c>
      <c r="M634">
        <v>0</v>
      </c>
      <c r="N634">
        <v>0</v>
      </c>
      <c r="O634">
        <v>0</v>
      </c>
      <c r="Q634">
        <v>0</v>
      </c>
      <c r="R634">
        <v>0</v>
      </c>
      <c r="S634">
        <v>0</v>
      </c>
      <c r="T634">
        <v>5</v>
      </c>
      <c r="U634">
        <v>1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</row>
    <row r="635" spans="1:29" x14ac:dyDescent="0.35">
      <c r="A635">
        <v>2154</v>
      </c>
      <c r="B635">
        <v>2154</v>
      </c>
      <c r="C635">
        <v>40</v>
      </c>
      <c r="D635">
        <v>14</v>
      </c>
      <c r="E635">
        <v>123</v>
      </c>
      <c r="F635">
        <v>1</v>
      </c>
      <c r="G635">
        <v>5.2</v>
      </c>
      <c r="H635">
        <v>1</v>
      </c>
      <c r="I635">
        <v>0</v>
      </c>
      <c r="J635">
        <v>1</v>
      </c>
      <c r="K635">
        <v>0</v>
      </c>
      <c r="L635">
        <v>90041</v>
      </c>
      <c r="M635">
        <v>0</v>
      </c>
      <c r="N635">
        <v>0</v>
      </c>
      <c r="O635">
        <v>0</v>
      </c>
      <c r="Q635">
        <v>1</v>
      </c>
      <c r="R635">
        <v>0</v>
      </c>
      <c r="S635">
        <v>0</v>
      </c>
      <c r="T635">
        <v>22</v>
      </c>
      <c r="U635">
        <v>1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</row>
    <row r="636" spans="1:29" x14ac:dyDescent="0.35">
      <c r="A636">
        <v>2157</v>
      </c>
      <c r="B636">
        <v>2157</v>
      </c>
      <c r="C636">
        <v>35</v>
      </c>
      <c r="D636">
        <v>11</v>
      </c>
      <c r="E636">
        <v>93</v>
      </c>
      <c r="F636">
        <v>2</v>
      </c>
      <c r="G636">
        <v>2.7</v>
      </c>
      <c r="H636">
        <v>1</v>
      </c>
      <c r="I636">
        <v>0</v>
      </c>
      <c r="J636">
        <v>1</v>
      </c>
      <c r="K636">
        <v>1</v>
      </c>
      <c r="L636">
        <v>90747</v>
      </c>
      <c r="M636">
        <v>0</v>
      </c>
      <c r="N636">
        <v>0</v>
      </c>
      <c r="O636">
        <v>0</v>
      </c>
      <c r="Q636">
        <v>1</v>
      </c>
      <c r="R636">
        <v>0</v>
      </c>
      <c r="S636">
        <v>0</v>
      </c>
      <c r="T636">
        <v>5</v>
      </c>
      <c r="U636">
        <v>1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</row>
    <row r="637" spans="1:29" x14ac:dyDescent="0.35">
      <c r="A637">
        <v>2159</v>
      </c>
      <c r="B637">
        <v>2159</v>
      </c>
      <c r="C637">
        <v>50</v>
      </c>
      <c r="D637">
        <v>25</v>
      </c>
      <c r="E637">
        <v>83</v>
      </c>
      <c r="F637">
        <v>4</v>
      </c>
      <c r="G637">
        <v>3.1</v>
      </c>
      <c r="H637">
        <v>1</v>
      </c>
      <c r="I637">
        <v>0</v>
      </c>
      <c r="J637">
        <v>0</v>
      </c>
      <c r="K637">
        <v>1</v>
      </c>
      <c r="L637">
        <v>94720</v>
      </c>
      <c r="M637">
        <v>1</v>
      </c>
      <c r="N637">
        <v>0</v>
      </c>
      <c r="O637">
        <v>0</v>
      </c>
      <c r="Q637">
        <v>1</v>
      </c>
      <c r="R637">
        <v>1</v>
      </c>
      <c r="S637">
        <v>0</v>
      </c>
      <c r="T637">
        <v>15</v>
      </c>
      <c r="U637">
        <v>0.91935483870967005</v>
      </c>
      <c r="V637">
        <v>8.0645161290319997E-2</v>
      </c>
      <c r="W637">
        <v>0.91935483870967005</v>
      </c>
      <c r="X637">
        <v>8.0645161290319997E-2</v>
      </c>
      <c r="Y637">
        <v>0.86</v>
      </c>
      <c r="Z637">
        <v>0.14000000000000001</v>
      </c>
      <c r="AA637">
        <v>-0.91935483870967005</v>
      </c>
      <c r="AB637">
        <v>0.91935483870968004</v>
      </c>
      <c r="AC637">
        <v>0</v>
      </c>
    </row>
    <row r="638" spans="1:29" x14ac:dyDescent="0.35">
      <c r="A638">
        <v>2160</v>
      </c>
      <c r="B638">
        <v>2160</v>
      </c>
      <c r="C638">
        <v>61</v>
      </c>
      <c r="D638">
        <v>35</v>
      </c>
      <c r="E638">
        <v>99</v>
      </c>
      <c r="F638">
        <v>1</v>
      </c>
      <c r="G638">
        <v>4.8</v>
      </c>
      <c r="H638">
        <v>3</v>
      </c>
      <c r="I638">
        <v>255</v>
      </c>
      <c r="J638">
        <v>0</v>
      </c>
      <c r="K638">
        <v>1</v>
      </c>
      <c r="L638">
        <v>94085</v>
      </c>
      <c r="M638">
        <v>1</v>
      </c>
      <c r="N638">
        <v>0</v>
      </c>
      <c r="O638">
        <v>0</v>
      </c>
      <c r="Q638">
        <v>0</v>
      </c>
      <c r="R638">
        <v>1</v>
      </c>
      <c r="S638">
        <v>1</v>
      </c>
      <c r="T638">
        <v>14</v>
      </c>
      <c r="U638">
        <v>0.24242424242423999</v>
      </c>
      <c r="V638">
        <v>0.75757575757575002</v>
      </c>
      <c r="W638">
        <v>0.24242424242423999</v>
      </c>
      <c r="X638">
        <v>0.75757575757575002</v>
      </c>
      <c r="Y638">
        <v>0.44444444444443998</v>
      </c>
      <c r="Z638">
        <v>0.55555555555555003</v>
      </c>
      <c r="AA638">
        <v>-0.24242424242423999</v>
      </c>
      <c r="AB638">
        <v>0.24242424242424901</v>
      </c>
      <c r="AC638">
        <v>1</v>
      </c>
    </row>
    <row r="639" spans="1:29" x14ac:dyDescent="0.35">
      <c r="A639">
        <v>2161</v>
      </c>
      <c r="B639">
        <v>2161</v>
      </c>
      <c r="C639">
        <v>43</v>
      </c>
      <c r="D639">
        <v>17</v>
      </c>
      <c r="E639">
        <v>55</v>
      </c>
      <c r="F639">
        <v>3</v>
      </c>
      <c r="G639">
        <v>2.2000000000000002</v>
      </c>
      <c r="H639">
        <v>2</v>
      </c>
      <c r="I639">
        <v>0</v>
      </c>
      <c r="J639">
        <v>0</v>
      </c>
      <c r="K639">
        <v>0</v>
      </c>
      <c r="L639">
        <v>93933</v>
      </c>
      <c r="M639">
        <v>0</v>
      </c>
      <c r="N639">
        <v>0</v>
      </c>
      <c r="O639">
        <v>0</v>
      </c>
      <c r="Q639">
        <v>0</v>
      </c>
      <c r="R639">
        <v>0</v>
      </c>
      <c r="S639">
        <v>0</v>
      </c>
      <c r="T639">
        <v>5</v>
      </c>
      <c r="U639">
        <v>1</v>
      </c>
      <c r="V639">
        <v>0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</row>
    <row r="640" spans="1:29" x14ac:dyDescent="0.35">
      <c r="A640">
        <v>2165</v>
      </c>
      <c r="B640">
        <v>2165</v>
      </c>
      <c r="C640">
        <v>27</v>
      </c>
      <c r="D640">
        <v>3</v>
      </c>
      <c r="E640">
        <v>104</v>
      </c>
      <c r="F640">
        <v>2</v>
      </c>
      <c r="G640">
        <v>2.5</v>
      </c>
      <c r="H640">
        <v>1</v>
      </c>
      <c r="I640">
        <v>184</v>
      </c>
      <c r="J640">
        <v>1</v>
      </c>
      <c r="K640">
        <v>0</v>
      </c>
      <c r="L640">
        <v>92007</v>
      </c>
      <c r="M640">
        <v>0</v>
      </c>
      <c r="N640">
        <v>1</v>
      </c>
      <c r="O640">
        <v>0</v>
      </c>
      <c r="Q640">
        <v>1</v>
      </c>
      <c r="R640">
        <v>0</v>
      </c>
      <c r="S640">
        <v>0</v>
      </c>
      <c r="T640">
        <v>25</v>
      </c>
      <c r="U640">
        <v>1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</row>
    <row r="641" spans="1:29" x14ac:dyDescent="0.35">
      <c r="A641">
        <v>2168</v>
      </c>
      <c r="B641">
        <v>2168</v>
      </c>
      <c r="C641">
        <v>65</v>
      </c>
      <c r="D641">
        <v>40</v>
      </c>
      <c r="E641">
        <v>162</v>
      </c>
      <c r="F641">
        <v>1</v>
      </c>
      <c r="G641">
        <v>1.3</v>
      </c>
      <c r="H641">
        <v>1</v>
      </c>
      <c r="I641">
        <v>0</v>
      </c>
      <c r="J641">
        <v>1</v>
      </c>
      <c r="K641">
        <v>0</v>
      </c>
      <c r="L641">
        <v>94596</v>
      </c>
      <c r="M641">
        <v>0</v>
      </c>
      <c r="N641">
        <v>0</v>
      </c>
      <c r="O641">
        <v>0</v>
      </c>
      <c r="Q641">
        <v>1</v>
      </c>
      <c r="R641">
        <v>0</v>
      </c>
      <c r="S641">
        <v>0</v>
      </c>
      <c r="T641">
        <v>22</v>
      </c>
      <c r="U641">
        <v>1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</row>
    <row r="642" spans="1:29" x14ac:dyDescent="0.35">
      <c r="A642">
        <v>2178</v>
      </c>
      <c r="B642">
        <v>2178</v>
      </c>
      <c r="C642">
        <v>31</v>
      </c>
      <c r="D642">
        <v>7</v>
      </c>
      <c r="E642">
        <v>108</v>
      </c>
      <c r="F642">
        <v>1</v>
      </c>
      <c r="G642">
        <v>4</v>
      </c>
      <c r="H642">
        <v>1</v>
      </c>
      <c r="I642">
        <v>0</v>
      </c>
      <c r="J642">
        <v>1</v>
      </c>
      <c r="K642">
        <v>0</v>
      </c>
      <c r="L642">
        <v>94507</v>
      </c>
      <c r="M642">
        <v>0</v>
      </c>
      <c r="N642">
        <v>0</v>
      </c>
      <c r="O642">
        <v>0</v>
      </c>
      <c r="Q642">
        <v>1</v>
      </c>
      <c r="R642">
        <v>0</v>
      </c>
      <c r="S642">
        <v>0</v>
      </c>
      <c r="T642">
        <v>22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</row>
    <row r="643" spans="1:29" x14ac:dyDescent="0.35">
      <c r="A643">
        <v>2179</v>
      </c>
      <c r="B643">
        <v>2179</v>
      </c>
      <c r="C643">
        <v>37</v>
      </c>
      <c r="D643">
        <v>13</v>
      </c>
      <c r="E643">
        <v>158</v>
      </c>
      <c r="F643">
        <v>2</v>
      </c>
      <c r="G643">
        <v>2.2999999999999998</v>
      </c>
      <c r="H643">
        <v>2</v>
      </c>
      <c r="I643">
        <v>0</v>
      </c>
      <c r="J643">
        <v>1</v>
      </c>
      <c r="K643">
        <v>1</v>
      </c>
      <c r="L643">
        <v>93943</v>
      </c>
      <c r="M643">
        <v>1</v>
      </c>
      <c r="N643">
        <v>0</v>
      </c>
      <c r="O643">
        <v>1</v>
      </c>
      <c r="Q643">
        <v>0</v>
      </c>
      <c r="R643">
        <v>1</v>
      </c>
      <c r="S643">
        <v>1</v>
      </c>
      <c r="T643">
        <v>10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1</v>
      </c>
      <c r="AA643">
        <v>0</v>
      </c>
      <c r="AB643">
        <v>0</v>
      </c>
      <c r="AC643">
        <v>1</v>
      </c>
    </row>
    <row r="644" spans="1:29" x14ac:dyDescent="0.35">
      <c r="A644">
        <v>2181</v>
      </c>
      <c r="B644">
        <v>2181</v>
      </c>
      <c r="C644">
        <v>58</v>
      </c>
      <c r="D644">
        <v>33</v>
      </c>
      <c r="E644">
        <v>42</v>
      </c>
      <c r="F644">
        <v>2</v>
      </c>
      <c r="G644">
        <v>1.6</v>
      </c>
      <c r="H644">
        <v>3</v>
      </c>
      <c r="I644">
        <v>0</v>
      </c>
      <c r="J644">
        <v>1</v>
      </c>
      <c r="K644">
        <v>0</v>
      </c>
      <c r="L644">
        <v>91380</v>
      </c>
      <c r="M644">
        <v>0</v>
      </c>
      <c r="N644">
        <v>0</v>
      </c>
      <c r="O644">
        <v>0</v>
      </c>
      <c r="Q644">
        <v>0</v>
      </c>
      <c r="R644">
        <v>0</v>
      </c>
      <c r="S644">
        <v>0</v>
      </c>
      <c r="T644">
        <v>5</v>
      </c>
      <c r="U644">
        <v>1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</row>
    <row r="645" spans="1:29" x14ac:dyDescent="0.35">
      <c r="A645">
        <v>2184</v>
      </c>
      <c r="B645">
        <v>2184</v>
      </c>
      <c r="C645">
        <v>34</v>
      </c>
      <c r="D645">
        <v>8</v>
      </c>
      <c r="E645">
        <v>29</v>
      </c>
      <c r="F645">
        <v>2</v>
      </c>
      <c r="G645">
        <v>2</v>
      </c>
      <c r="H645">
        <v>3</v>
      </c>
      <c r="I645">
        <v>0</v>
      </c>
      <c r="J645">
        <v>1</v>
      </c>
      <c r="K645">
        <v>1</v>
      </c>
      <c r="L645">
        <v>90025</v>
      </c>
      <c r="M645">
        <v>0</v>
      </c>
      <c r="N645">
        <v>0</v>
      </c>
      <c r="O645">
        <v>0</v>
      </c>
      <c r="Q645">
        <v>0</v>
      </c>
      <c r="R645">
        <v>0</v>
      </c>
      <c r="S645">
        <v>0</v>
      </c>
      <c r="T645">
        <v>5</v>
      </c>
      <c r="U645">
        <v>1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</row>
    <row r="646" spans="1:29" x14ac:dyDescent="0.35">
      <c r="A646">
        <v>2185</v>
      </c>
      <c r="B646">
        <v>2185</v>
      </c>
      <c r="C646">
        <v>62</v>
      </c>
      <c r="D646">
        <v>36</v>
      </c>
      <c r="E646">
        <v>183</v>
      </c>
      <c r="F646">
        <v>2</v>
      </c>
      <c r="G646">
        <v>3.4</v>
      </c>
      <c r="H646">
        <v>3</v>
      </c>
      <c r="I646">
        <v>0</v>
      </c>
      <c r="J646">
        <v>0</v>
      </c>
      <c r="K646">
        <v>0</v>
      </c>
      <c r="L646">
        <v>90095</v>
      </c>
      <c r="M646">
        <v>1</v>
      </c>
      <c r="N646">
        <v>0</v>
      </c>
      <c r="O646">
        <v>0</v>
      </c>
      <c r="Q646">
        <v>0</v>
      </c>
      <c r="R646">
        <v>1</v>
      </c>
      <c r="S646">
        <v>1</v>
      </c>
      <c r="T646">
        <v>10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1</v>
      </c>
      <c r="AA646">
        <v>0</v>
      </c>
      <c r="AB646">
        <v>0</v>
      </c>
      <c r="AC646">
        <v>1</v>
      </c>
    </row>
    <row r="647" spans="1:29" x14ac:dyDescent="0.35">
      <c r="A647">
        <v>2188</v>
      </c>
      <c r="B647">
        <v>2188</v>
      </c>
      <c r="C647">
        <v>54</v>
      </c>
      <c r="D647">
        <v>30</v>
      </c>
      <c r="E647">
        <v>40</v>
      </c>
      <c r="F647">
        <v>2</v>
      </c>
      <c r="G647">
        <v>1</v>
      </c>
      <c r="H647">
        <v>3</v>
      </c>
      <c r="I647">
        <v>0</v>
      </c>
      <c r="J647">
        <v>0</v>
      </c>
      <c r="K647">
        <v>0</v>
      </c>
      <c r="L647">
        <v>90024</v>
      </c>
      <c r="M647">
        <v>0</v>
      </c>
      <c r="N647">
        <v>0</v>
      </c>
      <c r="O647">
        <v>0</v>
      </c>
      <c r="Q647">
        <v>0</v>
      </c>
      <c r="R647">
        <v>0</v>
      </c>
      <c r="S647">
        <v>0</v>
      </c>
      <c r="T647">
        <v>5</v>
      </c>
      <c r="U647">
        <v>1</v>
      </c>
      <c r="V647">
        <v>0</v>
      </c>
      <c r="W647">
        <v>1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</row>
    <row r="648" spans="1:29" x14ac:dyDescent="0.35">
      <c r="A648">
        <v>2190</v>
      </c>
      <c r="B648">
        <v>2190</v>
      </c>
      <c r="C648">
        <v>48</v>
      </c>
      <c r="D648">
        <v>23</v>
      </c>
      <c r="E648">
        <v>128</v>
      </c>
      <c r="F648">
        <v>1</v>
      </c>
      <c r="G648">
        <v>0.6</v>
      </c>
      <c r="H648">
        <v>1</v>
      </c>
      <c r="I648">
        <v>0</v>
      </c>
      <c r="J648">
        <v>1</v>
      </c>
      <c r="K648">
        <v>1</v>
      </c>
      <c r="L648">
        <v>94309</v>
      </c>
      <c r="M648">
        <v>0</v>
      </c>
      <c r="N648">
        <v>0</v>
      </c>
      <c r="O648">
        <v>0</v>
      </c>
      <c r="Q648">
        <v>1</v>
      </c>
      <c r="R648">
        <v>0</v>
      </c>
      <c r="S648">
        <v>0</v>
      </c>
      <c r="T648">
        <v>22</v>
      </c>
      <c r="U648">
        <v>1</v>
      </c>
      <c r="V648">
        <v>0</v>
      </c>
      <c r="W648">
        <v>1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</row>
    <row r="649" spans="1:29" x14ac:dyDescent="0.35">
      <c r="A649">
        <v>2192</v>
      </c>
      <c r="B649">
        <v>2192</v>
      </c>
      <c r="C649">
        <v>42</v>
      </c>
      <c r="D649">
        <v>18</v>
      </c>
      <c r="E649">
        <v>171</v>
      </c>
      <c r="F649">
        <v>2</v>
      </c>
      <c r="G649">
        <v>8</v>
      </c>
      <c r="H649">
        <v>1</v>
      </c>
      <c r="I649">
        <v>0</v>
      </c>
      <c r="J649">
        <v>1</v>
      </c>
      <c r="K649">
        <v>0</v>
      </c>
      <c r="L649">
        <v>90027</v>
      </c>
      <c r="M649">
        <v>0</v>
      </c>
      <c r="N649">
        <v>0</v>
      </c>
      <c r="O649">
        <v>0</v>
      </c>
      <c r="Q649">
        <v>1</v>
      </c>
      <c r="R649">
        <v>0</v>
      </c>
      <c r="S649">
        <v>0</v>
      </c>
      <c r="T649">
        <v>22</v>
      </c>
      <c r="U649">
        <v>1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</row>
    <row r="650" spans="1:29" x14ac:dyDescent="0.35">
      <c r="A650">
        <v>2193</v>
      </c>
      <c r="B650">
        <v>2193</v>
      </c>
      <c r="C650">
        <v>25</v>
      </c>
      <c r="D650">
        <v>1</v>
      </c>
      <c r="E650">
        <v>13</v>
      </c>
      <c r="F650">
        <v>4</v>
      </c>
      <c r="G650">
        <v>1</v>
      </c>
      <c r="H650">
        <v>1</v>
      </c>
      <c r="I650">
        <v>95</v>
      </c>
      <c r="J650">
        <v>0</v>
      </c>
      <c r="K650">
        <v>1</v>
      </c>
      <c r="L650">
        <v>95814</v>
      </c>
      <c r="M650">
        <v>0</v>
      </c>
      <c r="N650">
        <v>0</v>
      </c>
      <c r="O650">
        <v>0</v>
      </c>
      <c r="Q650">
        <v>1</v>
      </c>
      <c r="R650">
        <v>0</v>
      </c>
      <c r="S650">
        <v>0</v>
      </c>
      <c r="T650">
        <v>5</v>
      </c>
      <c r="U650">
        <v>1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</row>
    <row r="651" spans="1:29" x14ac:dyDescent="0.35">
      <c r="A651">
        <v>2196</v>
      </c>
      <c r="B651">
        <v>2196</v>
      </c>
      <c r="C651">
        <v>51</v>
      </c>
      <c r="D651">
        <v>27</v>
      </c>
      <c r="E651">
        <v>33</v>
      </c>
      <c r="F651">
        <v>4</v>
      </c>
      <c r="G651">
        <v>0.2</v>
      </c>
      <c r="H651">
        <v>1</v>
      </c>
      <c r="I651">
        <v>83</v>
      </c>
      <c r="J651">
        <v>1</v>
      </c>
      <c r="K651">
        <v>0</v>
      </c>
      <c r="L651">
        <v>92037</v>
      </c>
      <c r="M651">
        <v>0</v>
      </c>
      <c r="N651">
        <v>0</v>
      </c>
      <c r="O651">
        <v>0</v>
      </c>
      <c r="Q651">
        <v>1</v>
      </c>
      <c r="R651">
        <v>0</v>
      </c>
      <c r="S651">
        <v>0</v>
      </c>
      <c r="T651">
        <v>5</v>
      </c>
      <c r="U651">
        <v>1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</row>
    <row r="652" spans="1:29" x14ac:dyDescent="0.35">
      <c r="A652">
        <v>2198</v>
      </c>
      <c r="B652">
        <v>2198</v>
      </c>
      <c r="C652">
        <v>60</v>
      </c>
      <c r="D652">
        <v>35</v>
      </c>
      <c r="E652">
        <v>34</v>
      </c>
      <c r="F652">
        <v>1</v>
      </c>
      <c r="G652">
        <v>0.3</v>
      </c>
      <c r="H652">
        <v>3</v>
      </c>
      <c r="I652">
        <v>0</v>
      </c>
      <c r="J652">
        <v>1</v>
      </c>
      <c r="K652">
        <v>0</v>
      </c>
      <c r="L652">
        <v>94102</v>
      </c>
      <c r="M652">
        <v>0</v>
      </c>
      <c r="N652">
        <v>0</v>
      </c>
      <c r="O652">
        <v>0</v>
      </c>
      <c r="Q652">
        <v>0</v>
      </c>
      <c r="R652">
        <v>0</v>
      </c>
      <c r="S652">
        <v>0</v>
      </c>
      <c r="T652">
        <v>5</v>
      </c>
      <c r="U652">
        <v>1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</row>
    <row r="653" spans="1:29" x14ac:dyDescent="0.35">
      <c r="A653">
        <v>2205</v>
      </c>
      <c r="B653">
        <v>2205</v>
      </c>
      <c r="C653">
        <v>63</v>
      </c>
      <c r="D653">
        <v>37</v>
      </c>
      <c r="E653">
        <v>20</v>
      </c>
      <c r="F653">
        <v>2</v>
      </c>
      <c r="G653">
        <v>0.4</v>
      </c>
      <c r="H653">
        <v>1</v>
      </c>
      <c r="I653">
        <v>76</v>
      </c>
      <c r="J653">
        <v>0</v>
      </c>
      <c r="K653">
        <v>0</v>
      </c>
      <c r="L653">
        <v>94704</v>
      </c>
      <c r="M653">
        <v>0</v>
      </c>
      <c r="N653">
        <v>0</v>
      </c>
      <c r="O653">
        <v>0</v>
      </c>
      <c r="Q653">
        <v>1</v>
      </c>
      <c r="R653">
        <v>0</v>
      </c>
      <c r="S653">
        <v>0</v>
      </c>
      <c r="T653">
        <v>5</v>
      </c>
      <c r="U653">
        <v>1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</row>
    <row r="654" spans="1:29" x14ac:dyDescent="0.35">
      <c r="A654">
        <v>2208</v>
      </c>
      <c r="B654">
        <v>2208</v>
      </c>
      <c r="C654">
        <v>38</v>
      </c>
      <c r="D654">
        <v>12</v>
      </c>
      <c r="E654">
        <v>180</v>
      </c>
      <c r="F654">
        <v>1</v>
      </c>
      <c r="G654">
        <v>2.8</v>
      </c>
      <c r="H654">
        <v>3</v>
      </c>
      <c r="I654">
        <v>158</v>
      </c>
      <c r="J654">
        <v>1</v>
      </c>
      <c r="K654">
        <v>0</v>
      </c>
      <c r="L654">
        <v>90245</v>
      </c>
      <c r="M654">
        <v>1</v>
      </c>
      <c r="N654">
        <v>0</v>
      </c>
      <c r="O654">
        <v>0</v>
      </c>
      <c r="Q654">
        <v>0</v>
      </c>
      <c r="R654">
        <v>1</v>
      </c>
      <c r="S654">
        <v>1</v>
      </c>
      <c r="T654">
        <v>10</v>
      </c>
      <c r="U654">
        <v>0</v>
      </c>
      <c r="V654">
        <v>1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1</v>
      </c>
    </row>
    <row r="655" spans="1:29" x14ac:dyDescent="0.35">
      <c r="A655">
        <v>2216</v>
      </c>
      <c r="B655">
        <v>2216</v>
      </c>
      <c r="C655">
        <v>28</v>
      </c>
      <c r="D655">
        <v>3</v>
      </c>
      <c r="E655">
        <v>193</v>
      </c>
      <c r="F655">
        <v>3</v>
      </c>
      <c r="G655">
        <v>4</v>
      </c>
      <c r="H655">
        <v>2</v>
      </c>
      <c r="I655">
        <v>0</v>
      </c>
      <c r="J655">
        <v>1</v>
      </c>
      <c r="K655">
        <v>0</v>
      </c>
      <c r="L655">
        <v>94501</v>
      </c>
      <c r="M655">
        <v>1</v>
      </c>
      <c r="N655">
        <v>0</v>
      </c>
      <c r="O655">
        <v>0</v>
      </c>
      <c r="Q655">
        <v>0</v>
      </c>
      <c r="R655">
        <v>1</v>
      </c>
      <c r="S655">
        <v>1</v>
      </c>
      <c r="T655">
        <v>10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0</v>
      </c>
      <c r="AC655">
        <v>1</v>
      </c>
    </row>
    <row r="656" spans="1:29" x14ac:dyDescent="0.35">
      <c r="A656">
        <v>2218</v>
      </c>
      <c r="B656">
        <v>2218</v>
      </c>
      <c r="C656">
        <v>48</v>
      </c>
      <c r="D656">
        <v>24</v>
      </c>
      <c r="E656">
        <v>162</v>
      </c>
      <c r="F656">
        <v>4</v>
      </c>
      <c r="G656">
        <v>3.3</v>
      </c>
      <c r="H656">
        <v>2</v>
      </c>
      <c r="I656">
        <v>446</v>
      </c>
      <c r="J656">
        <v>1</v>
      </c>
      <c r="K656">
        <v>0</v>
      </c>
      <c r="L656">
        <v>91355</v>
      </c>
      <c r="M656">
        <v>1</v>
      </c>
      <c r="N656">
        <v>0</v>
      </c>
      <c r="O656">
        <v>1</v>
      </c>
      <c r="Q656">
        <v>0</v>
      </c>
      <c r="R656">
        <v>1</v>
      </c>
      <c r="S656">
        <v>1</v>
      </c>
      <c r="T656">
        <v>10</v>
      </c>
      <c r="U656">
        <v>0</v>
      </c>
      <c r="V656">
        <v>1</v>
      </c>
      <c r="W656">
        <v>0</v>
      </c>
      <c r="X656">
        <v>1</v>
      </c>
      <c r="Y656">
        <v>0</v>
      </c>
      <c r="Z656">
        <v>1</v>
      </c>
      <c r="AA656">
        <v>0</v>
      </c>
      <c r="AB656">
        <v>0</v>
      </c>
      <c r="AC656">
        <v>1</v>
      </c>
    </row>
    <row r="657" spans="1:29" x14ac:dyDescent="0.35">
      <c r="A657">
        <v>2220</v>
      </c>
      <c r="B657">
        <v>2220</v>
      </c>
      <c r="C657">
        <v>52</v>
      </c>
      <c r="D657">
        <v>22</v>
      </c>
      <c r="E657">
        <v>58</v>
      </c>
      <c r="F657">
        <v>4</v>
      </c>
      <c r="G657">
        <v>2</v>
      </c>
      <c r="H657">
        <v>3</v>
      </c>
      <c r="I657">
        <v>223</v>
      </c>
      <c r="J657">
        <v>1</v>
      </c>
      <c r="K657">
        <v>0</v>
      </c>
      <c r="L657">
        <v>93101</v>
      </c>
      <c r="M657">
        <v>0</v>
      </c>
      <c r="N657">
        <v>0</v>
      </c>
      <c r="O657">
        <v>0</v>
      </c>
      <c r="Q657">
        <v>0</v>
      </c>
      <c r="R657">
        <v>0</v>
      </c>
      <c r="S657">
        <v>0</v>
      </c>
      <c r="T657">
        <v>5</v>
      </c>
      <c r="U657">
        <v>1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</row>
    <row r="658" spans="1:29" x14ac:dyDescent="0.35">
      <c r="A658">
        <v>2221</v>
      </c>
      <c r="B658">
        <v>2221</v>
      </c>
      <c r="C658">
        <v>65</v>
      </c>
      <c r="D658">
        <v>40</v>
      </c>
      <c r="E658">
        <v>80</v>
      </c>
      <c r="F658">
        <v>1</v>
      </c>
      <c r="G658">
        <v>0.8</v>
      </c>
      <c r="H658">
        <v>3</v>
      </c>
      <c r="I658">
        <v>0</v>
      </c>
      <c r="J658">
        <v>1</v>
      </c>
      <c r="K658">
        <v>0</v>
      </c>
      <c r="L658">
        <v>94105</v>
      </c>
      <c r="M658">
        <v>0</v>
      </c>
      <c r="N658">
        <v>0</v>
      </c>
      <c r="O658">
        <v>0</v>
      </c>
      <c r="Q658">
        <v>0</v>
      </c>
      <c r="R658">
        <v>0</v>
      </c>
      <c r="S658">
        <v>0</v>
      </c>
      <c r="T658">
        <v>5</v>
      </c>
      <c r="U658">
        <v>1</v>
      </c>
      <c r="V658">
        <v>0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</row>
    <row r="659" spans="1:29" x14ac:dyDescent="0.35">
      <c r="A659">
        <v>2224</v>
      </c>
      <c r="B659">
        <v>2224</v>
      </c>
      <c r="C659">
        <v>53</v>
      </c>
      <c r="D659">
        <v>28</v>
      </c>
      <c r="E659">
        <v>74</v>
      </c>
      <c r="F659">
        <v>3</v>
      </c>
      <c r="G659">
        <v>2</v>
      </c>
      <c r="H659">
        <v>2</v>
      </c>
      <c r="I659">
        <v>0</v>
      </c>
      <c r="J659">
        <v>0</v>
      </c>
      <c r="K659">
        <v>0</v>
      </c>
      <c r="L659">
        <v>91711</v>
      </c>
      <c r="M659">
        <v>0</v>
      </c>
      <c r="N659">
        <v>1</v>
      </c>
      <c r="O659">
        <v>0</v>
      </c>
      <c r="Q659">
        <v>0</v>
      </c>
      <c r="R659">
        <v>0</v>
      </c>
      <c r="S659">
        <v>0</v>
      </c>
      <c r="T659">
        <v>5</v>
      </c>
      <c r="U659">
        <v>1</v>
      </c>
      <c r="V659">
        <v>0</v>
      </c>
      <c r="W659">
        <v>1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</row>
    <row r="660" spans="1:29" x14ac:dyDescent="0.35">
      <c r="A660">
        <v>2225</v>
      </c>
      <c r="B660">
        <v>2225</v>
      </c>
      <c r="C660">
        <v>38</v>
      </c>
      <c r="D660">
        <v>12</v>
      </c>
      <c r="E660">
        <v>29</v>
      </c>
      <c r="F660">
        <v>2</v>
      </c>
      <c r="G660">
        <v>1.4</v>
      </c>
      <c r="H660">
        <v>3</v>
      </c>
      <c r="I660">
        <v>0</v>
      </c>
      <c r="J660">
        <v>1</v>
      </c>
      <c r="K660">
        <v>0</v>
      </c>
      <c r="L660">
        <v>92084</v>
      </c>
      <c r="M660">
        <v>0</v>
      </c>
      <c r="N660">
        <v>0</v>
      </c>
      <c r="O660">
        <v>0</v>
      </c>
      <c r="Q660">
        <v>0</v>
      </c>
      <c r="R660">
        <v>0</v>
      </c>
      <c r="S660">
        <v>0</v>
      </c>
      <c r="T660">
        <v>5</v>
      </c>
      <c r="U660">
        <v>1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</row>
    <row r="661" spans="1:29" x14ac:dyDescent="0.35">
      <c r="A661">
        <v>2227</v>
      </c>
      <c r="B661">
        <v>2227</v>
      </c>
      <c r="C661">
        <v>25</v>
      </c>
      <c r="D661">
        <v>1</v>
      </c>
      <c r="E661">
        <v>98</v>
      </c>
      <c r="F661">
        <v>1</v>
      </c>
      <c r="G661">
        <v>5.4</v>
      </c>
      <c r="H661">
        <v>1</v>
      </c>
      <c r="I661">
        <v>0</v>
      </c>
      <c r="J661">
        <v>1</v>
      </c>
      <c r="K661">
        <v>0</v>
      </c>
      <c r="L661">
        <v>90717</v>
      </c>
      <c r="M661">
        <v>0</v>
      </c>
      <c r="N661">
        <v>0</v>
      </c>
      <c r="O661">
        <v>0</v>
      </c>
      <c r="Q661">
        <v>1</v>
      </c>
      <c r="R661">
        <v>0</v>
      </c>
      <c r="S661">
        <v>0</v>
      </c>
      <c r="T661">
        <v>16</v>
      </c>
      <c r="U661">
        <v>0.58333333333333004</v>
      </c>
      <c r="V661">
        <v>0.41666666666666002</v>
      </c>
      <c r="W661">
        <v>0.58333333333333004</v>
      </c>
      <c r="X661">
        <v>0.41666666666666002</v>
      </c>
      <c r="Y661">
        <v>0.77777777777777002</v>
      </c>
      <c r="Z661">
        <v>0.22222222222221999</v>
      </c>
      <c r="AA661">
        <v>0.41666666666666902</v>
      </c>
      <c r="AB661">
        <v>-0.41666666666666002</v>
      </c>
      <c r="AC661">
        <v>0</v>
      </c>
    </row>
    <row r="662" spans="1:29" x14ac:dyDescent="0.35">
      <c r="A662">
        <v>2230</v>
      </c>
      <c r="B662">
        <v>2230</v>
      </c>
      <c r="C662">
        <v>46</v>
      </c>
      <c r="D662">
        <v>22</v>
      </c>
      <c r="E662">
        <v>72</v>
      </c>
      <c r="F662">
        <v>4</v>
      </c>
      <c r="G662">
        <v>1.4</v>
      </c>
      <c r="H662">
        <v>2</v>
      </c>
      <c r="I662">
        <v>149</v>
      </c>
      <c r="J662">
        <v>1</v>
      </c>
      <c r="K662">
        <v>1</v>
      </c>
      <c r="L662">
        <v>91711</v>
      </c>
      <c r="M662">
        <v>0</v>
      </c>
      <c r="N662">
        <v>0</v>
      </c>
      <c r="O662">
        <v>0</v>
      </c>
      <c r="Q662">
        <v>0</v>
      </c>
      <c r="R662">
        <v>0</v>
      </c>
      <c r="S662">
        <v>0</v>
      </c>
      <c r="T662">
        <v>5</v>
      </c>
      <c r="U662">
        <v>1</v>
      </c>
      <c r="V662">
        <v>0</v>
      </c>
      <c r="W662">
        <v>1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</row>
    <row r="663" spans="1:29" x14ac:dyDescent="0.35">
      <c r="A663">
        <v>2234</v>
      </c>
      <c r="B663">
        <v>2234</v>
      </c>
      <c r="C663">
        <v>59</v>
      </c>
      <c r="D663">
        <v>35</v>
      </c>
      <c r="E663">
        <v>39</v>
      </c>
      <c r="F663">
        <v>1</v>
      </c>
      <c r="G663">
        <v>1.8</v>
      </c>
      <c r="H663">
        <v>3</v>
      </c>
      <c r="I663">
        <v>0</v>
      </c>
      <c r="J663">
        <v>1</v>
      </c>
      <c r="K663">
        <v>0</v>
      </c>
      <c r="L663">
        <v>92028</v>
      </c>
      <c r="M663">
        <v>0</v>
      </c>
      <c r="N663">
        <v>0</v>
      </c>
      <c r="O663">
        <v>0</v>
      </c>
      <c r="Q663">
        <v>0</v>
      </c>
      <c r="R663">
        <v>0</v>
      </c>
      <c r="S663">
        <v>0</v>
      </c>
      <c r="T663">
        <v>5</v>
      </c>
      <c r="U663">
        <v>1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</row>
    <row r="664" spans="1:29" x14ac:dyDescent="0.35">
      <c r="A664">
        <v>2235</v>
      </c>
      <c r="B664">
        <v>2235</v>
      </c>
      <c r="C664">
        <v>36</v>
      </c>
      <c r="D664">
        <v>12</v>
      </c>
      <c r="E664">
        <v>35</v>
      </c>
      <c r="F664">
        <v>4</v>
      </c>
      <c r="G664">
        <v>0.4</v>
      </c>
      <c r="H664">
        <v>2</v>
      </c>
      <c r="I664">
        <v>0</v>
      </c>
      <c r="J664">
        <v>1</v>
      </c>
      <c r="K664">
        <v>0</v>
      </c>
      <c r="L664">
        <v>95812</v>
      </c>
      <c r="M664">
        <v>0</v>
      </c>
      <c r="N664">
        <v>0</v>
      </c>
      <c r="O664">
        <v>0</v>
      </c>
      <c r="Q664">
        <v>0</v>
      </c>
      <c r="R664">
        <v>0</v>
      </c>
      <c r="S664">
        <v>0</v>
      </c>
      <c r="T664">
        <v>5</v>
      </c>
      <c r="U664">
        <v>1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</row>
    <row r="665" spans="1:29" x14ac:dyDescent="0.35">
      <c r="A665">
        <v>2239</v>
      </c>
      <c r="B665">
        <v>2239</v>
      </c>
      <c r="C665">
        <v>48</v>
      </c>
      <c r="D665">
        <v>22</v>
      </c>
      <c r="E665">
        <v>35</v>
      </c>
      <c r="F665">
        <v>1</v>
      </c>
      <c r="G665">
        <v>1.4</v>
      </c>
      <c r="H665">
        <v>3</v>
      </c>
      <c r="I665">
        <v>0</v>
      </c>
      <c r="J665">
        <v>1</v>
      </c>
      <c r="K665">
        <v>0</v>
      </c>
      <c r="L665">
        <v>92709</v>
      </c>
      <c r="M665">
        <v>0</v>
      </c>
      <c r="N665">
        <v>0</v>
      </c>
      <c r="O665">
        <v>0</v>
      </c>
      <c r="Q665">
        <v>0</v>
      </c>
      <c r="R665">
        <v>0</v>
      </c>
      <c r="S665">
        <v>0</v>
      </c>
      <c r="T665">
        <v>5</v>
      </c>
      <c r="U665">
        <v>1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</row>
    <row r="666" spans="1:29" x14ac:dyDescent="0.35">
      <c r="A666">
        <v>2240</v>
      </c>
      <c r="B666">
        <v>2240</v>
      </c>
      <c r="C666">
        <v>55</v>
      </c>
      <c r="D666">
        <v>29</v>
      </c>
      <c r="E666">
        <v>42</v>
      </c>
      <c r="F666">
        <v>4</v>
      </c>
      <c r="G666">
        <v>2.5</v>
      </c>
      <c r="H666">
        <v>1</v>
      </c>
      <c r="I666">
        <v>0</v>
      </c>
      <c r="J666">
        <v>0</v>
      </c>
      <c r="K666">
        <v>0</v>
      </c>
      <c r="L666">
        <v>95833</v>
      </c>
      <c r="M666">
        <v>0</v>
      </c>
      <c r="N666">
        <v>1</v>
      </c>
      <c r="O666">
        <v>0</v>
      </c>
      <c r="Q666">
        <v>1</v>
      </c>
      <c r="R666">
        <v>0</v>
      </c>
      <c r="S666">
        <v>0</v>
      </c>
      <c r="T666">
        <v>5</v>
      </c>
      <c r="U666">
        <v>1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</row>
    <row r="667" spans="1:29" x14ac:dyDescent="0.35">
      <c r="A667">
        <v>2247</v>
      </c>
      <c r="B667">
        <v>2247</v>
      </c>
      <c r="C667">
        <v>35</v>
      </c>
      <c r="D667">
        <v>11</v>
      </c>
      <c r="E667">
        <v>190</v>
      </c>
      <c r="F667">
        <v>3</v>
      </c>
      <c r="G667">
        <v>3.1</v>
      </c>
      <c r="H667">
        <v>2</v>
      </c>
      <c r="I667">
        <v>266</v>
      </c>
      <c r="J667">
        <v>0</v>
      </c>
      <c r="K667">
        <v>0</v>
      </c>
      <c r="L667">
        <v>92093</v>
      </c>
      <c r="M667">
        <v>1</v>
      </c>
      <c r="N667">
        <v>0</v>
      </c>
      <c r="O667">
        <v>0</v>
      </c>
      <c r="Q667">
        <v>0</v>
      </c>
      <c r="R667">
        <v>1</v>
      </c>
      <c r="S667">
        <v>1</v>
      </c>
      <c r="T667">
        <v>10</v>
      </c>
      <c r="U667">
        <v>0</v>
      </c>
      <c r="V667">
        <v>1</v>
      </c>
      <c r="W667">
        <v>0</v>
      </c>
      <c r="X667">
        <v>1</v>
      </c>
      <c r="Y667">
        <v>0</v>
      </c>
      <c r="Z667">
        <v>1</v>
      </c>
      <c r="AA667">
        <v>0</v>
      </c>
      <c r="AB667">
        <v>0</v>
      </c>
      <c r="AC667">
        <v>1</v>
      </c>
    </row>
    <row r="668" spans="1:29" x14ac:dyDescent="0.35">
      <c r="A668">
        <v>2248</v>
      </c>
      <c r="B668">
        <v>2248</v>
      </c>
      <c r="C668">
        <v>60</v>
      </c>
      <c r="D668">
        <v>34</v>
      </c>
      <c r="E668">
        <v>60</v>
      </c>
      <c r="F668">
        <v>1</v>
      </c>
      <c r="G668">
        <v>2.5</v>
      </c>
      <c r="H668">
        <v>3</v>
      </c>
      <c r="I668">
        <v>103</v>
      </c>
      <c r="J668">
        <v>0</v>
      </c>
      <c r="K668">
        <v>0</v>
      </c>
      <c r="L668">
        <v>95616</v>
      </c>
      <c r="M668">
        <v>0</v>
      </c>
      <c r="N668">
        <v>0</v>
      </c>
      <c r="O668">
        <v>0</v>
      </c>
      <c r="Q668">
        <v>0</v>
      </c>
      <c r="R668">
        <v>0</v>
      </c>
      <c r="S668">
        <v>0</v>
      </c>
      <c r="T668">
        <v>5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</row>
    <row r="669" spans="1:29" x14ac:dyDescent="0.35">
      <c r="A669">
        <v>2256</v>
      </c>
      <c r="B669">
        <v>2256</v>
      </c>
      <c r="C669">
        <v>33</v>
      </c>
      <c r="D669">
        <v>9</v>
      </c>
      <c r="E669">
        <v>79</v>
      </c>
      <c r="F669">
        <v>1</v>
      </c>
      <c r="G669">
        <v>0.1</v>
      </c>
      <c r="H669">
        <v>1</v>
      </c>
      <c r="I669">
        <v>0</v>
      </c>
      <c r="J669">
        <v>1</v>
      </c>
      <c r="K669">
        <v>0</v>
      </c>
      <c r="L669">
        <v>94612</v>
      </c>
      <c r="M669">
        <v>0</v>
      </c>
      <c r="N669">
        <v>0</v>
      </c>
      <c r="O669">
        <v>0</v>
      </c>
      <c r="Q669">
        <v>1</v>
      </c>
      <c r="R669">
        <v>0</v>
      </c>
      <c r="S669">
        <v>0</v>
      </c>
      <c r="T669">
        <v>5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</row>
    <row r="670" spans="1:29" x14ac:dyDescent="0.35">
      <c r="A670">
        <v>2257</v>
      </c>
      <c r="B670">
        <v>2257</v>
      </c>
      <c r="C670">
        <v>56</v>
      </c>
      <c r="D670">
        <v>31</v>
      </c>
      <c r="E670">
        <v>13</v>
      </c>
      <c r="F670">
        <v>4</v>
      </c>
      <c r="G670">
        <v>0.9</v>
      </c>
      <c r="H670">
        <v>2</v>
      </c>
      <c r="I670">
        <v>76</v>
      </c>
      <c r="J670">
        <v>1</v>
      </c>
      <c r="K670">
        <v>1</v>
      </c>
      <c r="L670">
        <v>94305</v>
      </c>
      <c r="M670">
        <v>0</v>
      </c>
      <c r="N670">
        <v>0</v>
      </c>
      <c r="O670">
        <v>1</v>
      </c>
      <c r="Q670">
        <v>0</v>
      </c>
      <c r="R670">
        <v>0</v>
      </c>
      <c r="S670">
        <v>0</v>
      </c>
      <c r="T670">
        <v>5</v>
      </c>
      <c r="U670">
        <v>1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</row>
    <row r="671" spans="1:29" x14ac:dyDescent="0.35">
      <c r="A671">
        <v>2262</v>
      </c>
      <c r="B671">
        <v>2262</v>
      </c>
      <c r="C671">
        <v>30</v>
      </c>
      <c r="D671">
        <v>3</v>
      </c>
      <c r="E671">
        <v>150</v>
      </c>
      <c r="F671">
        <v>4</v>
      </c>
      <c r="G671">
        <v>5</v>
      </c>
      <c r="H671">
        <v>2</v>
      </c>
      <c r="I671">
        <v>0</v>
      </c>
      <c r="J671">
        <v>1</v>
      </c>
      <c r="K671">
        <v>0</v>
      </c>
      <c r="L671">
        <v>94305</v>
      </c>
      <c r="M671">
        <v>1</v>
      </c>
      <c r="N671">
        <v>0</v>
      </c>
      <c r="O671">
        <v>0</v>
      </c>
      <c r="Q671">
        <v>0</v>
      </c>
      <c r="R671">
        <v>1</v>
      </c>
      <c r="S671">
        <v>1</v>
      </c>
      <c r="T671">
        <v>10</v>
      </c>
      <c r="U671">
        <v>0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1</v>
      </c>
    </row>
    <row r="672" spans="1:29" x14ac:dyDescent="0.35">
      <c r="A672">
        <v>2264</v>
      </c>
      <c r="B672">
        <v>2264</v>
      </c>
      <c r="C672">
        <v>47</v>
      </c>
      <c r="D672">
        <v>21</v>
      </c>
      <c r="E672">
        <v>28</v>
      </c>
      <c r="F672">
        <v>3</v>
      </c>
      <c r="G672">
        <v>1.5</v>
      </c>
      <c r="H672">
        <v>1</v>
      </c>
      <c r="I672">
        <v>0</v>
      </c>
      <c r="J672">
        <v>1</v>
      </c>
      <c r="K672">
        <v>0</v>
      </c>
      <c r="L672">
        <v>92868</v>
      </c>
      <c r="M672">
        <v>0</v>
      </c>
      <c r="N672">
        <v>0</v>
      </c>
      <c r="O672">
        <v>0</v>
      </c>
      <c r="Q672">
        <v>1</v>
      </c>
      <c r="R672">
        <v>0</v>
      </c>
      <c r="S672">
        <v>0</v>
      </c>
      <c r="T672">
        <v>5</v>
      </c>
      <c r="U672">
        <v>1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</row>
    <row r="673" spans="1:29" x14ac:dyDescent="0.35">
      <c r="A673">
        <v>2266</v>
      </c>
      <c r="B673">
        <v>2266</v>
      </c>
      <c r="C673">
        <v>47</v>
      </c>
      <c r="D673">
        <v>23</v>
      </c>
      <c r="E673">
        <v>88</v>
      </c>
      <c r="F673">
        <v>4</v>
      </c>
      <c r="G673">
        <v>1.4</v>
      </c>
      <c r="H673">
        <v>2</v>
      </c>
      <c r="I673">
        <v>0</v>
      </c>
      <c r="J673">
        <v>0</v>
      </c>
      <c r="K673">
        <v>0</v>
      </c>
      <c r="L673">
        <v>94305</v>
      </c>
      <c r="M673">
        <v>0</v>
      </c>
      <c r="N673">
        <v>0</v>
      </c>
      <c r="O673">
        <v>0</v>
      </c>
      <c r="Q673">
        <v>0</v>
      </c>
      <c r="R673">
        <v>0</v>
      </c>
      <c r="S673">
        <v>0</v>
      </c>
      <c r="T673">
        <v>5</v>
      </c>
      <c r="U673">
        <v>1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</row>
    <row r="674" spans="1:29" x14ac:dyDescent="0.35">
      <c r="A674">
        <v>2271</v>
      </c>
      <c r="B674">
        <v>2271</v>
      </c>
      <c r="C674">
        <v>26</v>
      </c>
      <c r="D674">
        <v>2</v>
      </c>
      <c r="E674">
        <v>51</v>
      </c>
      <c r="F674">
        <v>4</v>
      </c>
      <c r="G674">
        <v>2.6</v>
      </c>
      <c r="H674">
        <v>1</v>
      </c>
      <c r="I674">
        <v>0</v>
      </c>
      <c r="J674">
        <v>1</v>
      </c>
      <c r="K674">
        <v>0</v>
      </c>
      <c r="L674">
        <v>92103</v>
      </c>
      <c r="M674">
        <v>0</v>
      </c>
      <c r="N674">
        <v>0</v>
      </c>
      <c r="O674">
        <v>0</v>
      </c>
      <c r="Q674">
        <v>1</v>
      </c>
      <c r="R674">
        <v>0</v>
      </c>
      <c r="S674">
        <v>0</v>
      </c>
      <c r="T674">
        <v>5</v>
      </c>
      <c r="U674">
        <v>1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</row>
    <row r="675" spans="1:29" x14ac:dyDescent="0.35">
      <c r="A675">
        <v>2273</v>
      </c>
      <c r="B675">
        <v>2273</v>
      </c>
      <c r="C675">
        <v>27</v>
      </c>
      <c r="D675">
        <v>3</v>
      </c>
      <c r="E675">
        <v>90</v>
      </c>
      <c r="F675">
        <v>3</v>
      </c>
      <c r="G675">
        <v>0.8</v>
      </c>
      <c r="H675">
        <v>1</v>
      </c>
      <c r="I675">
        <v>0</v>
      </c>
      <c r="J675">
        <v>1</v>
      </c>
      <c r="K675">
        <v>0</v>
      </c>
      <c r="L675">
        <v>91365</v>
      </c>
      <c r="M675">
        <v>0</v>
      </c>
      <c r="N675">
        <v>0</v>
      </c>
      <c r="O675">
        <v>0</v>
      </c>
      <c r="Q675">
        <v>1</v>
      </c>
      <c r="R675">
        <v>0</v>
      </c>
      <c r="S675">
        <v>0</v>
      </c>
      <c r="T675">
        <v>5</v>
      </c>
      <c r="U675">
        <v>1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</row>
    <row r="676" spans="1:29" x14ac:dyDescent="0.35">
      <c r="A676">
        <v>2282</v>
      </c>
      <c r="B676">
        <v>2282</v>
      </c>
      <c r="C676">
        <v>57</v>
      </c>
      <c r="D676">
        <v>32</v>
      </c>
      <c r="E676">
        <v>31</v>
      </c>
      <c r="F676">
        <v>3</v>
      </c>
      <c r="G676">
        <v>1.3</v>
      </c>
      <c r="H676">
        <v>2</v>
      </c>
      <c r="I676">
        <v>0</v>
      </c>
      <c r="J676">
        <v>1</v>
      </c>
      <c r="K676">
        <v>1</v>
      </c>
      <c r="L676">
        <v>95039</v>
      </c>
      <c r="M676">
        <v>0</v>
      </c>
      <c r="N676">
        <v>0</v>
      </c>
      <c r="O676">
        <v>0</v>
      </c>
      <c r="Q676">
        <v>0</v>
      </c>
      <c r="R676">
        <v>0</v>
      </c>
      <c r="S676">
        <v>0</v>
      </c>
      <c r="T676">
        <v>5</v>
      </c>
      <c r="U676">
        <v>1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</row>
    <row r="677" spans="1:29" x14ac:dyDescent="0.35">
      <c r="A677">
        <v>2286</v>
      </c>
      <c r="B677">
        <v>2286</v>
      </c>
      <c r="C677">
        <v>48</v>
      </c>
      <c r="D677">
        <v>22</v>
      </c>
      <c r="E677">
        <v>114</v>
      </c>
      <c r="F677">
        <v>1</v>
      </c>
      <c r="G677">
        <v>2.4</v>
      </c>
      <c r="H677">
        <v>3</v>
      </c>
      <c r="I677">
        <v>0</v>
      </c>
      <c r="J677">
        <v>1</v>
      </c>
      <c r="K677">
        <v>0</v>
      </c>
      <c r="L677">
        <v>92007</v>
      </c>
      <c r="M677">
        <v>1</v>
      </c>
      <c r="N677">
        <v>0</v>
      </c>
      <c r="O677">
        <v>0</v>
      </c>
      <c r="Q677">
        <v>0</v>
      </c>
      <c r="R677">
        <v>1</v>
      </c>
      <c r="S677">
        <v>0</v>
      </c>
      <c r="T677">
        <v>13</v>
      </c>
      <c r="U677">
        <v>0.88607594936708001</v>
      </c>
      <c r="V677">
        <v>0.11392405063291</v>
      </c>
      <c r="W677">
        <v>0.88607594936708001</v>
      </c>
      <c r="X677">
        <v>0.11392405063291</v>
      </c>
      <c r="Y677">
        <v>0.86842105263156999</v>
      </c>
      <c r="Z677">
        <v>0.13157894736841999</v>
      </c>
      <c r="AA677">
        <v>-0.88607594936708001</v>
      </c>
      <c r="AB677">
        <v>0.88607594936709</v>
      </c>
      <c r="AC677">
        <v>0</v>
      </c>
    </row>
    <row r="678" spans="1:29" x14ac:dyDescent="0.35">
      <c r="A678">
        <v>2294</v>
      </c>
      <c r="B678">
        <v>2294</v>
      </c>
      <c r="C678">
        <v>42</v>
      </c>
      <c r="D678">
        <v>17</v>
      </c>
      <c r="E678">
        <v>14</v>
      </c>
      <c r="F678">
        <v>2</v>
      </c>
      <c r="G678">
        <v>0.1</v>
      </c>
      <c r="H678">
        <v>2</v>
      </c>
      <c r="I678">
        <v>0</v>
      </c>
      <c r="J678">
        <v>1</v>
      </c>
      <c r="K678">
        <v>0</v>
      </c>
      <c r="L678">
        <v>91768</v>
      </c>
      <c r="M678">
        <v>0</v>
      </c>
      <c r="N678">
        <v>0</v>
      </c>
      <c r="O678">
        <v>0</v>
      </c>
      <c r="Q678">
        <v>0</v>
      </c>
      <c r="R678">
        <v>0</v>
      </c>
      <c r="S678">
        <v>0</v>
      </c>
      <c r="T678">
        <v>5</v>
      </c>
      <c r="U678">
        <v>1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</row>
    <row r="679" spans="1:29" x14ac:dyDescent="0.35">
      <c r="A679">
        <v>2296</v>
      </c>
      <c r="B679">
        <v>2296</v>
      </c>
      <c r="C679">
        <v>53</v>
      </c>
      <c r="D679">
        <v>23</v>
      </c>
      <c r="E679">
        <v>39</v>
      </c>
      <c r="F679">
        <v>3</v>
      </c>
      <c r="G679">
        <v>1</v>
      </c>
      <c r="H679">
        <v>3</v>
      </c>
      <c r="I679">
        <v>87</v>
      </c>
      <c r="J679">
        <v>1</v>
      </c>
      <c r="K679">
        <v>0</v>
      </c>
      <c r="L679">
        <v>92101</v>
      </c>
      <c r="M679">
        <v>0</v>
      </c>
      <c r="N679">
        <v>0</v>
      </c>
      <c r="O679">
        <v>0</v>
      </c>
      <c r="Q679">
        <v>0</v>
      </c>
      <c r="R679">
        <v>0</v>
      </c>
      <c r="S679">
        <v>0</v>
      </c>
      <c r="T679">
        <v>5</v>
      </c>
      <c r="U679">
        <v>1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</row>
    <row r="680" spans="1:29" x14ac:dyDescent="0.35">
      <c r="A680">
        <v>2300</v>
      </c>
      <c r="B680">
        <v>2300</v>
      </c>
      <c r="C680">
        <v>62</v>
      </c>
      <c r="D680">
        <v>37</v>
      </c>
      <c r="E680">
        <v>15</v>
      </c>
      <c r="F680">
        <v>3</v>
      </c>
      <c r="G680">
        <v>0.1</v>
      </c>
      <c r="H680">
        <v>3</v>
      </c>
      <c r="I680">
        <v>91</v>
      </c>
      <c r="J680">
        <v>0</v>
      </c>
      <c r="K680">
        <v>0</v>
      </c>
      <c r="L680">
        <v>94583</v>
      </c>
      <c r="M680">
        <v>0</v>
      </c>
      <c r="N680">
        <v>0</v>
      </c>
      <c r="O680">
        <v>0</v>
      </c>
      <c r="Q680">
        <v>0</v>
      </c>
      <c r="R680">
        <v>0</v>
      </c>
      <c r="S680">
        <v>0</v>
      </c>
      <c r="T680">
        <v>5</v>
      </c>
      <c r="U680">
        <v>1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</row>
    <row r="681" spans="1:29" x14ac:dyDescent="0.35">
      <c r="A681">
        <v>2302</v>
      </c>
      <c r="B681">
        <v>2302</v>
      </c>
      <c r="C681">
        <v>38</v>
      </c>
      <c r="D681">
        <v>13</v>
      </c>
      <c r="E681">
        <v>84</v>
      </c>
      <c r="F681">
        <v>4</v>
      </c>
      <c r="G681">
        <v>0.7</v>
      </c>
      <c r="H681">
        <v>3</v>
      </c>
      <c r="I681">
        <v>0</v>
      </c>
      <c r="J681">
        <v>0</v>
      </c>
      <c r="K681">
        <v>0</v>
      </c>
      <c r="L681">
        <v>93403</v>
      </c>
      <c r="M681">
        <v>0</v>
      </c>
      <c r="N681">
        <v>0</v>
      </c>
      <c r="O681">
        <v>0</v>
      </c>
      <c r="Q681">
        <v>0</v>
      </c>
      <c r="R681">
        <v>0</v>
      </c>
      <c r="S681">
        <v>0</v>
      </c>
      <c r="T681">
        <v>5</v>
      </c>
      <c r="U681">
        <v>1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</row>
    <row r="682" spans="1:29" x14ac:dyDescent="0.35">
      <c r="A682">
        <v>2304</v>
      </c>
      <c r="B682">
        <v>2304</v>
      </c>
      <c r="C682">
        <v>47</v>
      </c>
      <c r="D682">
        <v>21</v>
      </c>
      <c r="E682">
        <v>89</v>
      </c>
      <c r="F682">
        <v>2</v>
      </c>
      <c r="G682">
        <v>0.8</v>
      </c>
      <c r="H682">
        <v>3</v>
      </c>
      <c r="I682">
        <v>0</v>
      </c>
      <c r="J682">
        <v>1</v>
      </c>
      <c r="K682">
        <v>1</v>
      </c>
      <c r="L682">
        <v>94720</v>
      </c>
      <c r="M682">
        <v>0</v>
      </c>
      <c r="N682">
        <v>0</v>
      </c>
      <c r="O682">
        <v>0</v>
      </c>
      <c r="Q682">
        <v>0</v>
      </c>
      <c r="R682">
        <v>0</v>
      </c>
      <c r="S682">
        <v>0</v>
      </c>
      <c r="T682">
        <v>5</v>
      </c>
      <c r="U682">
        <v>1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</row>
    <row r="683" spans="1:29" x14ac:dyDescent="0.35">
      <c r="A683">
        <v>2305</v>
      </c>
      <c r="B683">
        <v>2305</v>
      </c>
      <c r="C683">
        <v>27</v>
      </c>
      <c r="D683">
        <v>2</v>
      </c>
      <c r="E683">
        <v>170</v>
      </c>
      <c r="F683">
        <v>3</v>
      </c>
      <c r="G683">
        <v>4.7</v>
      </c>
      <c r="H683">
        <v>1</v>
      </c>
      <c r="I683">
        <v>0</v>
      </c>
      <c r="J683">
        <v>1</v>
      </c>
      <c r="K683">
        <v>0</v>
      </c>
      <c r="L683">
        <v>95818</v>
      </c>
      <c r="M683">
        <v>1</v>
      </c>
      <c r="N683">
        <v>0</v>
      </c>
      <c r="O683">
        <v>0</v>
      </c>
      <c r="Q683">
        <v>1</v>
      </c>
      <c r="R683">
        <v>1</v>
      </c>
      <c r="S683">
        <v>1</v>
      </c>
      <c r="T683">
        <v>20</v>
      </c>
      <c r="U683">
        <v>0</v>
      </c>
      <c r="V683">
        <v>1</v>
      </c>
      <c r="W683">
        <v>0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1</v>
      </c>
    </row>
    <row r="684" spans="1:29" x14ac:dyDescent="0.35">
      <c r="A684">
        <v>2306</v>
      </c>
      <c r="B684">
        <v>2306</v>
      </c>
      <c r="C684">
        <v>32</v>
      </c>
      <c r="D684">
        <v>7</v>
      </c>
      <c r="E684">
        <v>185</v>
      </c>
      <c r="F684">
        <v>2</v>
      </c>
      <c r="G684">
        <v>6.7</v>
      </c>
      <c r="H684">
        <v>1</v>
      </c>
      <c r="I684">
        <v>0</v>
      </c>
      <c r="J684">
        <v>1</v>
      </c>
      <c r="K684">
        <v>1</v>
      </c>
      <c r="L684">
        <v>92009</v>
      </c>
      <c r="M684">
        <v>0</v>
      </c>
      <c r="N684">
        <v>0</v>
      </c>
      <c r="O684">
        <v>1</v>
      </c>
      <c r="Q684">
        <v>1</v>
      </c>
      <c r="R684">
        <v>0</v>
      </c>
      <c r="S684">
        <v>0</v>
      </c>
      <c r="T684">
        <v>22</v>
      </c>
      <c r="U684">
        <v>1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</row>
    <row r="685" spans="1:29" x14ac:dyDescent="0.35">
      <c r="A685">
        <v>2311</v>
      </c>
      <c r="B685">
        <v>2311</v>
      </c>
      <c r="C685">
        <v>32</v>
      </c>
      <c r="D685">
        <v>6</v>
      </c>
      <c r="E685">
        <v>32</v>
      </c>
      <c r="F685">
        <v>2</v>
      </c>
      <c r="G685">
        <v>0.3</v>
      </c>
      <c r="H685">
        <v>1</v>
      </c>
      <c r="I685">
        <v>0</v>
      </c>
      <c r="J685">
        <v>0</v>
      </c>
      <c r="K685">
        <v>0</v>
      </c>
      <c r="L685">
        <v>92806</v>
      </c>
      <c r="M685">
        <v>0</v>
      </c>
      <c r="N685">
        <v>0</v>
      </c>
      <c r="O685">
        <v>0</v>
      </c>
      <c r="Q685">
        <v>1</v>
      </c>
      <c r="R685">
        <v>0</v>
      </c>
      <c r="S685">
        <v>0</v>
      </c>
      <c r="T685">
        <v>5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</row>
    <row r="686" spans="1:29" x14ac:dyDescent="0.35">
      <c r="A686">
        <v>2312</v>
      </c>
      <c r="B686">
        <v>2312</v>
      </c>
      <c r="C686">
        <v>62</v>
      </c>
      <c r="D686">
        <v>37</v>
      </c>
      <c r="E686">
        <v>115</v>
      </c>
      <c r="F686">
        <v>4</v>
      </c>
      <c r="G686">
        <v>3.4</v>
      </c>
      <c r="H686">
        <v>2</v>
      </c>
      <c r="I686">
        <v>0</v>
      </c>
      <c r="J686">
        <v>1</v>
      </c>
      <c r="K686">
        <v>1</v>
      </c>
      <c r="L686">
        <v>90245</v>
      </c>
      <c r="M686">
        <v>0</v>
      </c>
      <c r="N686">
        <v>0</v>
      </c>
      <c r="O686">
        <v>0</v>
      </c>
      <c r="Q686">
        <v>0</v>
      </c>
      <c r="R686">
        <v>0</v>
      </c>
      <c r="S686">
        <v>1</v>
      </c>
      <c r="T686">
        <v>14</v>
      </c>
      <c r="U686">
        <v>0.24242424242423999</v>
      </c>
      <c r="V686">
        <v>0.75757575757575002</v>
      </c>
      <c r="W686">
        <v>0.24242424242423999</v>
      </c>
      <c r="X686">
        <v>0.75757575757575002</v>
      </c>
      <c r="Y686">
        <v>0.44444444444443998</v>
      </c>
      <c r="Z686">
        <v>0.55555555555555003</v>
      </c>
      <c r="AA686">
        <v>0.75757575757576001</v>
      </c>
      <c r="AB686">
        <v>-0.75757575757575002</v>
      </c>
      <c r="AC686">
        <v>1</v>
      </c>
    </row>
    <row r="687" spans="1:29" x14ac:dyDescent="0.35">
      <c r="A687">
        <v>2313</v>
      </c>
      <c r="B687">
        <v>2313</v>
      </c>
      <c r="C687">
        <v>48</v>
      </c>
      <c r="D687">
        <v>22</v>
      </c>
      <c r="E687">
        <v>83</v>
      </c>
      <c r="F687">
        <v>2</v>
      </c>
      <c r="G687">
        <v>2.4</v>
      </c>
      <c r="H687">
        <v>2</v>
      </c>
      <c r="I687">
        <v>0</v>
      </c>
      <c r="J687">
        <v>1</v>
      </c>
      <c r="K687">
        <v>0</v>
      </c>
      <c r="L687">
        <v>91345</v>
      </c>
      <c r="M687">
        <v>0</v>
      </c>
      <c r="N687">
        <v>0</v>
      </c>
      <c r="O687">
        <v>0</v>
      </c>
      <c r="Q687">
        <v>0</v>
      </c>
      <c r="R687">
        <v>0</v>
      </c>
      <c r="S687">
        <v>0</v>
      </c>
      <c r="T687">
        <v>5</v>
      </c>
      <c r="U687">
        <v>1</v>
      </c>
      <c r="V687">
        <v>0</v>
      </c>
      <c r="W687">
        <v>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</row>
    <row r="688" spans="1:29" x14ac:dyDescent="0.35">
      <c r="A688">
        <v>2318</v>
      </c>
      <c r="B688">
        <v>2318</v>
      </c>
      <c r="C688">
        <v>31</v>
      </c>
      <c r="D688">
        <v>5</v>
      </c>
      <c r="E688">
        <v>129</v>
      </c>
      <c r="F688">
        <v>3</v>
      </c>
      <c r="G688">
        <v>5.9</v>
      </c>
      <c r="H688">
        <v>3</v>
      </c>
      <c r="I688">
        <v>319</v>
      </c>
      <c r="J688">
        <v>0</v>
      </c>
      <c r="K688">
        <v>1</v>
      </c>
      <c r="L688">
        <v>95814</v>
      </c>
      <c r="M688">
        <v>1</v>
      </c>
      <c r="N688">
        <v>1</v>
      </c>
      <c r="O688">
        <v>1</v>
      </c>
      <c r="Q688">
        <v>0</v>
      </c>
      <c r="R688">
        <v>1</v>
      </c>
      <c r="S688">
        <v>1</v>
      </c>
      <c r="T688">
        <v>10</v>
      </c>
      <c r="U688">
        <v>0</v>
      </c>
      <c r="V688">
        <v>1</v>
      </c>
      <c r="W688">
        <v>0</v>
      </c>
      <c r="X688">
        <v>1</v>
      </c>
      <c r="Y688">
        <v>0</v>
      </c>
      <c r="Z688">
        <v>1</v>
      </c>
      <c r="AA688">
        <v>0</v>
      </c>
      <c r="AB688">
        <v>0</v>
      </c>
      <c r="AC688">
        <v>1</v>
      </c>
    </row>
    <row r="689" spans="1:29" x14ac:dyDescent="0.35">
      <c r="A689">
        <v>2319</v>
      </c>
      <c r="B689">
        <v>2319</v>
      </c>
      <c r="C689">
        <v>60</v>
      </c>
      <c r="D689">
        <v>34</v>
      </c>
      <c r="E689">
        <v>23</v>
      </c>
      <c r="F689">
        <v>1</v>
      </c>
      <c r="G689">
        <v>0.8</v>
      </c>
      <c r="H689">
        <v>2</v>
      </c>
      <c r="I689">
        <v>112</v>
      </c>
      <c r="J689">
        <v>1</v>
      </c>
      <c r="K689">
        <v>0</v>
      </c>
      <c r="L689">
        <v>94803</v>
      </c>
      <c r="M689">
        <v>0</v>
      </c>
      <c r="N689">
        <v>0</v>
      </c>
      <c r="O689">
        <v>0</v>
      </c>
      <c r="Q689">
        <v>0</v>
      </c>
      <c r="R689">
        <v>0</v>
      </c>
      <c r="S689">
        <v>0</v>
      </c>
      <c r="T689">
        <v>5</v>
      </c>
      <c r="U689">
        <v>1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</row>
    <row r="690" spans="1:29" x14ac:dyDescent="0.35">
      <c r="A690">
        <v>2321</v>
      </c>
      <c r="B690">
        <v>2321</v>
      </c>
      <c r="C690">
        <v>46</v>
      </c>
      <c r="D690">
        <v>22</v>
      </c>
      <c r="E690">
        <v>84</v>
      </c>
      <c r="F690">
        <v>4</v>
      </c>
      <c r="G690">
        <v>2</v>
      </c>
      <c r="H690">
        <v>3</v>
      </c>
      <c r="I690">
        <v>0</v>
      </c>
      <c r="J690">
        <v>1</v>
      </c>
      <c r="K690">
        <v>0</v>
      </c>
      <c r="L690">
        <v>92692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0</v>
      </c>
      <c r="T690">
        <v>5</v>
      </c>
      <c r="U690">
        <v>1</v>
      </c>
      <c r="V690">
        <v>0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</row>
    <row r="691" spans="1:29" x14ac:dyDescent="0.35">
      <c r="A691">
        <v>2323</v>
      </c>
      <c r="B691">
        <v>2323</v>
      </c>
      <c r="C691">
        <v>62</v>
      </c>
      <c r="D691">
        <v>37</v>
      </c>
      <c r="E691">
        <v>129</v>
      </c>
      <c r="F691">
        <v>1</v>
      </c>
      <c r="G691">
        <v>1.3</v>
      </c>
      <c r="H691">
        <v>1</v>
      </c>
      <c r="I691">
        <v>0</v>
      </c>
      <c r="J691">
        <v>1</v>
      </c>
      <c r="K691">
        <v>0</v>
      </c>
      <c r="L691">
        <v>94143</v>
      </c>
      <c r="M691">
        <v>0</v>
      </c>
      <c r="N691">
        <v>0</v>
      </c>
      <c r="O691">
        <v>0</v>
      </c>
      <c r="Q691">
        <v>1</v>
      </c>
      <c r="R691">
        <v>0</v>
      </c>
      <c r="S691">
        <v>0</v>
      </c>
      <c r="T691">
        <v>22</v>
      </c>
      <c r="U691">
        <v>1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</row>
    <row r="692" spans="1:29" x14ac:dyDescent="0.35">
      <c r="A692">
        <v>2324</v>
      </c>
      <c r="B692">
        <v>2324</v>
      </c>
      <c r="C692">
        <v>31</v>
      </c>
      <c r="D692">
        <v>7</v>
      </c>
      <c r="E692">
        <v>113</v>
      </c>
      <c r="F692">
        <v>2</v>
      </c>
      <c r="G692">
        <v>2</v>
      </c>
      <c r="H692">
        <v>2</v>
      </c>
      <c r="I692">
        <v>315</v>
      </c>
      <c r="J692">
        <v>0</v>
      </c>
      <c r="K692">
        <v>0</v>
      </c>
      <c r="L692">
        <v>94542</v>
      </c>
      <c r="M692">
        <v>0</v>
      </c>
      <c r="N692">
        <v>0</v>
      </c>
      <c r="O692">
        <v>0</v>
      </c>
      <c r="Q692">
        <v>0</v>
      </c>
      <c r="R692">
        <v>0</v>
      </c>
      <c r="S692">
        <v>0</v>
      </c>
      <c r="T692">
        <v>13</v>
      </c>
      <c r="U692">
        <v>0.88607594936708001</v>
      </c>
      <c r="V692">
        <v>0.11392405063291</v>
      </c>
      <c r="W692">
        <v>0.88607594936708001</v>
      </c>
      <c r="X692">
        <v>0.11392405063291</v>
      </c>
      <c r="Y692">
        <v>0.86842105263156999</v>
      </c>
      <c r="Z692">
        <v>0.13157894736841999</v>
      </c>
      <c r="AA692">
        <v>0.11392405063291999</v>
      </c>
      <c r="AB692">
        <v>-0.11392405063291</v>
      </c>
      <c r="AC692">
        <v>0</v>
      </c>
    </row>
    <row r="693" spans="1:29" x14ac:dyDescent="0.35">
      <c r="A693">
        <v>2325</v>
      </c>
      <c r="B693">
        <v>2325</v>
      </c>
      <c r="C693">
        <v>41</v>
      </c>
      <c r="D693">
        <v>11</v>
      </c>
      <c r="E693">
        <v>35</v>
      </c>
      <c r="F693">
        <v>1</v>
      </c>
      <c r="G693">
        <v>0.75</v>
      </c>
      <c r="H693">
        <v>3</v>
      </c>
      <c r="I693">
        <v>114</v>
      </c>
      <c r="J693">
        <v>1</v>
      </c>
      <c r="K693">
        <v>0</v>
      </c>
      <c r="L693">
        <v>93107</v>
      </c>
      <c r="M693">
        <v>0</v>
      </c>
      <c r="N693">
        <v>0</v>
      </c>
      <c r="O693">
        <v>0</v>
      </c>
      <c r="Q693">
        <v>0</v>
      </c>
      <c r="R693">
        <v>0</v>
      </c>
      <c r="S693">
        <v>0</v>
      </c>
      <c r="T693">
        <v>5</v>
      </c>
      <c r="U693">
        <v>1</v>
      </c>
      <c r="V693">
        <v>0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</row>
    <row r="694" spans="1:29" x14ac:dyDescent="0.35">
      <c r="A694">
        <v>2328</v>
      </c>
      <c r="B694">
        <v>2328</v>
      </c>
      <c r="C694">
        <v>51</v>
      </c>
      <c r="D694">
        <v>25</v>
      </c>
      <c r="E694">
        <v>70</v>
      </c>
      <c r="F694">
        <v>1</v>
      </c>
      <c r="G694">
        <v>0.8</v>
      </c>
      <c r="H694">
        <v>3</v>
      </c>
      <c r="I694">
        <v>0</v>
      </c>
      <c r="J694">
        <v>1</v>
      </c>
      <c r="K694">
        <v>0</v>
      </c>
      <c r="L694">
        <v>90095</v>
      </c>
      <c r="M694">
        <v>0</v>
      </c>
      <c r="N694">
        <v>1</v>
      </c>
      <c r="O694">
        <v>0</v>
      </c>
      <c r="Q694">
        <v>0</v>
      </c>
      <c r="R694">
        <v>0</v>
      </c>
      <c r="S694">
        <v>0</v>
      </c>
      <c r="T694">
        <v>5</v>
      </c>
      <c r="U694">
        <v>1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</row>
    <row r="695" spans="1:29" x14ac:dyDescent="0.35">
      <c r="A695">
        <v>2335</v>
      </c>
      <c r="B695">
        <v>2335</v>
      </c>
      <c r="C695">
        <v>45</v>
      </c>
      <c r="D695">
        <v>21</v>
      </c>
      <c r="E695">
        <v>69</v>
      </c>
      <c r="F695">
        <v>4</v>
      </c>
      <c r="G695">
        <v>1.9</v>
      </c>
      <c r="H695">
        <v>1</v>
      </c>
      <c r="I695">
        <v>0</v>
      </c>
      <c r="J695">
        <v>0</v>
      </c>
      <c r="K695">
        <v>0</v>
      </c>
      <c r="L695">
        <v>90025</v>
      </c>
      <c r="M695">
        <v>0</v>
      </c>
      <c r="N695">
        <v>0</v>
      </c>
      <c r="O695">
        <v>0</v>
      </c>
      <c r="Q695">
        <v>1</v>
      </c>
      <c r="R695">
        <v>0</v>
      </c>
      <c r="S695">
        <v>0</v>
      </c>
      <c r="T695">
        <v>5</v>
      </c>
      <c r="U695">
        <v>1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</row>
    <row r="696" spans="1:29" x14ac:dyDescent="0.35">
      <c r="A696">
        <v>2338</v>
      </c>
      <c r="B696">
        <v>2338</v>
      </c>
      <c r="C696">
        <v>43</v>
      </c>
      <c r="D696">
        <v>16</v>
      </c>
      <c r="E696">
        <v>201</v>
      </c>
      <c r="F696">
        <v>1</v>
      </c>
      <c r="G696">
        <v>10</v>
      </c>
      <c r="H696">
        <v>2</v>
      </c>
      <c r="I696">
        <v>0</v>
      </c>
      <c r="J696">
        <v>0</v>
      </c>
      <c r="K696">
        <v>1</v>
      </c>
      <c r="L696">
        <v>95054</v>
      </c>
      <c r="M696">
        <v>1</v>
      </c>
      <c r="N696">
        <v>0</v>
      </c>
      <c r="O696">
        <v>0</v>
      </c>
      <c r="Q696">
        <v>0</v>
      </c>
      <c r="R696">
        <v>1</v>
      </c>
      <c r="S696">
        <v>1</v>
      </c>
      <c r="T696">
        <v>10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1</v>
      </c>
    </row>
    <row r="697" spans="1:29" x14ac:dyDescent="0.35">
      <c r="A697">
        <v>2340</v>
      </c>
      <c r="B697">
        <v>2340</v>
      </c>
      <c r="C697">
        <v>56</v>
      </c>
      <c r="D697">
        <v>31</v>
      </c>
      <c r="E697">
        <v>72</v>
      </c>
      <c r="F697">
        <v>3</v>
      </c>
      <c r="G697">
        <v>2</v>
      </c>
      <c r="H697">
        <v>2</v>
      </c>
      <c r="I697">
        <v>0</v>
      </c>
      <c r="J697">
        <v>0</v>
      </c>
      <c r="K697">
        <v>0</v>
      </c>
      <c r="L697">
        <v>90095</v>
      </c>
      <c r="M697">
        <v>0</v>
      </c>
      <c r="N697">
        <v>0</v>
      </c>
      <c r="O697">
        <v>0</v>
      </c>
      <c r="Q697">
        <v>0</v>
      </c>
      <c r="R697">
        <v>0</v>
      </c>
      <c r="S697">
        <v>0</v>
      </c>
      <c r="T697">
        <v>5</v>
      </c>
      <c r="U697">
        <v>1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</row>
    <row r="698" spans="1:29" x14ac:dyDescent="0.35">
      <c r="A698">
        <v>2345</v>
      </c>
      <c r="B698">
        <v>2345</v>
      </c>
      <c r="C698">
        <v>65</v>
      </c>
      <c r="D698">
        <v>40</v>
      </c>
      <c r="E698">
        <v>20</v>
      </c>
      <c r="F698">
        <v>3</v>
      </c>
      <c r="G698">
        <v>0.5</v>
      </c>
      <c r="H698">
        <v>1</v>
      </c>
      <c r="I698">
        <v>102</v>
      </c>
      <c r="J698">
        <v>1</v>
      </c>
      <c r="K698">
        <v>1</v>
      </c>
      <c r="L698">
        <v>94608</v>
      </c>
      <c r="M698">
        <v>0</v>
      </c>
      <c r="N698">
        <v>0</v>
      </c>
      <c r="O698">
        <v>0</v>
      </c>
      <c r="Q698">
        <v>1</v>
      </c>
      <c r="R698">
        <v>0</v>
      </c>
      <c r="S698">
        <v>0</v>
      </c>
      <c r="T698">
        <v>5</v>
      </c>
      <c r="U698">
        <v>1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</row>
    <row r="699" spans="1:29" x14ac:dyDescent="0.35">
      <c r="A699">
        <v>2346</v>
      </c>
      <c r="B699">
        <v>2346</v>
      </c>
      <c r="C699">
        <v>65</v>
      </c>
      <c r="D699">
        <v>40</v>
      </c>
      <c r="E699">
        <v>89</v>
      </c>
      <c r="F699">
        <v>1</v>
      </c>
      <c r="G699">
        <v>4.0999999999999996</v>
      </c>
      <c r="H699">
        <v>1</v>
      </c>
      <c r="I699">
        <v>299</v>
      </c>
      <c r="J699">
        <v>1</v>
      </c>
      <c r="K699">
        <v>0</v>
      </c>
      <c r="L699">
        <v>90291</v>
      </c>
      <c r="M699">
        <v>1</v>
      </c>
      <c r="N699">
        <v>0</v>
      </c>
      <c r="O699">
        <v>1</v>
      </c>
      <c r="Q699">
        <v>1</v>
      </c>
      <c r="R699">
        <v>1</v>
      </c>
      <c r="S699">
        <v>1</v>
      </c>
      <c r="T699">
        <v>11</v>
      </c>
      <c r="U699">
        <v>0.27272727272726999</v>
      </c>
      <c r="V699">
        <v>0.72727272727271997</v>
      </c>
      <c r="W699">
        <v>0.27272727272726999</v>
      </c>
      <c r="X699">
        <v>0.72727272727271997</v>
      </c>
      <c r="Y699">
        <v>0</v>
      </c>
      <c r="Z699">
        <v>1</v>
      </c>
      <c r="AA699">
        <v>-0.27272727272726999</v>
      </c>
      <c r="AB699">
        <v>0.27272727272727998</v>
      </c>
      <c r="AC699">
        <v>1</v>
      </c>
    </row>
    <row r="700" spans="1:29" x14ac:dyDescent="0.35">
      <c r="A700">
        <v>2347</v>
      </c>
      <c r="B700">
        <v>2347</v>
      </c>
      <c r="C700">
        <v>52</v>
      </c>
      <c r="D700">
        <v>26</v>
      </c>
      <c r="E700">
        <v>59</v>
      </c>
      <c r="F700">
        <v>2</v>
      </c>
      <c r="G700">
        <v>1.5</v>
      </c>
      <c r="H700">
        <v>2</v>
      </c>
      <c r="I700">
        <v>239</v>
      </c>
      <c r="J700">
        <v>0</v>
      </c>
      <c r="K700">
        <v>1</v>
      </c>
      <c r="L700">
        <v>92660</v>
      </c>
      <c r="M700">
        <v>0</v>
      </c>
      <c r="N700">
        <v>0</v>
      </c>
      <c r="O700">
        <v>0</v>
      </c>
      <c r="Q700">
        <v>0</v>
      </c>
      <c r="R700">
        <v>0</v>
      </c>
      <c r="S700">
        <v>0</v>
      </c>
      <c r="T700">
        <v>5</v>
      </c>
      <c r="U700">
        <v>1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</row>
    <row r="701" spans="1:29" x14ac:dyDescent="0.35">
      <c r="A701">
        <v>2351</v>
      </c>
      <c r="B701">
        <v>2351</v>
      </c>
      <c r="C701">
        <v>52</v>
      </c>
      <c r="D701">
        <v>28</v>
      </c>
      <c r="E701">
        <v>22</v>
      </c>
      <c r="F701">
        <v>2</v>
      </c>
      <c r="G701">
        <v>0.4</v>
      </c>
      <c r="H701">
        <v>1</v>
      </c>
      <c r="I701">
        <v>0</v>
      </c>
      <c r="J701">
        <v>1</v>
      </c>
      <c r="K701">
        <v>1</v>
      </c>
      <c r="L701">
        <v>91711</v>
      </c>
      <c r="M701">
        <v>0</v>
      </c>
      <c r="N701">
        <v>0</v>
      </c>
      <c r="O701">
        <v>0</v>
      </c>
      <c r="Q701">
        <v>1</v>
      </c>
      <c r="R701">
        <v>0</v>
      </c>
      <c r="S701">
        <v>0</v>
      </c>
      <c r="T701">
        <v>5</v>
      </c>
      <c r="U701">
        <v>1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</row>
    <row r="702" spans="1:29" x14ac:dyDescent="0.35">
      <c r="A702">
        <v>2352</v>
      </c>
      <c r="B702">
        <v>2352</v>
      </c>
      <c r="C702">
        <v>55</v>
      </c>
      <c r="D702">
        <v>31</v>
      </c>
      <c r="E702">
        <v>74</v>
      </c>
      <c r="F702">
        <v>2</v>
      </c>
      <c r="G702">
        <v>3.2</v>
      </c>
      <c r="H702">
        <v>3</v>
      </c>
      <c r="I702">
        <v>0</v>
      </c>
      <c r="J702">
        <v>1</v>
      </c>
      <c r="K702">
        <v>1</v>
      </c>
      <c r="L702">
        <v>94611</v>
      </c>
      <c r="M702">
        <v>0</v>
      </c>
      <c r="N702">
        <v>0</v>
      </c>
      <c r="O702">
        <v>0</v>
      </c>
      <c r="Q702">
        <v>0</v>
      </c>
      <c r="R702">
        <v>0</v>
      </c>
      <c r="S702">
        <v>0</v>
      </c>
      <c r="T702">
        <v>15</v>
      </c>
      <c r="U702">
        <v>0.91935483870967005</v>
      </c>
      <c r="V702">
        <v>8.0645161290319997E-2</v>
      </c>
      <c r="W702">
        <v>0.91935483870967005</v>
      </c>
      <c r="X702">
        <v>8.0645161290319997E-2</v>
      </c>
      <c r="Y702">
        <v>0.86</v>
      </c>
      <c r="Z702">
        <v>0.14000000000000001</v>
      </c>
      <c r="AA702">
        <v>8.0645161290329906E-2</v>
      </c>
      <c r="AB702">
        <v>-8.0645161290319997E-2</v>
      </c>
      <c r="AC702">
        <v>0</v>
      </c>
    </row>
    <row r="703" spans="1:29" x14ac:dyDescent="0.35">
      <c r="A703">
        <v>2353</v>
      </c>
      <c r="B703">
        <v>2353</v>
      </c>
      <c r="C703">
        <v>46</v>
      </c>
      <c r="D703">
        <v>19</v>
      </c>
      <c r="E703">
        <v>59</v>
      </c>
      <c r="F703">
        <v>3</v>
      </c>
      <c r="G703">
        <v>2.67</v>
      </c>
      <c r="H703">
        <v>2</v>
      </c>
      <c r="I703">
        <v>0</v>
      </c>
      <c r="J703">
        <v>0</v>
      </c>
      <c r="K703">
        <v>0</v>
      </c>
      <c r="L703">
        <v>93555</v>
      </c>
      <c r="M703">
        <v>0</v>
      </c>
      <c r="N703">
        <v>0</v>
      </c>
      <c r="O703">
        <v>0</v>
      </c>
      <c r="Q703">
        <v>0</v>
      </c>
      <c r="R703">
        <v>0</v>
      </c>
      <c r="S703">
        <v>0</v>
      </c>
      <c r="T703">
        <v>5</v>
      </c>
      <c r="U703">
        <v>1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</row>
    <row r="704" spans="1:29" x14ac:dyDescent="0.35">
      <c r="A704">
        <v>2354</v>
      </c>
      <c r="B704">
        <v>2354</v>
      </c>
      <c r="C704">
        <v>61</v>
      </c>
      <c r="D704">
        <v>36</v>
      </c>
      <c r="E704">
        <v>12</v>
      </c>
      <c r="F704">
        <v>4</v>
      </c>
      <c r="G704">
        <v>0.6</v>
      </c>
      <c r="H704">
        <v>2</v>
      </c>
      <c r="I704">
        <v>0</v>
      </c>
      <c r="J704">
        <v>1</v>
      </c>
      <c r="K704">
        <v>1</v>
      </c>
      <c r="L704">
        <v>93023</v>
      </c>
      <c r="M704">
        <v>0</v>
      </c>
      <c r="N704">
        <v>0</v>
      </c>
      <c r="O704">
        <v>0</v>
      </c>
      <c r="Q704">
        <v>0</v>
      </c>
      <c r="R704">
        <v>0</v>
      </c>
      <c r="S704">
        <v>0</v>
      </c>
      <c r="T704">
        <v>5</v>
      </c>
      <c r="U704">
        <v>1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</row>
    <row r="705" spans="1:29" x14ac:dyDescent="0.35">
      <c r="A705">
        <v>2357</v>
      </c>
      <c r="B705">
        <v>2357</v>
      </c>
      <c r="C705">
        <v>31</v>
      </c>
      <c r="D705">
        <v>5</v>
      </c>
      <c r="E705">
        <v>184</v>
      </c>
      <c r="F705">
        <v>4</v>
      </c>
      <c r="G705">
        <v>3.4</v>
      </c>
      <c r="H705">
        <v>2</v>
      </c>
      <c r="I705">
        <v>0</v>
      </c>
      <c r="J705">
        <v>1</v>
      </c>
      <c r="K705">
        <v>1</v>
      </c>
      <c r="L705">
        <v>92064</v>
      </c>
      <c r="M705">
        <v>1</v>
      </c>
      <c r="N705">
        <v>0</v>
      </c>
      <c r="O705">
        <v>1</v>
      </c>
      <c r="Q705">
        <v>0</v>
      </c>
      <c r="R705">
        <v>1</v>
      </c>
      <c r="S705">
        <v>1</v>
      </c>
      <c r="T705">
        <v>10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1</v>
      </c>
    </row>
    <row r="706" spans="1:29" x14ac:dyDescent="0.35">
      <c r="A706">
        <v>2363</v>
      </c>
      <c r="B706">
        <v>2363</v>
      </c>
      <c r="C706">
        <v>40</v>
      </c>
      <c r="D706">
        <v>15</v>
      </c>
      <c r="E706">
        <v>31</v>
      </c>
      <c r="F706">
        <v>1</v>
      </c>
      <c r="G706">
        <v>0.6</v>
      </c>
      <c r="H706">
        <v>3</v>
      </c>
      <c r="I706">
        <v>0</v>
      </c>
      <c r="J706">
        <v>1</v>
      </c>
      <c r="K706">
        <v>0</v>
      </c>
      <c r="L706">
        <v>94720</v>
      </c>
      <c r="M706">
        <v>0</v>
      </c>
      <c r="N706">
        <v>0</v>
      </c>
      <c r="O706">
        <v>0</v>
      </c>
      <c r="Q706">
        <v>0</v>
      </c>
      <c r="R706">
        <v>0</v>
      </c>
      <c r="S706">
        <v>0</v>
      </c>
      <c r="T706">
        <v>5</v>
      </c>
      <c r="U706">
        <v>1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</row>
    <row r="707" spans="1:29" x14ac:dyDescent="0.35">
      <c r="A707">
        <v>2370</v>
      </c>
      <c r="B707">
        <v>2370</v>
      </c>
      <c r="C707">
        <v>50</v>
      </c>
      <c r="D707">
        <v>24</v>
      </c>
      <c r="E707">
        <v>45</v>
      </c>
      <c r="F707">
        <v>4</v>
      </c>
      <c r="G707">
        <v>0.1</v>
      </c>
      <c r="H707">
        <v>1</v>
      </c>
      <c r="I707">
        <v>93</v>
      </c>
      <c r="J707">
        <v>1</v>
      </c>
      <c r="K707">
        <v>0</v>
      </c>
      <c r="L707">
        <v>94005</v>
      </c>
      <c r="M707">
        <v>0</v>
      </c>
      <c r="N707">
        <v>0</v>
      </c>
      <c r="O707">
        <v>0</v>
      </c>
      <c r="Q707">
        <v>1</v>
      </c>
      <c r="R707">
        <v>0</v>
      </c>
      <c r="S707">
        <v>0</v>
      </c>
      <c r="T707">
        <v>5</v>
      </c>
      <c r="U707">
        <v>1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</row>
    <row r="708" spans="1:29" x14ac:dyDescent="0.35">
      <c r="A708">
        <v>2376</v>
      </c>
      <c r="B708">
        <v>2376</v>
      </c>
      <c r="C708">
        <v>55</v>
      </c>
      <c r="D708">
        <v>30</v>
      </c>
      <c r="E708">
        <v>69</v>
      </c>
      <c r="F708">
        <v>4</v>
      </c>
      <c r="G708">
        <v>1.3</v>
      </c>
      <c r="H708">
        <v>3</v>
      </c>
      <c r="I708">
        <v>0</v>
      </c>
      <c r="J708">
        <v>1</v>
      </c>
      <c r="K708">
        <v>1</v>
      </c>
      <c r="L708">
        <v>91007</v>
      </c>
      <c r="M708">
        <v>0</v>
      </c>
      <c r="N708">
        <v>1</v>
      </c>
      <c r="O708">
        <v>1</v>
      </c>
      <c r="Q708">
        <v>0</v>
      </c>
      <c r="R708">
        <v>0</v>
      </c>
      <c r="S708">
        <v>0</v>
      </c>
      <c r="T708">
        <v>5</v>
      </c>
      <c r="U708">
        <v>1</v>
      </c>
      <c r="V708">
        <v>0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</row>
    <row r="709" spans="1:29" x14ac:dyDescent="0.35">
      <c r="A709">
        <v>2377</v>
      </c>
      <c r="B709">
        <v>2377</v>
      </c>
      <c r="C709">
        <v>58</v>
      </c>
      <c r="D709">
        <v>33</v>
      </c>
      <c r="E709">
        <v>23</v>
      </c>
      <c r="F709">
        <v>3</v>
      </c>
      <c r="G709">
        <v>0.2</v>
      </c>
      <c r="H709">
        <v>1</v>
      </c>
      <c r="I709">
        <v>0</v>
      </c>
      <c r="J709">
        <v>0</v>
      </c>
      <c r="K709">
        <v>0</v>
      </c>
      <c r="L709">
        <v>91768</v>
      </c>
      <c r="M709">
        <v>0</v>
      </c>
      <c r="N709">
        <v>0</v>
      </c>
      <c r="O709">
        <v>0</v>
      </c>
      <c r="Q709">
        <v>1</v>
      </c>
      <c r="R709">
        <v>0</v>
      </c>
      <c r="S709">
        <v>0</v>
      </c>
      <c r="T709">
        <v>5</v>
      </c>
      <c r="U709">
        <v>1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</row>
    <row r="710" spans="1:29" x14ac:dyDescent="0.35">
      <c r="A710">
        <v>2379</v>
      </c>
      <c r="B710">
        <v>2379</v>
      </c>
      <c r="C710">
        <v>30</v>
      </c>
      <c r="D710">
        <v>5</v>
      </c>
      <c r="E710">
        <v>61</v>
      </c>
      <c r="F710">
        <v>1</v>
      </c>
      <c r="G710">
        <v>0.8</v>
      </c>
      <c r="H710">
        <v>2</v>
      </c>
      <c r="I710">
        <v>251</v>
      </c>
      <c r="J710">
        <v>1</v>
      </c>
      <c r="K710">
        <v>0</v>
      </c>
      <c r="L710">
        <v>95605</v>
      </c>
      <c r="M710">
        <v>0</v>
      </c>
      <c r="N710">
        <v>1</v>
      </c>
      <c r="O710">
        <v>1</v>
      </c>
      <c r="Q710">
        <v>0</v>
      </c>
      <c r="R710">
        <v>0</v>
      </c>
      <c r="S710">
        <v>0</v>
      </c>
      <c r="T710">
        <v>5</v>
      </c>
      <c r="U710">
        <v>1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</row>
    <row r="711" spans="1:29" x14ac:dyDescent="0.35">
      <c r="A711">
        <v>2382</v>
      </c>
      <c r="B711">
        <v>2382</v>
      </c>
      <c r="C711">
        <v>33</v>
      </c>
      <c r="D711">
        <v>9</v>
      </c>
      <c r="E711">
        <v>49</v>
      </c>
      <c r="F711">
        <v>1</v>
      </c>
      <c r="G711">
        <v>2.4</v>
      </c>
      <c r="H711">
        <v>2</v>
      </c>
      <c r="I711">
        <v>0</v>
      </c>
      <c r="J711">
        <v>1</v>
      </c>
      <c r="K711">
        <v>0</v>
      </c>
      <c r="L711">
        <v>94928</v>
      </c>
      <c r="M711">
        <v>0</v>
      </c>
      <c r="N711">
        <v>0</v>
      </c>
      <c r="O711">
        <v>0</v>
      </c>
      <c r="Q711">
        <v>0</v>
      </c>
      <c r="R711">
        <v>0</v>
      </c>
      <c r="S711">
        <v>0</v>
      </c>
      <c r="T711">
        <v>5</v>
      </c>
      <c r="U711">
        <v>1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</row>
    <row r="712" spans="1:29" x14ac:dyDescent="0.35">
      <c r="A712">
        <v>2383</v>
      </c>
      <c r="B712">
        <v>2383</v>
      </c>
      <c r="C712">
        <v>46</v>
      </c>
      <c r="D712">
        <v>20</v>
      </c>
      <c r="E712">
        <v>185</v>
      </c>
      <c r="F712">
        <v>4</v>
      </c>
      <c r="G712">
        <v>7.5</v>
      </c>
      <c r="H712">
        <v>2</v>
      </c>
      <c r="I712">
        <v>428</v>
      </c>
      <c r="J712">
        <v>0</v>
      </c>
      <c r="K712">
        <v>1</v>
      </c>
      <c r="L712">
        <v>94131</v>
      </c>
      <c r="M712">
        <v>1</v>
      </c>
      <c r="N712">
        <v>0</v>
      </c>
      <c r="O712">
        <v>0</v>
      </c>
      <c r="Q712">
        <v>0</v>
      </c>
      <c r="R712">
        <v>1</v>
      </c>
      <c r="S712">
        <v>1</v>
      </c>
      <c r="T712">
        <v>10</v>
      </c>
      <c r="U712">
        <v>0</v>
      </c>
      <c r="V712">
        <v>1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1</v>
      </c>
    </row>
    <row r="713" spans="1:29" x14ac:dyDescent="0.35">
      <c r="A713">
        <v>2386</v>
      </c>
      <c r="B713">
        <v>2386</v>
      </c>
      <c r="C713">
        <v>43</v>
      </c>
      <c r="D713">
        <v>17</v>
      </c>
      <c r="E713">
        <v>125</v>
      </c>
      <c r="F713">
        <v>4</v>
      </c>
      <c r="G713">
        <v>3.5</v>
      </c>
      <c r="H713">
        <v>2</v>
      </c>
      <c r="I713">
        <v>0</v>
      </c>
      <c r="J713">
        <v>0</v>
      </c>
      <c r="K713">
        <v>0</v>
      </c>
      <c r="L713">
        <v>94720</v>
      </c>
      <c r="M713">
        <v>1</v>
      </c>
      <c r="N713">
        <v>0</v>
      </c>
      <c r="O713">
        <v>0</v>
      </c>
      <c r="Q713">
        <v>0</v>
      </c>
      <c r="R713">
        <v>1</v>
      </c>
      <c r="S713">
        <v>1</v>
      </c>
      <c r="T713">
        <v>10</v>
      </c>
      <c r="U713">
        <v>0</v>
      </c>
      <c r="V713">
        <v>1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>
        <v>1</v>
      </c>
    </row>
    <row r="714" spans="1:29" x14ac:dyDescent="0.35">
      <c r="A714">
        <v>2387</v>
      </c>
      <c r="B714">
        <v>2387</v>
      </c>
      <c r="C714">
        <v>31</v>
      </c>
      <c r="D714">
        <v>5</v>
      </c>
      <c r="E714">
        <v>72</v>
      </c>
      <c r="F714">
        <v>3</v>
      </c>
      <c r="G714">
        <v>1.6</v>
      </c>
      <c r="H714">
        <v>1</v>
      </c>
      <c r="I714">
        <v>0</v>
      </c>
      <c r="J714">
        <v>1</v>
      </c>
      <c r="K714">
        <v>0</v>
      </c>
      <c r="L714">
        <v>94542</v>
      </c>
      <c r="M714">
        <v>0</v>
      </c>
      <c r="N714">
        <v>0</v>
      </c>
      <c r="O714">
        <v>0</v>
      </c>
      <c r="Q714">
        <v>1</v>
      </c>
      <c r="R714">
        <v>0</v>
      </c>
      <c r="S714">
        <v>0</v>
      </c>
      <c r="T714">
        <v>5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</row>
    <row r="715" spans="1:29" x14ac:dyDescent="0.35">
      <c r="A715">
        <v>2405</v>
      </c>
      <c r="B715">
        <v>2405</v>
      </c>
      <c r="C715">
        <v>41</v>
      </c>
      <c r="D715">
        <v>15</v>
      </c>
      <c r="E715">
        <v>75</v>
      </c>
      <c r="F715">
        <v>1</v>
      </c>
      <c r="G715">
        <v>1.5</v>
      </c>
      <c r="H715">
        <v>3</v>
      </c>
      <c r="I715">
        <v>0</v>
      </c>
      <c r="J715">
        <v>1</v>
      </c>
      <c r="K715">
        <v>0</v>
      </c>
      <c r="L715">
        <v>95010</v>
      </c>
      <c r="M715">
        <v>0</v>
      </c>
      <c r="N715">
        <v>0</v>
      </c>
      <c r="O715">
        <v>0</v>
      </c>
      <c r="Q715">
        <v>0</v>
      </c>
      <c r="R715">
        <v>0</v>
      </c>
      <c r="S715">
        <v>0</v>
      </c>
      <c r="T715">
        <v>5</v>
      </c>
      <c r="U715">
        <v>1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</row>
    <row r="716" spans="1:29" x14ac:dyDescent="0.35">
      <c r="A716">
        <v>2418</v>
      </c>
      <c r="B716">
        <v>2418</v>
      </c>
      <c r="C716">
        <v>25</v>
      </c>
      <c r="D716">
        <v>0</v>
      </c>
      <c r="E716">
        <v>53</v>
      </c>
      <c r="F716">
        <v>2</v>
      </c>
      <c r="G716">
        <v>1.6</v>
      </c>
      <c r="H716">
        <v>3</v>
      </c>
      <c r="I716">
        <v>0</v>
      </c>
      <c r="J716">
        <v>1</v>
      </c>
      <c r="K716">
        <v>1</v>
      </c>
      <c r="L716">
        <v>90095</v>
      </c>
      <c r="M716">
        <v>0</v>
      </c>
      <c r="N716">
        <v>0</v>
      </c>
      <c r="O716">
        <v>0</v>
      </c>
      <c r="Q716">
        <v>0</v>
      </c>
      <c r="R716">
        <v>0</v>
      </c>
      <c r="S716">
        <v>0</v>
      </c>
      <c r="T716">
        <v>5</v>
      </c>
      <c r="U716">
        <v>1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</row>
    <row r="717" spans="1:29" x14ac:dyDescent="0.35">
      <c r="A717">
        <v>2419</v>
      </c>
      <c r="B717">
        <v>2419</v>
      </c>
      <c r="C717">
        <v>41</v>
      </c>
      <c r="D717">
        <v>17</v>
      </c>
      <c r="E717">
        <v>28</v>
      </c>
      <c r="F717">
        <v>1</v>
      </c>
      <c r="G717">
        <v>0.7</v>
      </c>
      <c r="H717">
        <v>1</v>
      </c>
      <c r="I717">
        <v>0</v>
      </c>
      <c r="J717">
        <v>0</v>
      </c>
      <c r="K717">
        <v>1</v>
      </c>
      <c r="L717">
        <v>95616</v>
      </c>
      <c r="M717">
        <v>0</v>
      </c>
      <c r="N717">
        <v>0</v>
      </c>
      <c r="O717">
        <v>0</v>
      </c>
      <c r="Q717">
        <v>1</v>
      </c>
      <c r="R717">
        <v>0</v>
      </c>
      <c r="S717">
        <v>0</v>
      </c>
      <c r="T717">
        <v>5</v>
      </c>
      <c r="U717">
        <v>1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</row>
    <row r="718" spans="1:29" x14ac:dyDescent="0.35">
      <c r="A718">
        <v>2420</v>
      </c>
      <c r="B718">
        <v>2420</v>
      </c>
      <c r="C718">
        <v>63</v>
      </c>
      <c r="D718">
        <v>37</v>
      </c>
      <c r="E718">
        <v>44</v>
      </c>
      <c r="F718">
        <v>2</v>
      </c>
      <c r="G718">
        <v>1</v>
      </c>
      <c r="H718">
        <v>3</v>
      </c>
      <c r="I718">
        <v>0</v>
      </c>
      <c r="J718">
        <v>1</v>
      </c>
      <c r="K718">
        <v>0</v>
      </c>
      <c r="L718">
        <v>94550</v>
      </c>
      <c r="M718">
        <v>0</v>
      </c>
      <c r="N718">
        <v>0</v>
      </c>
      <c r="O718">
        <v>0</v>
      </c>
      <c r="Q718">
        <v>0</v>
      </c>
      <c r="R718">
        <v>0</v>
      </c>
      <c r="S718">
        <v>0</v>
      </c>
      <c r="T718">
        <v>5</v>
      </c>
      <c r="U718">
        <v>1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</row>
    <row r="719" spans="1:29" x14ac:dyDescent="0.35">
      <c r="A719">
        <v>2426</v>
      </c>
      <c r="B719">
        <v>2426</v>
      </c>
      <c r="C719">
        <v>54</v>
      </c>
      <c r="D719">
        <v>30</v>
      </c>
      <c r="E719">
        <v>78</v>
      </c>
      <c r="F719">
        <v>4</v>
      </c>
      <c r="G719">
        <v>1.6</v>
      </c>
      <c r="H719">
        <v>2</v>
      </c>
      <c r="I719">
        <v>0</v>
      </c>
      <c r="J719">
        <v>1</v>
      </c>
      <c r="K719">
        <v>1</v>
      </c>
      <c r="L719">
        <v>92507</v>
      </c>
      <c r="M719">
        <v>0</v>
      </c>
      <c r="N719">
        <v>0</v>
      </c>
      <c r="O719">
        <v>0</v>
      </c>
      <c r="Q719">
        <v>0</v>
      </c>
      <c r="R719">
        <v>0</v>
      </c>
      <c r="S719">
        <v>0</v>
      </c>
      <c r="T719">
        <v>5</v>
      </c>
      <c r="U719">
        <v>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</row>
    <row r="720" spans="1:29" x14ac:dyDescent="0.35">
      <c r="A720">
        <v>2427</v>
      </c>
      <c r="B720">
        <v>2427</v>
      </c>
      <c r="C720">
        <v>61</v>
      </c>
      <c r="D720">
        <v>36</v>
      </c>
      <c r="E720">
        <v>55</v>
      </c>
      <c r="F720">
        <v>3</v>
      </c>
      <c r="G720">
        <v>0.9</v>
      </c>
      <c r="H720">
        <v>3</v>
      </c>
      <c r="I720">
        <v>197</v>
      </c>
      <c r="J720">
        <v>0</v>
      </c>
      <c r="K720">
        <v>0</v>
      </c>
      <c r="L720">
        <v>94132</v>
      </c>
      <c r="M720">
        <v>0</v>
      </c>
      <c r="N720">
        <v>0</v>
      </c>
      <c r="O720">
        <v>0</v>
      </c>
      <c r="Q720">
        <v>0</v>
      </c>
      <c r="R720">
        <v>0</v>
      </c>
      <c r="S720">
        <v>0</v>
      </c>
      <c r="T720">
        <v>5</v>
      </c>
      <c r="U720">
        <v>1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</row>
    <row r="721" spans="1:29" x14ac:dyDescent="0.35">
      <c r="A721">
        <v>2430</v>
      </c>
      <c r="B721">
        <v>2430</v>
      </c>
      <c r="C721">
        <v>33</v>
      </c>
      <c r="D721">
        <v>7</v>
      </c>
      <c r="E721">
        <v>58</v>
      </c>
      <c r="F721">
        <v>4</v>
      </c>
      <c r="G721">
        <v>2.2000000000000002</v>
      </c>
      <c r="H721">
        <v>2</v>
      </c>
      <c r="I721">
        <v>0</v>
      </c>
      <c r="J721">
        <v>1</v>
      </c>
      <c r="K721">
        <v>1</v>
      </c>
      <c r="L721">
        <v>95616</v>
      </c>
      <c r="M721">
        <v>0</v>
      </c>
      <c r="N721">
        <v>0</v>
      </c>
      <c r="O721">
        <v>0</v>
      </c>
      <c r="Q721">
        <v>0</v>
      </c>
      <c r="R721">
        <v>0</v>
      </c>
      <c r="S721">
        <v>0</v>
      </c>
      <c r="T721">
        <v>5</v>
      </c>
      <c r="U721">
        <v>1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</row>
    <row r="722" spans="1:29" x14ac:dyDescent="0.35">
      <c r="A722">
        <v>2431</v>
      </c>
      <c r="B722">
        <v>2431</v>
      </c>
      <c r="C722">
        <v>23</v>
      </c>
      <c r="D722">
        <v>-1</v>
      </c>
      <c r="E722">
        <v>73</v>
      </c>
      <c r="F722">
        <v>4</v>
      </c>
      <c r="G722">
        <v>2.6</v>
      </c>
      <c r="H722">
        <v>1</v>
      </c>
      <c r="I722">
        <v>0</v>
      </c>
      <c r="J722">
        <v>1</v>
      </c>
      <c r="K722">
        <v>0</v>
      </c>
      <c r="L722">
        <v>92120</v>
      </c>
      <c r="M722">
        <v>0</v>
      </c>
      <c r="N722">
        <v>0</v>
      </c>
      <c r="O722">
        <v>0</v>
      </c>
      <c r="Q722">
        <v>1</v>
      </c>
      <c r="R722">
        <v>0</v>
      </c>
      <c r="S722">
        <v>0</v>
      </c>
      <c r="T722">
        <v>5</v>
      </c>
      <c r="U722">
        <v>1</v>
      </c>
      <c r="V722">
        <v>0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</row>
    <row r="723" spans="1:29" x14ac:dyDescent="0.35">
      <c r="A723">
        <v>2433</v>
      </c>
      <c r="B723">
        <v>2433</v>
      </c>
      <c r="C723">
        <v>54</v>
      </c>
      <c r="D723">
        <v>30</v>
      </c>
      <c r="E723">
        <v>45</v>
      </c>
      <c r="F723">
        <v>4</v>
      </c>
      <c r="G723">
        <v>0.9</v>
      </c>
      <c r="H723">
        <v>2</v>
      </c>
      <c r="I723">
        <v>0</v>
      </c>
      <c r="J723">
        <v>0</v>
      </c>
      <c r="K723">
        <v>1</v>
      </c>
      <c r="L723">
        <v>92182</v>
      </c>
      <c r="M723">
        <v>0</v>
      </c>
      <c r="N723">
        <v>0</v>
      </c>
      <c r="O723">
        <v>0</v>
      </c>
      <c r="Q723">
        <v>0</v>
      </c>
      <c r="R723">
        <v>0</v>
      </c>
      <c r="S723">
        <v>0</v>
      </c>
      <c r="T723">
        <v>5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</row>
    <row r="724" spans="1:29" x14ac:dyDescent="0.35">
      <c r="A724">
        <v>2435</v>
      </c>
      <c r="B724">
        <v>2435</v>
      </c>
      <c r="C724">
        <v>38</v>
      </c>
      <c r="D724">
        <v>12</v>
      </c>
      <c r="E724">
        <v>93</v>
      </c>
      <c r="F724">
        <v>1</v>
      </c>
      <c r="G724">
        <v>5.2</v>
      </c>
      <c r="H724">
        <v>1</v>
      </c>
      <c r="I724">
        <v>267</v>
      </c>
      <c r="J724">
        <v>1</v>
      </c>
      <c r="K724">
        <v>0</v>
      </c>
      <c r="L724">
        <v>95616</v>
      </c>
      <c r="M724">
        <v>0</v>
      </c>
      <c r="N724">
        <v>0</v>
      </c>
      <c r="O724">
        <v>0</v>
      </c>
      <c r="Q724">
        <v>1</v>
      </c>
      <c r="R724">
        <v>0</v>
      </c>
      <c r="S724">
        <v>0</v>
      </c>
      <c r="T724">
        <v>16</v>
      </c>
      <c r="U724">
        <v>0.58333333333333004</v>
      </c>
      <c r="V724">
        <v>0.41666666666666002</v>
      </c>
      <c r="W724">
        <v>0.58333333333333004</v>
      </c>
      <c r="X724">
        <v>0.41666666666666002</v>
      </c>
      <c r="Y724">
        <v>0.77777777777777002</v>
      </c>
      <c r="Z724">
        <v>0.22222222222221999</v>
      </c>
      <c r="AA724">
        <v>0.41666666666666902</v>
      </c>
      <c r="AB724">
        <v>-0.41666666666666002</v>
      </c>
      <c r="AC724">
        <v>0</v>
      </c>
    </row>
    <row r="725" spans="1:29" x14ac:dyDescent="0.35">
      <c r="A725">
        <v>2436</v>
      </c>
      <c r="B725">
        <v>2436</v>
      </c>
      <c r="C725">
        <v>34</v>
      </c>
      <c r="D725">
        <v>9</v>
      </c>
      <c r="E725">
        <v>102</v>
      </c>
      <c r="F725">
        <v>4</v>
      </c>
      <c r="G725">
        <v>2.2000000000000002</v>
      </c>
      <c r="H725">
        <v>2</v>
      </c>
      <c r="I725">
        <v>0</v>
      </c>
      <c r="J725">
        <v>1</v>
      </c>
      <c r="K725">
        <v>0</v>
      </c>
      <c r="L725">
        <v>92115</v>
      </c>
      <c r="M725">
        <v>0</v>
      </c>
      <c r="N725">
        <v>0</v>
      </c>
      <c r="O725">
        <v>0</v>
      </c>
      <c r="Q725">
        <v>0</v>
      </c>
      <c r="R725">
        <v>0</v>
      </c>
      <c r="S725">
        <v>0</v>
      </c>
      <c r="T725">
        <v>13</v>
      </c>
      <c r="U725">
        <v>0.88607594936708001</v>
      </c>
      <c r="V725">
        <v>0.11392405063291</v>
      </c>
      <c r="W725">
        <v>0.88607594936708001</v>
      </c>
      <c r="X725">
        <v>0.11392405063291</v>
      </c>
      <c r="Y725">
        <v>0.86842105263156999</v>
      </c>
      <c r="Z725">
        <v>0.13157894736841999</v>
      </c>
      <c r="AA725">
        <v>0.11392405063291999</v>
      </c>
      <c r="AB725">
        <v>-0.11392405063291</v>
      </c>
      <c r="AC725">
        <v>0</v>
      </c>
    </row>
    <row r="726" spans="1:29" x14ac:dyDescent="0.35">
      <c r="A726">
        <v>2440</v>
      </c>
      <c r="B726">
        <v>2440</v>
      </c>
      <c r="C726">
        <v>51</v>
      </c>
      <c r="D726">
        <v>25</v>
      </c>
      <c r="E726">
        <v>30</v>
      </c>
      <c r="F726">
        <v>3</v>
      </c>
      <c r="G726">
        <v>0.6</v>
      </c>
      <c r="H726">
        <v>2</v>
      </c>
      <c r="I726">
        <v>144</v>
      </c>
      <c r="J726">
        <v>0</v>
      </c>
      <c r="K726">
        <v>1</v>
      </c>
      <c r="L726">
        <v>91116</v>
      </c>
      <c r="M726">
        <v>0</v>
      </c>
      <c r="N726">
        <v>0</v>
      </c>
      <c r="O726">
        <v>0</v>
      </c>
      <c r="Q726">
        <v>0</v>
      </c>
      <c r="R726">
        <v>0</v>
      </c>
      <c r="S726">
        <v>0</v>
      </c>
      <c r="T726">
        <v>5</v>
      </c>
      <c r="U726">
        <v>1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</row>
    <row r="727" spans="1:29" x14ac:dyDescent="0.35">
      <c r="A727">
        <v>2441</v>
      </c>
      <c r="B727">
        <v>2441</v>
      </c>
      <c r="C727">
        <v>31</v>
      </c>
      <c r="D727">
        <v>5</v>
      </c>
      <c r="E727">
        <v>22</v>
      </c>
      <c r="F727">
        <v>1</v>
      </c>
      <c r="G727">
        <v>0.6</v>
      </c>
      <c r="H727">
        <v>3</v>
      </c>
      <c r="I727">
        <v>0</v>
      </c>
      <c r="J727">
        <v>0</v>
      </c>
      <c r="K727">
        <v>0</v>
      </c>
      <c r="L727">
        <v>91401</v>
      </c>
      <c r="M727">
        <v>0</v>
      </c>
      <c r="N727">
        <v>0</v>
      </c>
      <c r="O727">
        <v>0</v>
      </c>
      <c r="Q727">
        <v>0</v>
      </c>
      <c r="R727">
        <v>0</v>
      </c>
      <c r="S727">
        <v>0</v>
      </c>
      <c r="T727">
        <v>5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</row>
    <row r="728" spans="1:29" x14ac:dyDescent="0.35">
      <c r="A728">
        <v>2442</v>
      </c>
      <c r="B728">
        <v>2442</v>
      </c>
      <c r="C728">
        <v>64</v>
      </c>
      <c r="D728">
        <v>38</v>
      </c>
      <c r="E728">
        <v>38</v>
      </c>
      <c r="F728">
        <v>2</v>
      </c>
      <c r="G728">
        <v>0.3</v>
      </c>
      <c r="H728">
        <v>1</v>
      </c>
      <c r="I728">
        <v>186</v>
      </c>
      <c r="J728">
        <v>1</v>
      </c>
      <c r="K728">
        <v>1</v>
      </c>
      <c r="L728">
        <v>94305</v>
      </c>
      <c r="M728">
        <v>0</v>
      </c>
      <c r="N728">
        <v>0</v>
      </c>
      <c r="O728">
        <v>0</v>
      </c>
      <c r="Q728">
        <v>1</v>
      </c>
      <c r="R728">
        <v>0</v>
      </c>
      <c r="S728">
        <v>0</v>
      </c>
      <c r="T728">
        <v>5</v>
      </c>
      <c r="U728">
        <v>1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</row>
    <row r="729" spans="1:29" x14ac:dyDescent="0.35">
      <c r="A729">
        <v>2445</v>
      </c>
      <c r="B729">
        <v>2445</v>
      </c>
      <c r="C729">
        <v>60</v>
      </c>
      <c r="D729">
        <v>35</v>
      </c>
      <c r="E729">
        <v>38</v>
      </c>
      <c r="F729">
        <v>3</v>
      </c>
      <c r="G729">
        <v>0.5</v>
      </c>
      <c r="H729">
        <v>2</v>
      </c>
      <c r="I729">
        <v>0</v>
      </c>
      <c r="J729">
        <v>1</v>
      </c>
      <c r="K729">
        <v>1</v>
      </c>
      <c r="L729">
        <v>94701</v>
      </c>
      <c r="M729">
        <v>0</v>
      </c>
      <c r="N729">
        <v>0</v>
      </c>
      <c r="O729">
        <v>0</v>
      </c>
      <c r="Q729">
        <v>0</v>
      </c>
      <c r="R729">
        <v>0</v>
      </c>
      <c r="S729">
        <v>0</v>
      </c>
      <c r="T729">
        <v>5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</row>
    <row r="730" spans="1:29" x14ac:dyDescent="0.35">
      <c r="A730">
        <v>2447</v>
      </c>
      <c r="B730">
        <v>2447</v>
      </c>
      <c r="C730">
        <v>25</v>
      </c>
      <c r="D730">
        <v>1</v>
      </c>
      <c r="E730">
        <v>70</v>
      </c>
      <c r="F730">
        <v>4</v>
      </c>
      <c r="G730">
        <v>2.6</v>
      </c>
      <c r="H730">
        <v>1</v>
      </c>
      <c r="I730">
        <v>218</v>
      </c>
      <c r="J730">
        <v>1</v>
      </c>
      <c r="K730">
        <v>0</v>
      </c>
      <c r="L730">
        <v>93010</v>
      </c>
      <c r="M730">
        <v>0</v>
      </c>
      <c r="N730">
        <v>0</v>
      </c>
      <c r="O730">
        <v>0</v>
      </c>
      <c r="Q730">
        <v>1</v>
      </c>
      <c r="R730">
        <v>0</v>
      </c>
      <c r="S730">
        <v>0</v>
      </c>
      <c r="T730">
        <v>5</v>
      </c>
      <c r="U730">
        <v>1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</row>
    <row r="731" spans="1:29" x14ac:dyDescent="0.35">
      <c r="A731">
        <v>2449</v>
      </c>
      <c r="B731">
        <v>2449</v>
      </c>
      <c r="C731">
        <v>51</v>
      </c>
      <c r="D731">
        <v>26</v>
      </c>
      <c r="E731">
        <v>42</v>
      </c>
      <c r="F731">
        <v>2</v>
      </c>
      <c r="G731">
        <v>0.6</v>
      </c>
      <c r="H731">
        <v>3</v>
      </c>
      <c r="I731">
        <v>0</v>
      </c>
      <c r="J731">
        <v>1</v>
      </c>
      <c r="K731">
        <v>1</v>
      </c>
      <c r="L731">
        <v>92103</v>
      </c>
      <c r="M731">
        <v>0</v>
      </c>
      <c r="N731">
        <v>0</v>
      </c>
      <c r="O731">
        <v>0</v>
      </c>
      <c r="Q731">
        <v>0</v>
      </c>
      <c r="R731">
        <v>0</v>
      </c>
      <c r="S731">
        <v>0</v>
      </c>
      <c r="T731">
        <v>5</v>
      </c>
      <c r="U731">
        <v>1</v>
      </c>
      <c r="V731">
        <v>0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</row>
    <row r="732" spans="1:29" x14ac:dyDescent="0.35">
      <c r="A732">
        <v>2450</v>
      </c>
      <c r="B732">
        <v>2450</v>
      </c>
      <c r="C732">
        <v>31</v>
      </c>
      <c r="D732">
        <v>7</v>
      </c>
      <c r="E732">
        <v>64</v>
      </c>
      <c r="F732">
        <v>1</v>
      </c>
      <c r="G732">
        <v>1.2</v>
      </c>
      <c r="H732">
        <v>1</v>
      </c>
      <c r="I732">
        <v>0</v>
      </c>
      <c r="J732">
        <v>1</v>
      </c>
      <c r="K732">
        <v>0</v>
      </c>
      <c r="L732">
        <v>94720</v>
      </c>
      <c r="M732">
        <v>0</v>
      </c>
      <c r="N732">
        <v>0</v>
      </c>
      <c r="O732">
        <v>0</v>
      </c>
      <c r="Q732">
        <v>1</v>
      </c>
      <c r="R732">
        <v>0</v>
      </c>
      <c r="S732">
        <v>0</v>
      </c>
      <c r="T732">
        <v>5</v>
      </c>
      <c r="U732">
        <v>1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</row>
    <row r="733" spans="1:29" x14ac:dyDescent="0.35">
      <c r="A733">
        <v>2455</v>
      </c>
      <c r="B733">
        <v>2455</v>
      </c>
      <c r="C733">
        <v>54</v>
      </c>
      <c r="D733">
        <v>29</v>
      </c>
      <c r="E733">
        <v>23</v>
      </c>
      <c r="F733">
        <v>1</v>
      </c>
      <c r="G733">
        <v>1.5</v>
      </c>
      <c r="H733">
        <v>2</v>
      </c>
      <c r="I733">
        <v>0</v>
      </c>
      <c r="J733">
        <v>0</v>
      </c>
      <c r="K733">
        <v>0</v>
      </c>
      <c r="L733">
        <v>93955</v>
      </c>
      <c r="M733">
        <v>0</v>
      </c>
      <c r="N733">
        <v>0</v>
      </c>
      <c r="O733">
        <v>0</v>
      </c>
      <c r="Q733">
        <v>0</v>
      </c>
      <c r="R733">
        <v>0</v>
      </c>
      <c r="S733">
        <v>0</v>
      </c>
      <c r="T733">
        <v>5</v>
      </c>
      <c r="U733">
        <v>1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</row>
    <row r="734" spans="1:29" x14ac:dyDescent="0.35">
      <c r="A734">
        <v>2456</v>
      </c>
      <c r="B734">
        <v>2456</v>
      </c>
      <c r="C734">
        <v>34</v>
      </c>
      <c r="D734">
        <v>8</v>
      </c>
      <c r="E734">
        <v>164</v>
      </c>
      <c r="F734">
        <v>4</v>
      </c>
      <c r="G734">
        <v>7.4</v>
      </c>
      <c r="H734">
        <v>3</v>
      </c>
      <c r="I734">
        <v>0</v>
      </c>
      <c r="J734">
        <v>1</v>
      </c>
      <c r="K734">
        <v>0</v>
      </c>
      <c r="L734">
        <v>94720</v>
      </c>
      <c r="M734">
        <v>1</v>
      </c>
      <c r="N734">
        <v>0</v>
      </c>
      <c r="O734">
        <v>0</v>
      </c>
      <c r="Q734">
        <v>0</v>
      </c>
      <c r="R734">
        <v>1</v>
      </c>
      <c r="S734">
        <v>1</v>
      </c>
      <c r="T734">
        <v>10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1</v>
      </c>
    </row>
    <row r="735" spans="1:29" x14ac:dyDescent="0.35">
      <c r="A735">
        <v>2458</v>
      </c>
      <c r="B735">
        <v>2458</v>
      </c>
      <c r="C735">
        <v>42</v>
      </c>
      <c r="D735">
        <v>17</v>
      </c>
      <c r="E735">
        <v>19</v>
      </c>
      <c r="F735">
        <v>2</v>
      </c>
      <c r="G735">
        <v>0</v>
      </c>
      <c r="H735">
        <v>3</v>
      </c>
      <c r="I735">
        <v>85</v>
      </c>
      <c r="J735">
        <v>1</v>
      </c>
      <c r="K735">
        <v>1</v>
      </c>
      <c r="L735">
        <v>92115</v>
      </c>
      <c r="M735">
        <v>0</v>
      </c>
      <c r="N735">
        <v>0</v>
      </c>
      <c r="O735">
        <v>0</v>
      </c>
      <c r="Q735">
        <v>0</v>
      </c>
      <c r="R735">
        <v>0</v>
      </c>
      <c r="S735">
        <v>0</v>
      </c>
      <c r="T735">
        <v>5</v>
      </c>
      <c r="U735">
        <v>1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</row>
    <row r="736" spans="1:29" x14ac:dyDescent="0.35">
      <c r="A736">
        <v>2461</v>
      </c>
      <c r="B736">
        <v>2461</v>
      </c>
      <c r="C736">
        <v>31</v>
      </c>
      <c r="D736">
        <v>5</v>
      </c>
      <c r="E736">
        <v>32</v>
      </c>
      <c r="F736">
        <v>2</v>
      </c>
      <c r="G736">
        <v>0.3</v>
      </c>
      <c r="H736">
        <v>2</v>
      </c>
      <c r="I736">
        <v>130</v>
      </c>
      <c r="J736">
        <v>1</v>
      </c>
      <c r="K736">
        <v>0</v>
      </c>
      <c r="L736">
        <v>92123</v>
      </c>
      <c r="M736">
        <v>0</v>
      </c>
      <c r="N736">
        <v>0</v>
      </c>
      <c r="O736">
        <v>0</v>
      </c>
      <c r="Q736">
        <v>0</v>
      </c>
      <c r="R736">
        <v>0</v>
      </c>
      <c r="S736">
        <v>0</v>
      </c>
      <c r="T736">
        <v>5</v>
      </c>
      <c r="U736">
        <v>1</v>
      </c>
      <c r="V736">
        <v>0</v>
      </c>
      <c r="W736">
        <v>1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</row>
    <row r="737" spans="1:29" x14ac:dyDescent="0.35">
      <c r="A737">
        <v>2468</v>
      </c>
      <c r="B737">
        <v>2468</v>
      </c>
      <c r="C737">
        <v>40</v>
      </c>
      <c r="D737">
        <v>16</v>
      </c>
      <c r="E737">
        <v>83</v>
      </c>
      <c r="F737">
        <v>1</v>
      </c>
      <c r="G737">
        <v>0.8</v>
      </c>
      <c r="H737">
        <v>2</v>
      </c>
      <c r="I737">
        <v>230</v>
      </c>
      <c r="J737">
        <v>1</v>
      </c>
      <c r="K737">
        <v>0</v>
      </c>
      <c r="L737">
        <v>92350</v>
      </c>
      <c r="M737">
        <v>0</v>
      </c>
      <c r="N737">
        <v>1</v>
      </c>
      <c r="O737">
        <v>0</v>
      </c>
      <c r="Q737">
        <v>0</v>
      </c>
      <c r="R737">
        <v>0</v>
      </c>
      <c r="S737">
        <v>0</v>
      </c>
      <c r="T737">
        <v>5</v>
      </c>
      <c r="U737">
        <v>1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</row>
    <row r="738" spans="1:29" x14ac:dyDescent="0.35">
      <c r="A738">
        <v>2470</v>
      </c>
      <c r="B738">
        <v>2470</v>
      </c>
      <c r="C738">
        <v>43</v>
      </c>
      <c r="D738">
        <v>18</v>
      </c>
      <c r="E738">
        <v>89</v>
      </c>
      <c r="F738">
        <v>1</v>
      </c>
      <c r="G738">
        <v>0.1</v>
      </c>
      <c r="H738">
        <v>2</v>
      </c>
      <c r="I738">
        <v>307</v>
      </c>
      <c r="J738">
        <v>0</v>
      </c>
      <c r="K738">
        <v>1</v>
      </c>
      <c r="L738">
        <v>92780</v>
      </c>
      <c r="M738">
        <v>0</v>
      </c>
      <c r="N738">
        <v>0</v>
      </c>
      <c r="O738">
        <v>0</v>
      </c>
      <c r="Q738">
        <v>0</v>
      </c>
      <c r="R738">
        <v>0</v>
      </c>
      <c r="S738">
        <v>0</v>
      </c>
      <c r="T738">
        <v>5</v>
      </c>
      <c r="U738">
        <v>1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</row>
    <row r="739" spans="1:29" x14ac:dyDescent="0.35">
      <c r="A739">
        <v>2472</v>
      </c>
      <c r="B739">
        <v>2472</v>
      </c>
      <c r="C739">
        <v>36</v>
      </c>
      <c r="D739">
        <v>11</v>
      </c>
      <c r="E739">
        <v>44</v>
      </c>
      <c r="F739">
        <v>2</v>
      </c>
      <c r="G739">
        <v>1.1000000000000001</v>
      </c>
      <c r="H739">
        <v>2</v>
      </c>
      <c r="I739">
        <v>85</v>
      </c>
      <c r="J739">
        <v>1</v>
      </c>
      <c r="K739">
        <v>0</v>
      </c>
      <c r="L739">
        <v>91040</v>
      </c>
      <c r="M739">
        <v>0</v>
      </c>
      <c r="N739">
        <v>0</v>
      </c>
      <c r="O739">
        <v>0</v>
      </c>
      <c r="Q739">
        <v>0</v>
      </c>
      <c r="R739">
        <v>0</v>
      </c>
      <c r="S739">
        <v>0</v>
      </c>
      <c r="T739">
        <v>5</v>
      </c>
      <c r="U739">
        <v>1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</row>
    <row r="740" spans="1:29" x14ac:dyDescent="0.35">
      <c r="A740">
        <v>2475</v>
      </c>
      <c r="B740">
        <v>2475</v>
      </c>
      <c r="C740">
        <v>64</v>
      </c>
      <c r="D740">
        <v>38</v>
      </c>
      <c r="E740">
        <v>40</v>
      </c>
      <c r="F740">
        <v>2</v>
      </c>
      <c r="G740">
        <v>1</v>
      </c>
      <c r="H740">
        <v>3</v>
      </c>
      <c r="I740">
        <v>0</v>
      </c>
      <c r="J740">
        <v>0</v>
      </c>
      <c r="K740">
        <v>0</v>
      </c>
      <c r="L740">
        <v>92122</v>
      </c>
      <c r="M740">
        <v>0</v>
      </c>
      <c r="N740">
        <v>0</v>
      </c>
      <c r="O740">
        <v>0</v>
      </c>
      <c r="Q740">
        <v>0</v>
      </c>
      <c r="R740">
        <v>0</v>
      </c>
      <c r="S740">
        <v>0</v>
      </c>
      <c r="T740">
        <v>5</v>
      </c>
      <c r="U740">
        <v>1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</row>
    <row r="741" spans="1:29" x14ac:dyDescent="0.35">
      <c r="A741">
        <v>2477</v>
      </c>
      <c r="B741">
        <v>2477</v>
      </c>
      <c r="C741">
        <v>54</v>
      </c>
      <c r="D741">
        <v>28</v>
      </c>
      <c r="E741">
        <v>30</v>
      </c>
      <c r="F741">
        <v>4</v>
      </c>
      <c r="G741">
        <v>0.7</v>
      </c>
      <c r="H741">
        <v>2</v>
      </c>
      <c r="I741">
        <v>0</v>
      </c>
      <c r="J741">
        <v>1</v>
      </c>
      <c r="K741">
        <v>0</v>
      </c>
      <c r="L741">
        <v>95616</v>
      </c>
      <c r="M741">
        <v>0</v>
      </c>
      <c r="N741">
        <v>0</v>
      </c>
      <c r="O741">
        <v>0</v>
      </c>
      <c r="Q741">
        <v>0</v>
      </c>
      <c r="R741">
        <v>0</v>
      </c>
      <c r="S741">
        <v>0</v>
      </c>
      <c r="T741">
        <v>5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</row>
    <row r="742" spans="1:29" x14ac:dyDescent="0.35">
      <c r="A742">
        <v>2478</v>
      </c>
      <c r="B742">
        <v>2478</v>
      </c>
      <c r="C742">
        <v>40</v>
      </c>
      <c r="D742">
        <v>14</v>
      </c>
      <c r="E742">
        <v>179</v>
      </c>
      <c r="F742">
        <v>1</v>
      </c>
      <c r="G742">
        <v>2.6</v>
      </c>
      <c r="H742">
        <v>3</v>
      </c>
      <c r="I742">
        <v>0</v>
      </c>
      <c r="J742">
        <v>1</v>
      </c>
      <c r="K742">
        <v>0</v>
      </c>
      <c r="L742">
        <v>90025</v>
      </c>
      <c r="M742">
        <v>1</v>
      </c>
      <c r="N742">
        <v>0</v>
      </c>
      <c r="O742">
        <v>0</v>
      </c>
      <c r="Q742">
        <v>0</v>
      </c>
      <c r="R742">
        <v>1</v>
      </c>
      <c r="S742">
        <v>1</v>
      </c>
      <c r="T742">
        <v>10</v>
      </c>
      <c r="U742">
        <v>0</v>
      </c>
      <c r="V742">
        <v>1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0</v>
      </c>
      <c r="AC742">
        <v>1</v>
      </c>
    </row>
    <row r="743" spans="1:29" x14ac:dyDescent="0.35">
      <c r="A743">
        <v>2479</v>
      </c>
      <c r="B743">
        <v>2479</v>
      </c>
      <c r="C743">
        <v>30</v>
      </c>
      <c r="D743">
        <v>5</v>
      </c>
      <c r="E743">
        <v>178</v>
      </c>
      <c r="F743">
        <v>2</v>
      </c>
      <c r="G743">
        <v>6.7</v>
      </c>
      <c r="H743">
        <v>1</v>
      </c>
      <c r="I743">
        <v>0</v>
      </c>
      <c r="J743">
        <v>0</v>
      </c>
      <c r="K743">
        <v>0</v>
      </c>
      <c r="L743">
        <v>94063</v>
      </c>
      <c r="M743">
        <v>0</v>
      </c>
      <c r="N743">
        <v>0</v>
      </c>
      <c r="O743">
        <v>0</v>
      </c>
      <c r="Q743">
        <v>1</v>
      </c>
      <c r="R743">
        <v>0</v>
      </c>
      <c r="S743">
        <v>0</v>
      </c>
      <c r="T743">
        <v>22</v>
      </c>
      <c r="U743">
        <v>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</row>
    <row r="744" spans="1:29" x14ac:dyDescent="0.35">
      <c r="A744">
        <v>2484</v>
      </c>
      <c r="B744">
        <v>2484</v>
      </c>
      <c r="C744">
        <v>44</v>
      </c>
      <c r="D744">
        <v>18</v>
      </c>
      <c r="E744">
        <v>68</v>
      </c>
      <c r="F744">
        <v>4</v>
      </c>
      <c r="G744">
        <v>2.9</v>
      </c>
      <c r="H744">
        <v>1</v>
      </c>
      <c r="I744">
        <v>0</v>
      </c>
      <c r="J744">
        <v>0</v>
      </c>
      <c r="K744">
        <v>0</v>
      </c>
      <c r="L744">
        <v>93943</v>
      </c>
      <c r="M744">
        <v>0</v>
      </c>
      <c r="N744">
        <v>1</v>
      </c>
      <c r="O744">
        <v>0</v>
      </c>
      <c r="Q744">
        <v>1</v>
      </c>
      <c r="R744">
        <v>0</v>
      </c>
      <c r="S744">
        <v>0</v>
      </c>
      <c r="T744">
        <v>5</v>
      </c>
      <c r="U744">
        <v>1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</row>
    <row r="745" spans="1:29" x14ac:dyDescent="0.35">
      <c r="A745">
        <v>2485</v>
      </c>
      <c r="B745">
        <v>2485</v>
      </c>
      <c r="C745">
        <v>46</v>
      </c>
      <c r="D745">
        <v>21</v>
      </c>
      <c r="E745">
        <v>30</v>
      </c>
      <c r="F745">
        <v>1</v>
      </c>
      <c r="G745">
        <v>1.4</v>
      </c>
      <c r="H745">
        <v>3</v>
      </c>
      <c r="I745">
        <v>112</v>
      </c>
      <c r="J745">
        <v>0</v>
      </c>
      <c r="K745">
        <v>0</v>
      </c>
      <c r="L745">
        <v>92697</v>
      </c>
      <c r="M745">
        <v>0</v>
      </c>
      <c r="N745">
        <v>1</v>
      </c>
      <c r="O745">
        <v>0</v>
      </c>
      <c r="Q745">
        <v>0</v>
      </c>
      <c r="R745">
        <v>0</v>
      </c>
      <c r="S745">
        <v>0</v>
      </c>
      <c r="T745">
        <v>5</v>
      </c>
      <c r="U745">
        <v>1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</row>
    <row r="746" spans="1:29" x14ac:dyDescent="0.35">
      <c r="A746">
        <v>2490</v>
      </c>
      <c r="B746">
        <v>2490</v>
      </c>
      <c r="C746">
        <v>29</v>
      </c>
      <c r="D746">
        <v>3</v>
      </c>
      <c r="E746">
        <v>41</v>
      </c>
      <c r="F746">
        <v>4</v>
      </c>
      <c r="G746">
        <v>0.2</v>
      </c>
      <c r="H746">
        <v>1</v>
      </c>
      <c r="I746">
        <v>0</v>
      </c>
      <c r="J746">
        <v>1</v>
      </c>
      <c r="K746">
        <v>0</v>
      </c>
      <c r="L746">
        <v>92626</v>
      </c>
      <c r="M746">
        <v>0</v>
      </c>
      <c r="N746">
        <v>0</v>
      </c>
      <c r="O746">
        <v>0</v>
      </c>
      <c r="Q746">
        <v>1</v>
      </c>
      <c r="R746">
        <v>0</v>
      </c>
      <c r="S746">
        <v>0</v>
      </c>
      <c r="T746">
        <v>5</v>
      </c>
      <c r="U746">
        <v>1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</row>
    <row r="747" spans="1:29" x14ac:dyDescent="0.35">
      <c r="A747">
        <v>2492</v>
      </c>
      <c r="B747">
        <v>2492</v>
      </c>
      <c r="C747">
        <v>38</v>
      </c>
      <c r="D747">
        <v>14</v>
      </c>
      <c r="E747">
        <v>80</v>
      </c>
      <c r="F747">
        <v>2</v>
      </c>
      <c r="G747">
        <v>2.7</v>
      </c>
      <c r="H747">
        <v>1</v>
      </c>
      <c r="I747">
        <v>0</v>
      </c>
      <c r="J747">
        <v>1</v>
      </c>
      <c r="K747">
        <v>0</v>
      </c>
      <c r="L747">
        <v>92868</v>
      </c>
      <c r="M747">
        <v>0</v>
      </c>
      <c r="N747">
        <v>0</v>
      </c>
      <c r="O747">
        <v>0</v>
      </c>
      <c r="Q747">
        <v>1</v>
      </c>
      <c r="R747">
        <v>0</v>
      </c>
      <c r="S747">
        <v>0</v>
      </c>
      <c r="T747">
        <v>5</v>
      </c>
      <c r="U747">
        <v>1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</row>
    <row r="748" spans="1:29" x14ac:dyDescent="0.35">
      <c r="A748">
        <v>2496</v>
      </c>
      <c r="B748">
        <v>2496</v>
      </c>
      <c r="C748">
        <v>46</v>
      </c>
      <c r="D748">
        <v>22</v>
      </c>
      <c r="E748">
        <v>70</v>
      </c>
      <c r="F748">
        <v>4</v>
      </c>
      <c r="G748">
        <v>1.9</v>
      </c>
      <c r="H748">
        <v>1</v>
      </c>
      <c r="I748">
        <v>212</v>
      </c>
      <c r="J748">
        <v>0</v>
      </c>
      <c r="K748">
        <v>1</v>
      </c>
      <c r="L748">
        <v>94701</v>
      </c>
      <c r="M748">
        <v>0</v>
      </c>
      <c r="N748">
        <v>0</v>
      </c>
      <c r="O748">
        <v>0</v>
      </c>
      <c r="Q748">
        <v>1</v>
      </c>
      <c r="R748">
        <v>0</v>
      </c>
      <c r="S748">
        <v>0</v>
      </c>
      <c r="T748">
        <v>5</v>
      </c>
      <c r="U748">
        <v>1</v>
      </c>
      <c r="V748">
        <v>0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</row>
    <row r="749" spans="1:29" x14ac:dyDescent="0.35">
      <c r="A749">
        <v>2497</v>
      </c>
      <c r="B749">
        <v>2497</v>
      </c>
      <c r="C749">
        <v>63</v>
      </c>
      <c r="D749">
        <v>37</v>
      </c>
      <c r="E749">
        <v>32</v>
      </c>
      <c r="F749">
        <v>3</v>
      </c>
      <c r="G749">
        <v>0.7</v>
      </c>
      <c r="H749">
        <v>2</v>
      </c>
      <c r="I749">
        <v>141</v>
      </c>
      <c r="J749">
        <v>0</v>
      </c>
      <c r="K749">
        <v>0</v>
      </c>
      <c r="L749">
        <v>93117</v>
      </c>
      <c r="M749">
        <v>0</v>
      </c>
      <c r="N749">
        <v>0</v>
      </c>
      <c r="O749">
        <v>0</v>
      </c>
      <c r="Q749">
        <v>0</v>
      </c>
      <c r="R749">
        <v>0</v>
      </c>
      <c r="S749">
        <v>0</v>
      </c>
      <c r="T749">
        <v>5</v>
      </c>
      <c r="U749">
        <v>1</v>
      </c>
      <c r="V749">
        <v>0</v>
      </c>
      <c r="W749">
        <v>1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</row>
    <row r="750" spans="1:29" x14ac:dyDescent="0.35">
      <c r="A750">
        <v>2504</v>
      </c>
      <c r="B750">
        <v>2504</v>
      </c>
      <c r="C750">
        <v>38</v>
      </c>
      <c r="D750">
        <v>14</v>
      </c>
      <c r="E750">
        <v>20</v>
      </c>
      <c r="F750">
        <v>4</v>
      </c>
      <c r="G750">
        <v>0.4</v>
      </c>
      <c r="H750">
        <v>2</v>
      </c>
      <c r="I750">
        <v>79</v>
      </c>
      <c r="J750">
        <v>1</v>
      </c>
      <c r="K750">
        <v>1</v>
      </c>
      <c r="L750">
        <v>94024</v>
      </c>
      <c r="M750">
        <v>0</v>
      </c>
      <c r="N750">
        <v>0</v>
      </c>
      <c r="O750">
        <v>0</v>
      </c>
      <c r="Q750">
        <v>0</v>
      </c>
      <c r="R750">
        <v>0</v>
      </c>
      <c r="S750">
        <v>0</v>
      </c>
      <c r="T750">
        <v>5</v>
      </c>
      <c r="U750">
        <v>1</v>
      </c>
      <c r="V750">
        <v>0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</row>
    <row r="751" spans="1:29" x14ac:dyDescent="0.35">
      <c r="A751">
        <v>2505</v>
      </c>
      <c r="B751">
        <v>2505</v>
      </c>
      <c r="C751">
        <v>48</v>
      </c>
      <c r="D751">
        <v>24</v>
      </c>
      <c r="E751">
        <v>61</v>
      </c>
      <c r="F751">
        <v>2</v>
      </c>
      <c r="G751">
        <v>1.7</v>
      </c>
      <c r="H751">
        <v>1</v>
      </c>
      <c r="I751">
        <v>229</v>
      </c>
      <c r="J751">
        <v>0</v>
      </c>
      <c r="K751">
        <v>1</v>
      </c>
      <c r="L751">
        <v>91380</v>
      </c>
      <c r="M751">
        <v>0</v>
      </c>
      <c r="N751">
        <v>0</v>
      </c>
      <c r="O751">
        <v>0</v>
      </c>
      <c r="Q751">
        <v>1</v>
      </c>
      <c r="R751">
        <v>0</v>
      </c>
      <c r="S751">
        <v>0</v>
      </c>
      <c r="T751">
        <v>5</v>
      </c>
      <c r="U751">
        <v>1</v>
      </c>
      <c r="V751">
        <v>0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</row>
    <row r="752" spans="1:29" x14ac:dyDescent="0.35">
      <c r="A752">
        <v>2507</v>
      </c>
      <c r="B752">
        <v>2507</v>
      </c>
      <c r="C752">
        <v>66</v>
      </c>
      <c r="D752">
        <v>42</v>
      </c>
      <c r="E752">
        <v>39</v>
      </c>
      <c r="F752">
        <v>1</v>
      </c>
      <c r="G752">
        <v>1.9</v>
      </c>
      <c r="H752">
        <v>2</v>
      </c>
      <c r="I752">
        <v>0</v>
      </c>
      <c r="J752">
        <v>1</v>
      </c>
      <c r="K752">
        <v>1</v>
      </c>
      <c r="L752">
        <v>94590</v>
      </c>
      <c r="M752">
        <v>0</v>
      </c>
      <c r="N752">
        <v>0</v>
      </c>
      <c r="O752">
        <v>0</v>
      </c>
      <c r="Q752">
        <v>0</v>
      </c>
      <c r="R752">
        <v>0</v>
      </c>
      <c r="S752">
        <v>0</v>
      </c>
      <c r="T752">
        <v>5</v>
      </c>
      <c r="U752">
        <v>1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</row>
    <row r="753" spans="1:29" x14ac:dyDescent="0.35">
      <c r="A753">
        <v>2520</v>
      </c>
      <c r="B753">
        <v>2520</v>
      </c>
      <c r="C753">
        <v>60</v>
      </c>
      <c r="D753">
        <v>36</v>
      </c>
      <c r="E753">
        <v>10</v>
      </c>
      <c r="F753">
        <v>2</v>
      </c>
      <c r="G753">
        <v>1</v>
      </c>
      <c r="H753">
        <v>1</v>
      </c>
      <c r="I753">
        <v>0</v>
      </c>
      <c r="J753">
        <v>1</v>
      </c>
      <c r="K753">
        <v>1</v>
      </c>
      <c r="L753">
        <v>92121</v>
      </c>
      <c r="M753">
        <v>0</v>
      </c>
      <c r="N753">
        <v>0</v>
      </c>
      <c r="O753">
        <v>0</v>
      </c>
      <c r="Q753">
        <v>1</v>
      </c>
      <c r="R753">
        <v>0</v>
      </c>
      <c r="S753">
        <v>0</v>
      </c>
      <c r="T753">
        <v>5</v>
      </c>
      <c r="U753">
        <v>1</v>
      </c>
      <c r="V753">
        <v>0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</row>
    <row r="754" spans="1:29" x14ac:dyDescent="0.35">
      <c r="A754">
        <v>2530</v>
      </c>
      <c r="B754">
        <v>2530</v>
      </c>
      <c r="C754">
        <v>29</v>
      </c>
      <c r="D754">
        <v>5</v>
      </c>
      <c r="E754">
        <v>44</v>
      </c>
      <c r="F754">
        <v>3</v>
      </c>
      <c r="G754">
        <v>0.1</v>
      </c>
      <c r="H754">
        <v>2</v>
      </c>
      <c r="I754">
        <v>0</v>
      </c>
      <c r="J754">
        <v>1</v>
      </c>
      <c r="K754">
        <v>1</v>
      </c>
      <c r="L754">
        <v>95819</v>
      </c>
      <c r="M754">
        <v>0</v>
      </c>
      <c r="N754">
        <v>0</v>
      </c>
      <c r="O754">
        <v>0</v>
      </c>
      <c r="Q754">
        <v>0</v>
      </c>
      <c r="R754">
        <v>0</v>
      </c>
      <c r="S754">
        <v>0</v>
      </c>
      <c r="T754">
        <v>5</v>
      </c>
      <c r="U754">
        <v>1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</row>
    <row r="755" spans="1:29" x14ac:dyDescent="0.35">
      <c r="A755">
        <v>2532</v>
      </c>
      <c r="B755">
        <v>2532</v>
      </c>
      <c r="C755">
        <v>59</v>
      </c>
      <c r="D755">
        <v>35</v>
      </c>
      <c r="E755">
        <v>14</v>
      </c>
      <c r="F755">
        <v>2</v>
      </c>
      <c r="G755">
        <v>1</v>
      </c>
      <c r="H755">
        <v>1</v>
      </c>
      <c r="I755">
        <v>107</v>
      </c>
      <c r="J755">
        <v>1</v>
      </c>
      <c r="K755">
        <v>0</v>
      </c>
      <c r="L755">
        <v>94305</v>
      </c>
      <c r="M755">
        <v>0</v>
      </c>
      <c r="N755">
        <v>0</v>
      </c>
      <c r="O755">
        <v>0</v>
      </c>
      <c r="Q755">
        <v>1</v>
      </c>
      <c r="R755">
        <v>0</v>
      </c>
      <c r="S755">
        <v>0</v>
      </c>
      <c r="T755">
        <v>5</v>
      </c>
      <c r="U755">
        <v>1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</row>
    <row r="756" spans="1:29" x14ac:dyDescent="0.35">
      <c r="A756">
        <v>2533</v>
      </c>
      <c r="B756">
        <v>2533</v>
      </c>
      <c r="C756">
        <v>53</v>
      </c>
      <c r="D756">
        <v>28</v>
      </c>
      <c r="E756">
        <v>19</v>
      </c>
      <c r="F756">
        <v>4</v>
      </c>
      <c r="G756">
        <v>0.8</v>
      </c>
      <c r="H756">
        <v>1</v>
      </c>
      <c r="I756">
        <v>106</v>
      </c>
      <c r="J756">
        <v>0</v>
      </c>
      <c r="K756">
        <v>1</v>
      </c>
      <c r="L756">
        <v>94608</v>
      </c>
      <c r="M756">
        <v>0</v>
      </c>
      <c r="N756">
        <v>0</v>
      </c>
      <c r="O756">
        <v>0</v>
      </c>
      <c r="Q756">
        <v>1</v>
      </c>
      <c r="R756">
        <v>0</v>
      </c>
      <c r="S756">
        <v>0</v>
      </c>
      <c r="T756">
        <v>5</v>
      </c>
      <c r="U756">
        <v>1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</row>
    <row r="757" spans="1:29" x14ac:dyDescent="0.35">
      <c r="A757">
        <v>2534</v>
      </c>
      <c r="B757">
        <v>2534</v>
      </c>
      <c r="C757">
        <v>54</v>
      </c>
      <c r="D757">
        <v>29</v>
      </c>
      <c r="E757">
        <v>111</v>
      </c>
      <c r="F757">
        <v>1</v>
      </c>
      <c r="G757">
        <v>1.1000000000000001</v>
      </c>
      <c r="H757">
        <v>2</v>
      </c>
      <c r="I757">
        <v>0</v>
      </c>
      <c r="J757">
        <v>1</v>
      </c>
      <c r="K757">
        <v>0</v>
      </c>
      <c r="L757">
        <v>93023</v>
      </c>
      <c r="M757">
        <v>1</v>
      </c>
      <c r="N757">
        <v>0</v>
      </c>
      <c r="O757">
        <v>0</v>
      </c>
      <c r="Q757">
        <v>0</v>
      </c>
      <c r="R757">
        <v>1</v>
      </c>
      <c r="S757">
        <v>0</v>
      </c>
      <c r="T757">
        <v>13</v>
      </c>
      <c r="U757">
        <v>0.88607594936708001</v>
      </c>
      <c r="V757">
        <v>0.11392405063291</v>
      </c>
      <c r="W757">
        <v>0.88607594936708001</v>
      </c>
      <c r="X757">
        <v>0.11392405063291</v>
      </c>
      <c r="Y757">
        <v>0.86842105263156999</v>
      </c>
      <c r="Z757">
        <v>0.13157894736841999</v>
      </c>
      <c r="AA757">
        <v>-0.88607594936708001</v>
      </c>
      <c r="AB757">
        <v>0.88607594936709</v>
      </c>
      <c r="AC757">
        <v>0</v>
      </c>
    </row>
    <row r="758" spans="1:29" x14ac:dyDescent="0.35">
      <c r="A758">
        <v>2537</v>
      </c>
      <c r="B758">
        <v>2537</v>
      </c>
      <c r="C758">
        <v>51</v>
      </c>
      <c r="D758">
        <v>25</v>
      </c>
      <c r="E758">
        <v>104</v>
      </c>
      <c r="F758">
        <v>1</v>
      </c>
      <c r="G758">
        <v>4.2</v>
      </c>
      <c r="H758">
        <v>2</v>
      </c>
      <c r="I758">
        <v>0</v>
      </c>
      <c r="J758">
        <v>1</v>
      </c>
      <c r="K758">
        <v>0</v>
      </c>
      <c r="L758">
        <v>94949</v>
      </c>
      <c r="M758">
        <v>1</v>
      </c>
      <c r="N758">
        <v>0</v>
      </c>
      <c r="O758">
        <v>0</v>
      </c>
      <c r="Q758">
        <v>0</v>
      </c>
      <c r="R758">
        <v>1</v>
      </c>
      <c r="S758">
        <v>1</v>
      </c>
      <c r="T758">
        <v>14</v>
      </c>
      <c r="U758">
        <v>0.24242424242423999</v>
      </c>
      <c r="V758">
        <v>0.75757575757575002</v>
      </c>
      <c r="W758">
        <v>0.24242424242423999</v>
      </c>
      <c r="X758">
        <v>0.75757575757575002</v>
      </c>
      <c r="Y758">
        <v>0.44444444444443998</v>
      </c>
      <c r="Z758">
        <v>0.55555555555555003</v>
      </c>
      <c r="AA758">
        <v>-0.24242424242423999</v>
      </c>
      <c r="AB758">
        <v>0.24242424242424901</v>
      </c>
      <c r="AC758">
        <v>1</v>
      </c>
    </row>
    <row r="759" spans="1:29" x14ac:dyDescent="0.35">
      <c r="A759">
        <v>2538</v>
      </c>
      <c r="B759">
        <v>2538</v>
      </c>
      <c r="C759">
        <v>53</v>
      </c>
      <c r="D759">
        <v>27</v>
      </c>
      <c r="E759">
        <v>75</v>
      </c>
      <c r="F759">
        <v>1</v>
      </c>
      <c r="G759">
        <v>1.9</v>
      </c>
      <c r="H759">
        <v>2</v>
      </c>
      <c r="I759">
        <v>0</v>
      </c>
      <c r="J759">
        <v>1</v>
      </c>
      <c r="K759">
        <v>0</v>
      </c>
      <c r="L759">
        <v>94303</v>
      </c>
      <c r="M759">
        <v>0</v>
      </c>
      <c r="N759">
        <v>0</v>
      </c>
      <c r="O759">
        <v>0</v>
      </c>
      <c r="Q759">
        <v>0</v>
      </c>
      <c r="R759">
        <v>0</v>
      </c>
      <c r="S759">
        <v>0</v>
      </c>
      <c r="T759">
        <v>5</v>
      </c>
      <c r="U759">
        <v>1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</row>
    <row r="760" spans="1:29" x14ac:dyDescent="0.35">
      <c r="A760">
        <v>2539</v>
      </c>
      <c r="B760">
        <v>2539</v>
      </c>
      <c r="C760">
        <v>37</v>
      </c>
      <c r="D760">
        <v>12</v>
      </c>
      <c r="E760">
        <v>175</v>
      </c>
      <c r="F760">
        <v>2</v>
      </c>
      <c r="G760">
        <v>7.8</v>
      </c>
      <c r="H760">
        <v>1</v>
      </c>
      <c r="I760">
        <v>297</v>
      </c>
      <c r="J760">
        <v>1</v>
      </c>
      <c r="K760">
        <v>1</v>
      </c>
      <c r="L760">
        <v>92037</v>
      </c>
      <c r="M760">
        <v>0</v>
      </c>
      <c r="N760">
        <v>0</v>
      </c>
      <c r="O760">
        <v>0</v>
      </c>
      <c r="Q760">
        <v>1</v>
      </c>
      <c r="R760">
        <v>0</v>
      </c>
      <c r="S760">
        <v>0</v>
      </c>
      <c r="T760">
        <v>22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</row>
    <row r="761" spans="1:29" x14ac:dyDescent="0.35">
      <c r="A761">
        <v>2543</v>
      </c>
      <c r="B761">
        <v>2543</v>
      </c>
      <c r="C761">
        <v>54</v>
      </c>
      <c r="D761">
        <v>30</v>
      </c>
      <c r="E761">
        <v>79</v>
      </c>
      <c r="F761">
        <v>4</v>
      </c>
      <c r="G761">
        <v>1.6</v>
      </c>
      <c r="H761">
        <v>2</v>
      </c>
      <c r="I761">
        <v>0</v>
      </c>
      <c r="J761">
        <v>1</v>
      </c>
      <c r="K761">
        <v>0</v>
      </c>
      <c r="L761">
        <v>92630</v>
      </c>
      <c r="M761">
        <v>0</v>
      </c>
      <c r="N761">
        <v>0</v>
      </c>
      <c r="O761">
        <v>0</v>
      </c>
      <c r="Q761">
        <v>0</v>
      </c>
      <c r="R761">
        <v>0</v>
      </c>
      <c r="S761">
        <v>0</v>
      </c>
      <c r="T761">
        <v>5</v>
      </c>
      <c r="U761">
        <v>1</v>
      </c>
      <c r="V761">
        <v>0</v>
      </c>
      <c r="W761">
        <v>1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</row>
    <row r="762" spans="1:29" x14ac:dyDescent="0.35">
      <c r="A762">
        <v>2545</v>
      </c>
      <c r="B762">
        <v>2545</v>
      </c>
      <c r="C762">
        <v>58</v>
      </c>
      <c r="D762">
        <v>34</v>
      </c>
      <c r="E762">
        <v>90</v>
      </c>
      <c r="F762">
        <v>1</v>
      </c>
      <c r="G762">
        <v>3.6</v>
      </c>
      <c r="H762">
        <v>2</v>
      </c>
      <c r="I762">
        <v>0</v>
      </c>
      <c r="J762">
        <v>0</v>
      </c>
      <c r="K762">
        <v>0</v>
      </c>
      <c r="L762">
        <v>95039</v>
      </c>
      <c r="M762">
        <v>1</v>
      </c>
      <c r="N762">
        <v>0</v>
      </c>
      <c r="O762">
        <v>0</v>
      </c>
      <c r="Q762">
        <v>0</v>
      </c>
      <c r="R762">
        <v>1</v>
      </c>
      <c r="S762">
        <v>0</v>
      </c>
      <c r="T762">
        <v>15</v>
      </c>
      <c r="U762">
        <v>0.91935483870967005</v>
      </c>
      <c r="V762">
        <v>8.0645161290319997E-2</v>
      </c>
      <c r="W762">
        <v>0.91935483870967005</v>
      </c>
      <c r="X762">
        <v>8.0645161290319997E-2</v>
      </c>
      <c r="Y762">
        <v>0.86</v>
      </c>
      <c r="Z762">
        <v>0.14000000000000001</v>
      </c>
      <c r="AA762">
        <v>-0.91935483870967005</v>
      </c>
      <c r="AB762">
        <v>0.91935483870968004</v>
      </c>
      <c r="AC762">
        <v>0</v>
      </c>
    </row>
    <row r="763" spans="1:29" x14ac:dyDescent="0.35">
      <c r="A763">
        <v>2546</v>
      </c>
      <c r="B763">
        <v>2546</v>
      </c>
      <c r="C763">
        <v>25</v>
      </c>
      <c r="D763">
        <v>-1</v>
      </c>
      <c r="E763">
        <v>39</v>
      </c>
      <c r="F763">
        <v>3</v>
      </c>
      <c r="G763">
        <v>2.4</v>
      </c>
      <c r="H763">
        <v>2</v>
      </c>
      <c r="I763">
        <v>0</v>
      </c>
      <c r="J763">
        <v>1</v>
      </c>
      <c r="K763">
        <v>0</v>
      </c>
      <c r="L763">
        <v>94720</v>
      </c>
      <c r="M763">
        <v>0</v>
      </c>
      <c r="N763">
        <v>0</v>
      </c>
      <c r="O763">
        <v>0</v>
      </c>
      <c r="Q763">
        <v>0</v>
      </c>
      <c r="R763">
        <v>0</v>
      </c>
      <c r="S763">
        <v>0</v>
      </c>
      <c r="T763">
        <v>5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</row>
    <row r="764" spans="1:29" x14ac:dyDescent="0.35">
      <c r="A764">
        <v>2547</v>
      </c>
      <c r="B764">
        <v>2547</v>
      </c>
      <c r="C764">
        <v>50</v>
      </c>
      <c r="D764">
        <v>25</v>
      </c>
      <c r="E764">
        <v>9</v>
      </c>
      <c r="F764">
        <v>2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91911</v>
      </c>
      <c r="M764">
        <v>0</v>
      </c>
      <c r="N764">
        <v>1</v>
      </c>
      <c r="O764">
        <v>0</v>
      </c>
      <c r="Q764">
        <v>1</v>
      </c>
      <c r="R764">
        <v>0</v>
      </c>
      <c r="S764">
        <v>0</v>
      </c>
      <c r="T764">
        <v>5</v>
      </c>
      <c r="U764">
        <v>1</v>
      </c>
      <c r="V764">
        <v>0</v>
      </c>
      <c r="W764">
        <v>1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</row>
    <row r="765" spans="1:29" x14ac:dyDescent="0.35">
      <c r="A765">
        <v>2558</v>
      </c>
      <c r="B765">
        <v>2558</v>
      </c>
      <c r="C765">
        <v>36</v>
      </c>
      <c r="D765">
        <v>11</v>
      </c>
      <c r="E765">
        <v>23</v>
      </c>
      <c r="F765">
        <v>4</v>
      </c>
      <c r="G765">
        <v>0.2</v>
      </c>
      <c r="H765">
        <v>3</v>
      </c>
      <c r="I765">
        <v>0</v>
      </c>
      <c r="J765">
        <v>1</v>
      </c>
      <c r="K765">
        <v>0</v>
      </c>
      <c r="L765">
        <v>94553</v>
      </c>
      <c r="M765">
        <v>0</v>
      </c>
      <c r="N765">
        <v>0</v>
      </c>
      <c r="O765">
        <v>0</v>
      </c>
      <c r="Q765">
        <v>0</v>
      </c>
      <c r="R765">
        <v>0</v>
      </c>
      <c r="S765">
        <v>0</v>
      </c>
      <c r="T765">
        <v>5</v>
      </c>
      <c r="U765">
        <v>1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</row>
    <row r="766" spans="1:29" x14ac:dyDescent="0.35">
      <c r="A766">
        <v>2562</v>
      </c>
      <c r="B766">
        <v>2562</v>
      </c>
      <c r="C766">
        <v>31</v>
      </c>
      <c r="D766">
        <v>5</v>
      </c>
      <c r="E766">
        <v>180</v>
      </c>
      <c r="F766">
        <v>1</v>
      </c>
      <c r="G766">
        <v>2.9</v>
      </c>
      <c r="H766">
        <v>3</v>
      </c>
      <c r="I766">
        <v>144</v>
      </c>
      <c r="J766">
        <v>0</v>
      </c>
      <c r="K766">
        <v>0</v>
      </c>
      <c r="L766">
        <v>94720</v>
      </c>
      <c r="M766">
        <v>1</v>
      </c>
      <c r="N766">
        <v>1</v>
      </c>
      <c r="O766">
        <v>0</v>
      </c>
      <c r="Q766">
        <v>0</v>
      </c>
      <c r="R766">
        <v>1</v>
      </c>
      <c r="S766">
        <v>1</v>
      </c>
      <c r="T766">
        <v>10</v>
      </c>
      <c r="U766">
        <v>0</v>
      </c>
      <c r="V766">
        <v>1</v>
      </c>
      <c r="W766">
        <v>0</v>
      </c>
      <c r="X766">
        <v>1</v>
      </c>
      <c r="Y766">
        <v>0</v>
      </c>
      <c r="Z766">
        <v>1</v>
      </c>
      <c r="AA766">
        <v>0</v>
      </c>
      <c r="AB766">
        <v>0</v>
      </c>
      <c r="AC766">
        <v>1</v>
      </c>
    </row>
    <row r="767" spans="1:29" x14ac:dyDescent="0.35">
      <c r="A767">
        <v>2567</v>
      </c>
      <c r="B767">
        <v>2567</v>
      </c>
      <c r="C767">
        <v>30</v>
      </c>
      <c r="D767">
        <v>5</v>
      </c>
      <c r="E767">
        <v>42</v>
      </c>
      <c r="F767">
        <v>1</v>
      </c>
      <c r="G767">
        <v>1</v>
      </c>
      <c r="H767">
        <v>1</v>
      </c>
      <c r="I767">
        <v>184</v>
      </c>
      <c r="J767">
        <v>0</v>
      </c>
      <c r="K767">
        <v>0</v>
      </c>
      <c r="L767">
        <v>94305</v>
      </c>
      <c r="M767">
        <v>0</v>
      </c>
      <c r="N767">
        <v>0</v>
      </c>
      <c r="O767">
        <v>0</v>
      </c>
      <c r="Q767">
        <v>1</v>
      </c>
      <c r="R767">
        <v>0</v>
      </c>
      <c r="S767">
        <v>0</v>
      </c>
      <c r="T767">
        <v>5</v>
      </c>
      <c r="U767">
        <v>1</v>
      </c>
      <c r="V767">
        <v>0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</row>
    <row r="768" spans="1:29" x14ac:dyDescent="0.35">
      <c r="A768">
        <v>2569</v>
      </c>
      <c r="B768">
        <v>2569</v>
      </c>
      <c r="C768">
        <v>46</v>
      </c>
      <c r="D768">
        <v>21</v>
      </c>
      <c r="E768">
        <v>34</v>
      </c>
      <c r="F768">
        <v>2</v>
      </c>
      <c r="G768">
        <v>1.3</v>
      </c>
      <c r="H768">
        <v>1</v>
      </c>
      <c r="I768">
        <v>0</v>
      </c>
      <c r="J768">
        <v>1</v>
      </c>
      <c r="K768">
        <v>0</v>
      </c>
      <c r="L768">
        <v>92373</v>
      </c>
      <c r="M768">
        <v>0</v>
      </c>
      <c r="N768">
        <v>0</v>
      </c>
      <c r="O768">
        <v>0</v>
      </c>
      <c r="Q768">
        <v>1</v>
      </c>
      <c r="R768">
        <v>0</v>
      </c>
      <c r="S768">
        <v>0</v>
      </c>
      <c r="T768">
        <v>5</v>
      </c>
      <c r="U768">
        <v>1</v>
      </c>
      <c r="V768">
        <v>0</v>
      </c>
      <c r="W768">
        <v>1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</row>
    <row r="769" spans="1:29" x14ac:dyDescent="0.35">
      <c r="A769">
        <v>2571</v>
      </c>
      <c r="B769">
        <v>2571</v>
      </c>
      <c r="C769">
        <v>30</v>
      </c>
      <c r="D769">
        <v>4</v>
      </c>
      <c r="E769">
        <v>154</v>
      </c>
      <c r="F769">
        <v>2</v>
      </c>
      <c r="G769">
        <v>4.5</v>
      </c>
      <c r="H769">
        <v>1</v>
      </c>
      <c r="I769">
        <v>207</v>
      </c>
      <c r="J769">
        <v>1</v>
      </c>
      <c r="K769">
        <v>0</v>
      </c>
      <c r="L769">
        <v>95621</v>
      </c>
      <c r="M769">
        <v>0</v>
      </c>
      <c r="N769">
        <v>0</v>
      </c>
      <c r="O769">
        <v>0</v>
      </c>
      <c r="Q769">
        <v>1</v>
      </c>
      <c r="R769">
        <v>0</v>
      </c>
      <c r="S769">
        <v>0</v>
      </c>
      <c r="T769">
        <v>22</v>
      </c>
      <c r="U769">
        <v>1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</row>
    <row r="770" spans="1:29" x14ac:dyDescent="0.35">
      <c r="A770">
        <v>2572</v>
      </c>
      <c r="B770">
        <v>2572</v>
      </c>
      <c r="C770">
        <v>34</v>
      </c>
      <c r="D770">
        <v>8</v>
      </c>
      <c r="E770">
        <v>40</v>
      </c>
      <c r="F770">
        <v>2</v>
      </c>
      <c r="G770">
        <v>2</v>
      </c>
      <c r="H770">
        <v>3</v>
      </c>
      <c r="I770">
        <v>89</v>
      </c>
      <c r="J770">
        <v>0</v>
      </c>
      <c r="K770">
        <v>0</v>
      </c>
      <c r="L770">
        <v>91768</v>
      </c>
      <c r="M770">
        <v>0</v>
      </c>
      <c r="N770">
        <v>0</v>
      </c>
      <c r="O770">
        <v>0</v>
      </c>
      <c r="Q770">
        <v>0</v>
      </c>
      <c r="R770">
        <v>0</v>
      </c>
      <c r="S770">
        <v>0</v>
      </c>
      <c r="T770">
        <v>5</v>
      </c>
      <c r="U770">
        <v>1</v>
      </c>
      <c r="V770">
        <v>0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</row>
    <row r="771" spans="1:29" x14ac:dyDescent="0.35">
      <c r="A771">
        <v>2573</v>
      </c>
      <c r="B771">
        <v>2573</v>
      </c>
      <c r="C771">
        <v>62</v>
      </c>
      <c r="D771">
        <v>32</v>
      </c>
      <c r="E771">
        <v>33</v>
      </c>
      <c r="F771">
        <v>1</v>
      </c>
      <c r="G771">
        <v>1.5</v>
      </c>
      <c r="H771">
        <v>3</v>
      </c>
      <c r="I771">
        <v>140</v>
      </c>
      <c r="J771">
        <v>1</v>
      </c>
      <c r="K771">
        <v>1</v>
      </c>
      <c r="L771">
        <v>93907</v>
      </c>
      <c r="M771">
        <v>0</v>
      </c>
      <c r="N771">
        <v>0</v>
      </c>
      <c r="O771">
        <v>0</v>
      </c>
      <c r="Q771">
        <v>0</v>
      </c>
      <c r="R771">
        <v>0</v>
      </c>
      <c r="S771">
        <v>0</v>
      </c>
      <c r="T771">
        <v>5</v>
      </c>
      <c r="U771">
        <v>1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</row>
    <row r="772" spans="1:29" x14ac:dyDescent="0.35">
      <c r="A772">
        <v>2575</v>
      </c>
      <c r="B772">
        <v>2575</v>
      </c>
      <c r="C772">
        <v>45</v>
      </c>
      <c r="D772">
        <v>18</v>
      </c>
      <c r="E772">
        <v>10</v>
      </c>
      <c r="F772">
        <v>3</v>
      </c>
      <c r="G772">
        <v>0.67</v>
      </c>
      <c r="H772">
        <v>2</v>
      </c>
      <c r="I772">
        <v>100</v>
      </c>
      <c r="J772">
        <v>1</v>
      </c>
      <c r="K772">
        <v>0</v>
      </c>
      <c r="L772">
        <v>92037</v>
      </c>
      <c r="M772">
        <v>0</v>
      </c>
      <c r="N772">
        <v>0</v>
      </c>
      <c r="O772">
        <v>0</v>
      </c>
      <c r="Q772">
        <v>0</v>
      </c>
      <c r="R772">
        <v>0</v>
      </c>
      <c r="S772">
        <v>0</v>
      </c>
      <c r="T772">
        <v>5</v>
      </c>
      <c r="U772">
        <v>1</v>
      </c>
      <c r="V772">
        <v>0</v>
      </c>
      <c r="W772">
        <v>1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</row>
    <row r="773" spans="1:29" x14ac:dyDescent="0.35">
      <c r="A773">
        <v>2577</v>
      </c>
      <c r="B773">
        <v>2577</v>
      </c>
      <c r="C773">
        <v>60</v>
      </c>
      <c r="D773">
        <v>36</v>
      </c>
      <c r="E773">
        <v>30</v>
      </c>
      <c r="F773">
        <v>4</v>
      </c>
      <c r="G773">
        <v>1.3</v>
      </c>
      <c r="H773">
        <v>1</v>
      </c>
      <c r="I773">
        <v>118</v>
      </c>
      <c r="J773">
        <v>1</v>
      </c>
      <c r="K773">
        <v>1</v>
      </c>
      <c r="L773">
        <v>93711</v>
      </c>
      <c r="M773">
        <v>0</v>
      </c>
      <c r="N773">
        <v>0</v>
      </c>
      <c r="O773">
        <v>0</v>
      </c>
      <c r="Q773">
        <v>1</v>
      </c>
      <c r="R773">
        <v>0</v>
      </c>
      <c r="S773">
        <v>0</v>
      </c>
      <c r="T773">
        <v>5</v>
      </c>
      <c r="U773">
        <v>1</v>
      </c>
      <c r="V773">
        <v>0</v>
      </c>
      <c r="W773">
        <v>1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</row>
    <row r="774" spans="1:29" x14ac:dyDescent="0.35">
      <c r="A774">
        <v>2580</v>
      </c>
      <c r="B774">
        <v>2580</v>
      </c>
      <c r="C774">
        <v>52</v>
      </c>
      <c r="D774">
        <v>27</v>
      </c>
      <c r="E774">
        <v>23</v>
      </c>
      <c r="F774">
        <v>1</v>
      </c>
      <c r="G774">
        <v>0.4</v>
      </c>
      <c r="H774">
        <v>3</v>
      </c>
      <c r="I774">
        <v>0</v>
      </c>
      <c r="J774">
        <v>0</v>
      </c>
      <c r="K774">
        <v>0</v>
      </c>
      <c r="L774">
        <v>92780</v>
      </c>
      <c r="M774">
        <v>0</v>
      </c>
      <c r="N774">
        <v>0</v>
      </c>
      <c r="O774">
        <v>0</v>
      </c>
      <c r="Q774">
        <v>0</v>
      </c>
      <c r="R774">
        <v>0</v>
      </c>
      <c r="S774">
        <v>0</v>
      </c>
      <c r="T774">
        <v>5</v>
      </c>
      <c r="U774">
        <v>1</v>
      </c>
      <c r="V774">
        <v>0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</row>
    <row r="775" spans="1:29" x14ac:dyDescent="0.35">
      <c r="A775">
        <v>2583</v>
      </c>
      <c r="B775">
        <v>2583</v>
      </c>
      <c r="C775">
        <v>33</v>
      </c>
      <c r="D775">
        <v>9</v>
      </c>
      <c r="E775">
        <v>42</v>
      </c>
      <c r="F775">
        <v>1</v>
      </c>
      <c r="G775">
        <v>2.1</v>
      </c>
      <c r="H775">
        <v>3</v>
      </c>
      <c r="I775">
        <v>0</v>
      </c>
      <c r="J775">
        <v>1</v>
      </c>
      <c r="K775">
        <v>0</v>
      </c>
      <c r="L775">
        <v>95010</v>
      </c>
      <c r="M775">
        <v>0</v>
      </c>
      <c r="N775">
        <v>0</v>
      </c>
      <c r="O775">
        <v>0</v>
      </c>
      <c r="Q775">
        <v>0</v>
      </c>
      <c r="R775">
        <v>0</v>
      </c>
      <c r="S775">
        <v>0</v>
      </c>
      <c r="T775">
        <v>5</v>
      </c>
      <c r="U775">
        <v>1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</row>
    <row r="776" spans="1:29" x14ac:dyDescent="0.35">
      <c r="A776">
        <v>2590</v>
      </c>
      <c r="B776">
        <v>2590</v>
      </c>
      <c r="C776">
        <v>64</v>
      </c>
      <c r="D776">
        <v>40</v>
      </c>
      <c r="E776">
        <v>123</v>
      </c>
      <c r="F776">
        <v>1</v>
      </c>
      <c r="G776">
        <v>3.8</v>
      </c>
      <c r="H776">
        <v>1</v>
      </c>
      <c r="I776">
        <v>0</v>
      </c>
      <c r="J776">
        <v>1</v>
      </c>
      <c r="K776">
        <v>1</v>
      </c>
      <c r="L776">
        <v>90840</v>
      </c>
      <c r="M776">
        <v>0</v>
      </c>
      <c r="N776">
        <v>0</v>
      </c>
      <c r="O776">
        <v>0</v>
      </c>
      <c r="Q776">
        <v>1</v>
      </c>
      <c r="R776">
        <v>0</v>
      </c>
      <c r="S776">
        <v>0</v>
      </c>
      <c r="T776">
        <v>22</v>
      </c>
      <c r="U776">
        <v>1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</row>
    <row r="777" spans="1:29" x14ac:dyDescent="0.35">
      <c r="A777">
        <v>2594</v>
      </c>
      <c r="B777">
        <v>2594</v>
      </c>
      <c r="C777">
        <v>48</v>
      </c>
      <c r="D777">
        <v>23</v>
      </c>
      <c r="E777">
        <v>161</v>
      </c>
      <c r="F777">
        <v>4</v>
      </c>
      <c r="G777">
        <v>7.9</v>
      </c>
      <c r="H777">
        <v>3</v>
      </c>
      <c r="I777">
        <v>310</v>
      </c>
      <c r="J777">
        <v>0</v>
      </c>
      <c r="K777">
        <v>0</v>
      </c>
      <c r="L777">
        <v>96003</v>
      </c>
      <c r="M777">
        <v>1</v>
      </c>
      <c r="N777">
        <v>0</v>
      </c>
      <c r="O777">
        <v>0</v>
      </c>
      <c r="Q777">
        <v>0</v>
      </c>
      <c r="R777">
        <v>1</v>
      </c>
      <c r="S777">
        <v>1</v>
      </c>
      <c r="T777">
        <v>10</v>
      </c>
      <c r="U777">
        <v>0</v>
      </c>
      <c r="V777">
        <v>1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1</v>
      </c>
    </row>
    <row r="778" spans="1:29" x14ac:dyDescent="0.35">
      <c r="A778">
        <v>2595</v>
      </c>
      <c r="B778">
        <v>2595</v>
      </c>
      <c r="C778">
        <v>48</v>
      </c>
      <c r="D778">
        <v>23</v>
      </c>
      <c r="E778">
        <v>79</v>
      </c>
      <c r="F778">
        <v>1</v>
      </c>
      <c r="G778">
        <v>0.2</v>
      </c>
      <c r="H778">
        <v>2</v>
      </c>
      <c r="I778">
        <v>0</v>
      </c>
      <c r="J778">
        <v>0</v>
      </c>
      <c r="K778">
        <v>0</v>
      </c>
      <c r="L778">
        <v>94024</v>
      </c>
      <c r="M778">
        <v>0</v>
      </c>
      <c r="N778">
        <v>0</v>
      </c>
      <c r="O778">
        <v>0</v>
      </c>
      <c r="Q778">
        <v>0</v>
      </c>
      <c r="R778">
        <v>0</v>
      </c>
      <c r="S778">
        <v>0</v>
      </c>
      <c r="T778">
        <v>5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</row>
    <row r="779" spans="1:29" x14ac:dyDescent="0.35">
      <c r="A779">
        <v>2596</v>
      </c>
      <c r="B779">
        <v>2596</v>
      </c>
      <c r="C779">
        <v>35</v>
      </c>
      <c r="D779">
        <v>10</v>
      </c>
      <c r="E779">
        <v>105</v>
      </c>
      <c r="F779">
        <v>1</v>
      </c>
      <c r="G779">
        <v>4.5999999999999996</v>
      </c>
      <c r="H779">
        <v>1</v>
      </c>
      <c r="I779">
        <v>0</v>
      </c>
      <c r="J779">
        <v>0</v>
      </c>
      <c r="K779">
        <v>0</v>
      </c>
      <c r="L779">
        <v>92780</v>
      </c>
      <c r="M779">
        <v>0</v>
      </c>
      <c r="N779">
        <v>0</v>
      </c>
      <c r="O779">
        <v>0</v>
      </c>
      <c r="Q779">
        <v>1</v>
      </c>
      <c r="R779">
        <v>0</v>
      </c>
      <c r="S779">
        <v>0</v>
      </c>
      <c r="T779">
        <v>22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</row>
    <row r="780" spans="1:29" x14ac:dyDescent="0.35">
      <c r="A780">
        <v>2599</v>
      </c>
      <c r="B780">
        <v>2599</v>
      </c>
      <c r="C780">
        <v>46</v>
      </c>
      <c r="D780">
        <v>20</v>
      </c>
      <c r="E780">
        <v>9</v>
      </c>
      <c r="F780">
        <v>1</v>
      </c>
      <c r="G780">
        <v>0.2</v>
      </c>
      <c r="H780">
        <v>1</v>
      </c>
      <c r="I780">
        <v>0</v>
      </c>
      <c r="J780">
        <v>1</v>
      </c>
      <c r="K780">
        <v>0</v>
      </c>
      <c r="L780">
        <v>94005</v>
      </c>
      <c r="M780">
        <v>0</v>
      </c>
      <c r="N780">
        <v>0</v>
      </c>
      <c r="O780">
        <v>0</v>
      </c>
      <c r="Q780">
        <v>1</v>
      </c>
      <c r="R780">
        <v>0</v>
      </c>
      <c r="S780">
        <v>0</v>
      </c>
      <c r="T780">
        <v>5</v>
      </c>
      <c r="U780">
        <v>1</v>
      </c>
      <c r="V780">
        <v>0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</row>
    <row r="781" spans="1:29" x14ac:dyDescent="0.35">
      <c r="A781">
        <v>2601</v>
      </c>
      <c r="B781">
        <v>2601</v>
      </c>
      <c r="C781">
        <v>42</v>
      </c>
      <c r="D781">
        <v>18</v>
      </c>
      <c r="E781">
        <v>51</v>
      </c>
      <c r="F781">
        <v>3</v>
      </c>
      <c r="G781">
        <v>2.1</v>
      </c>
      <c r="H781">
        <v>3</v>
      </c>
      <c r="I781">
        <v>0</v>
      </c>
      <c r="J781">
        <v>0</v>
      </c>
      <c r="K781">
        <v>0</v>
      </c>
      <c r="L781">
        <v>92868</v>
      </c>
      <c r="M781">
        <v>0</v>
      </c>
      <c r="N781">
        <v>0</v>
      </c>
      <c r="O781">
        <v>0</v>
      </c>
      <c r="Q781">
        <v>0</v>
      </c>
      <c r="R781">
        <v>0</v>
      </c>
      <c r="S781">
        <v>0</v>
      </c>
      <c r="T781">
        <v>5</v>
      </c>
      <c r="U781">
        <v>1</v>
      </c>
      <c r="V781">
        <v>0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</row>
    <row r="782" spans="1:29" x14ac:dyDescent="0.35">
      <c r="A782">
        <v>2603</v>
      </c>
      <c r="B782">
        <v>2603</v>
      </c>
      <c r="C782">
        <v>52</v>
      </c>
      <c r="D782">
        <v>26</v>
      </c>
      <c r="E782">
        <v>161</v>
      </c>
      <c r="F782">
        <v>4</v>
      </c>
      <c r="G782">
        <v>4.3</v>
      </c>
      <c r="H782">
        <v>1</v>
      </c>
      <c r="I782">
        <v>0</v>
      </c>
      <c r="J782">
        <v>1</v>
      </c>
      <c r="K782">
        <v>1</v>
      </c>
      <c r="L782">
        <v>93108</v>
      </c>
      <c r="M782">
        <v>1</v>
      </c>
      <c r="N782">
        <v>0</v>
      </c>
      <c r="O782">
        <v>1</v>
      </c>
      <c r="Q782">
        <v>1</v>
      </c>
      <c r="R782">
        <v>1</v>
      </c>
      <c r="S782">
        <v>1</v>
      </c>
      <c r="T782">
        <v>20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  <c r="AC782">
        <v>1</v>
      </c>
    </row>
    <row r="783" spans="1:29" x14ac:dyDescent="0.35">
      <c r="A783">
        <v>2610</v>
      </c>
      <c r="B783">
        <v>2610</v>
      </c>
      <c r="C783">
        <v>42</v>
      </c>
      <c r="D783">
        <v>18</v>
      </c>
      <c r="E783">
        <v>120</v>
      </c>
      <c r="F783">
        <v>2</v>
      </c>
      <c r="G783">
        <v>7.5</v>
      </c>
      <c r="H783">
        <v>1</v>
      </c>
      <c r="I783">
        <v>0</v>
      </c>
      <c r="J783">
        <v>0</v>
      </c>
      <c r="K783">
        <v>0</v>
      </c>
      <c r="L783">
        <v>93407</v>
      </c>
      <c r="M783">
        <v>0</v>
      </c>
      <c r="N783">
        <v>1</v>
      </c>
      <c r="O783">
        <v>0</v>
      </c>
      <c r="Q783">
        <v>1</v>
      </c>
      <c r="R783">
        <v>0</v>
      </c>
      <c r="S783">
        <v>0</v>
      </c>
      <c r="T783">
        <v>22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</row>
    <row r="784" spans="1:29" x14ac:dyDescent="0.35">
      <c r="A784">
        <v>2617</v>
      </c>
      <c r="B784">
        <v>2617</v>
      </c>
      <c r="C784">
        <v>56</v>
      </c>
      <c r="D784">
        <v>31</v>
      </c>
      <c r="E784">
        <v>49</v>
      </c>
      <c r="F784">
        <v>2</v>
      </c>
      <c r="G784">
        <v>1.6</v>
      </c>
      <c r="H784">
        <v>3</v>
      </c>
      <c r="I784">
        <v>103</v>
      </c>
      <c r="J784">
        <v>1</v>
      </c>
      <c r="K784">
        <v>0</v>
      </c>
      <c r="L784">
        <v>92182</v>
      </c>
      <c r="M784">
        <v>0</v>
      </c>
      <c r="N784">
        <v>0</v>
      </c>
      <c r="O784">
        <v>0</v>
      </c>
      <c r="Q784">
        <v>0</v>
      </c>
      <c r="R784">
        <v>0</v>
      </c>
      <c r="S784">
        <v>0</v>
      </c>
      <c r="T784">
        <v>5</v>
      </c>
      <c r="U784">
        <v>1</v>
      </c>
      <c r="V784">
        <v>0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</row>
    <row r="785" spans="1:29" x14ac:dyDescent="0.35">
      <c r="A785">
        <v>2624</v>
      </c>
      <c r="B785">
        <v>2624</v>
      </c>
      <c r="C785">
        <v>42</v>
      </c>
      <c r="D785">
        <v>17</v>
      </c>
      <c r="E785">
        <v>111</v>
      </c>
      <c r="F785">
        <v>3</v>
      </c>
      <c r="G785">
        <v>3</v>
      </c>
      <c r="H785">
        <v>1</v>
      </c>
      <c r="I785">
        <v>0</v>
      </c>
      <c r="J785">
        <v>0</v>
      </c>
      <c r="K785">
        <v>1</v>
      </c>
      <c r="L785">
        <v>94304</v>
      </c>
      <c r="M785">
        <v>1</v>
      </c>
      <c r="N785">
        <v>1</v>
      </c>
      <c r="O785">
        <v>1</v>
      </c>
      <c r="Q785">
        <v>1</v>
      </c>
      <c r="R785">
        <v>1</v>
      </c>
      <c r="S785">
        <v>0</v>
      </c>
      <c r="T785">
        <v>24</v>
      </c>
      <c r="U785">
        <v>0.92857142857142005</v>
      </c>
      <c r="V785">
        <v>7.1428571428569995E-2</v>
      </c>
      <c r="W785">
        <v>0.92857142857142005</v>
      </c>
      <c r="X785">
        <v>7.1428571428569995E-2</v>
      </c>
      <c r="Y785">
        <v>0.85714285714284999</v>
      </c>
      <c r="Z785">
        <v>0.14285714285713999</v>
      </c>
      <c r="AA785">
        <v>-0.92857142857142005</v>
      </c>
      <c r="AB785">
        <v>0.92857142857143005</v>
      </c>
      <c r="AC785">
        <v>0</v>
      </c>
    </row>
    <row r="786" spans="1:29" x14ac:dyDescent="0.35">
      <c r="A786">
        <v>2627</v>
      </c>
      <c r="B786">
        <v>2627</v>
      </c>
      <c r="C786">
        <v>53</v>
      </c>
      <c r="D786">
        <v>27</v>
      </c>
      <c r="E786">
        <v>59</v>
      </c>
      <c r="F786">
        <v>2</v>
      </c>
      <c r="G786">
        <v>0.8</v>
      </c>
      <c r="H786">
        <v>3</v>
      </c>
      <c r="I786">
        <v>0</v>
      </c>
      <c r="J786">
        <v>1</v>
      </c>
      <c r="K786">
        <v>0</v>
      </c>
      <c r="L786">
        <v>92038</v>
      </c>
      <c r="M786">
        <v>0</v>
      </c>
      <c r="N786">
        <v>0</v>
      </c>
      <c r="O786">
        <v>0</v>
      </c>
      <c r="Q786">
        <v>0</v>
      </c>
      <c r="R786">
        <v>0</v>
      </c>
      <c r="S786">
        <v>0</v>
      </c>
      <c r="T786">
        <v>5</v>
      </c>
      <c r="U786">
        <v>1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</row>
    <row r="787" spans="1:29" x14ac:dyDescent="0.35">
      <c r="A787">
        <v>2628</v>
      </c>
      <c r="B787">
        <v>2628</v>
      </c>
      <c r="C787">
        <v>56</v>
      </c>
      <c r="D787">
        <v>30</v>
      </c>
      <c r="E787">
        <v>61</v>
      </c>
      <c r="F787">
        <v>3</v>
      </c>
      <c r="G787">
        <v>2.5</v>
      </c>
      <c r="H787">
        <v>1</v>
      </c>
      <c r="I787">
        <v>193</v>
      </c>
      <c r="J787">
        <v>1</v>
      </c>
      <c r="K787">
        <v>0</v>
      </c>
      <c r="L787">
        <v>93106</v>
      </c>
      <c r="M787">
        <v>0</v>
      </c>
      <c r="N787">
        <v>0</v>
      </c>
      <c r="O787">
        <v>0</v>
      </c>
      <c r="Q787">
        <v>1</v>
      </c>
      <c r="R787">
        <v>0</v>
      </c>
      <c r="S787">
        <v>0</v>
      </c>
      <c r="T787">
        <v>5</v>
      </c>
      <c r="U787">
        <v>1</v>
      </c>
      <c r="V787">
        <v>0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</row>
    <row r="788" spans="1:29" x14ac:dyDescent="0.35">
      <c r="A788">
        <v>2630</v>
      </c>
      <c r="B788">
        <v>2630</v>
      </c>
      <c r="C788">
        <v>44</v>
      </c>
      <c r="D788">
        <v>18</v>
      </c>
      <c r="E788">
        <v>18</v>
      </c>
      <c r="F788">
        <v>2</v>
      </c>
      <c r="G788">
        <v>0.1</v>
      </c>
      <c r="H788">
        <v>3</v>
      </c>
      <c r="I788">
        <v>0</v>
      </c>
      <c r="J788">
        <v>1</v>
      </c>
      <c r="K788">
        <v>0</v>
      </c>
      <c r="L788">
        <v>93943</v>
      </c>
      <c r="M788">
        <v>0</v>
      </c>
      <c r="N788">
        <v>0</v>
      </c>
      <c r="O788">
        <v>0</v>
      </c>
      <c r="Q788">
        <v>0</v>
      </c>
      <c r="R788">
        <v>0</v>
      </c>
      <c r="S788">
        <v>0</v>
      </c>
      <c r="T788">
        <v>5</v>
      </c>
      <c r="U788">
        <v>1</v>
      </c>
      <c r="V788">
        <v>0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</row>
    <row r="789" spans="1:29" x14ac:dyDescent="0.35">
      <c r="A789">
        <v>2636</v>
      </c>
      <c r="B789">
        <v>2636</v>
      </c>
      <c r="C789">
        <v>40</v>
      </c>
      <c r="D789">
        <v>14</v>
      </c>
      <c r="E789">
        <v>33</v>
      </c>
      <c r="F789">
        <v>2</v>
      </c>
      <c r="G789">
        <v>0.8</v>
      </c>
      <c r="H789">
        <v>3</v>
      </c>
      <c r="I789">
        <v>89</v>
      </c>
      <c r="J789">
        <v>1</v>
      </c>
      <c r="K789">
        <v>0</v>
      </c>
      <c r="L789">
        <v>95616</v>
      </c>
      <c r="M789">
        <v>0</v>
      </c>
      <c r="N789">
        <v>0</v>
      </c>
      <c r="O789">
        <v>0</v>
      </c>
      <c r="Q789">
        <v>0</v>
      </c>
      <c r="R789">
        <v>0</v>
      </c>
      <c r="S789">
        <v>0</v>
      </c>
      <c r="T789">
        <v>5</v>
      </c>
      <c r="U789">
        <v>1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</row>
    <row r="790" spans="1:29" x14ac:dyDescent="0.35">
      <c r="A790">
        <v>2637</v>
      </c>
      <c r="B790">
        <v>2637</v>
      </c>
      <c r="C790">
        <v>38</v>
      </c>
      <c r="D790">
        <v>13</v>
      </c>
      <c r="E790">
        <v>179</v>
      </c>
      <c r="F790">
        <v>1</v>
      </c>
      <c r="G790">
        <v>4.0999999999999996</v>
      </c>
      <c r="H790">
        <v>1</v>
      </c>
      <c r="I790">
        <v>0</v>
      </c>
      <c r="J790">
        <v>1</v>
      </c>
      <c r="K790">
        <v>0</v>
      </c>
      <c r="L790">
        <v>93943</v>
      </c>
      <c r="M790">
        <v>0</v>
      </c>
      <c r="N790">
        <v>0</v>
      </c>
      <c r="O790">
        <v>0</v>
      </c>
      <c r="Q790">
        <v>1</v>
      </c>
      <c r="R790">
        <v>0</v>
      </c>
      <c r="S790">
        <v>0</v>
      </c>
      <c r="T790">
        <v>22</v>
      </c>
      <c r="U790">
        <v>1</v>
      </c>
      <c r="V790">
        <v>0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</row>
    <row r="791" spans="1:29" x14ac:dyDescent="0.35">
      <c r="A791">
        <v>2641</v>
      </c>
      <c r="B791">
        <v>2641</v>
      </c>
      <c r="C791">
        <v>39</v>
      </c>
      <c r="D791">
        <v>13</v>
      </c>
      <c r="E791">
        <v>81</v>
      </c>
      <c r="F791">
        <v>2</v>
      </c>
      <c r="G791">
        <v>2.8</v>
      </c>
      <c r="H791">
        <v>1</v>
      </c>
      <c r="I791">
        <v>0</v>
      </c>
      <c r="J791">
        <v>1</v>
      </c>
      <c r="K791">
        <v>0</v>
      </c>
      <c r="L791">
        <v>94309</v>
      </c>
      <c r="M791">
        <v>0</v>
      </c>
      <c r="N791">
        <v>0</v>
      </c>
      <c r="O791">
        <v>0</v>
      </c>
      <c r="Q791">
        <v>1</v>
      </c>
      <c r="R791">
        <v>0</v>
      </c>
      <c r="S791">
        <v>0</v>
      </c>
      <c r="T791">
        <v>5</v>
      </c>
      <c r="U791">
        <v>1</v>
      </c>
      <c r="V791">
        <v>0</v>
      </c>
      <c r="W791">
        <v>1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</row>
    <row r="792" spans="1:29" x14ac:dyDescent="0.35">
      <c r="A792">
        <v>2644</v>
      </c>
      <c r="B792">
        <v>2644</v>
      </c>
      <c r="C792">
        <v>63</v>
      </c>
      <c r="D792">
        <v>38</v>
      </c>
      <c r="E792">
        <v>14</v>
      </c>
      <c r="F792">
        <v>4</v>
      </c>
      <c r="G792">
        <v>0.4</v>
      </c>
      <c r="H792">
        <v>2</v>
      </c>
      <c r="I792">
        <v>86</v>
      </c>
      <c r="J792">
        <v>1</v>
      </c>
      <c r="K792">
        <v>1</v>
      </c>
      <c r="L792">
        <v>92630</v>
      </c>
      <c r="M792">
        <v>0</v>
      </c>
      <c r="N792">
        <v>0</v>
      </c>
      <c r="O792">
        <v>0</v>
      </c>
      <c r="Q792">
        <v>0</v>
      </c>
      <c r="R792">
        <v>0</v>
      </c>
      <c r="S792">
        <v>0</v>
      </c>
      <c r="T792">
        <v>5</v>
      </c>
      <c r="U792">
        <v>1</v>
      </c>
      <c r="V792">
        <v>0</v>
      </c>
      <c r="W792">
        <v>1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</row>
    <row r="793" spans="1:29" x14ac:dyDescent="0.35">
      <c r="A793">
        <v>2645</v>
      </c>
      <c r="B793">
        <v>2645</v>
      </c>
      <c r="C793">
        <v>40</v>
      </c>
      <c r="D793">
        <v>14</v>
      </c>
      <c r="E793">
        <v>28</v>
      </c>
      <c r="F793">
        <v>2</v>
      </c>
      <c r="G793">
        <v>0.8</v>
      </c>
      <c r="H793">
        <v>3</v>
      </c>
      <c r="I793">
        <v>0</v>
      </c>
      <c r="J793">
        <v>0</v>
      </c>
      <c r="K793">
        <v>0</v>
      </c>
      <c r="L793">
        <v>94061</v>
      </c>
      <c r="M793">
        <v>0</v>
      </c>
      <c r="N793">
        <v>0</v>
      </c>
      <c r="O793">
        <v>0</v>
      </c>
      <c r="Q793">
        <v>0</v>
      </c>
      <c r="R793">
        <v>0</v>
      </c>
      <c r="S793">
        <v>0</v>
      </c>
      <c r="T793">
        <v>5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</row>
    <row r="794" spans="1:29" x14ac:dyDescent="0.35">
      <c r="A794">
        <v>2654</v>
      </c>
      <c r="B794">
        <v>2654</v>
      </c>
      <c r="C794">
        <v>30</v>
      </c>
      <c r="D794">
        <v>5</v>
      </c>
      <c r="E794">
        <v>121</v>
      </c>
      <c r="F794">
        <v>2</v>
      </c>
      <c r="G794">
        <v>3.1</v>
      </c>
      <c r="H794">
        <v>1</v>
      </c>
      <c r="I794">
        <v>408</v>
      </c>
      <c r="J794">
        <v>1</v>
      </c>
      <c r="K794">
        <v>0</v>
      </c>
      <c r="L794">
        <v>94555</v>
      </c>
      <c r="M794">
        <v>0</v>
      </c>
      <c r="N794">
        <v>0</v>
      </c>
      <c r="O794">
        <v>0</v>
      </c>
      <c r="Q794">
        <v>1</v>
      </c>
      <c r="R794">
        <v>0</v>
      </c>
      <c r="S794">
        <v>0</v>
      </c>
      <c r="T794">
        <v>22</v>
      </c>
      <c r="U794">
        <v>1</v>
      </c>
      <c r="V794">
        <v>0</v>
      </c>
      <c r="W794">
        <v>1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</row>
    <row r="795" spans="1:29" x14ac:dyDescent="0.35">
      <c r="A795">
        <v>2661</v>
      </c>
      <c r="B795">
        <v>2661</v>
      </c>
      <c r="C795">
        <v>39</v>
      </c>
      <c r="D795">
        <v>14</v>
      </c>
      <c r="E795">
        <v>74</v>
      </c>
      <c r="F795">
        <v>1</v>
      </c>
      <c r="G795">
        <v>0.1</v>
      </c>
      <c r="H795">
        <v>2</v>
      </c>
      <c r="I795">
        <v>144</v>
      </c>
      <c r="J795">
        <v>1</v>
      </c>
      <c r="K795">
        <v>0</v>
      </c>
      <c r="L795">
        <v>93063</v>
      </c>
      <c r="M795">
        <v>0</v>
      </c>
      <c r="N795">
        <v>1</v>
      </c>
      <c r="O795">
        <v>0</v>
      </c>
      <c r="Q795">
        <v>0</v>
      </c>
      <c r="R795">
        <v>0</v>
      </c>
      <c r="S795">
        <v>0</v>
      </c>
      <c r="T795">
        <v>5</v>
      </c>
      <c r="U795">
        <v>1</v>
      </c>
      <c r="V795">
        <v>0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</row>
    <row r="796" spans="1:29" x14ac:dyDescent="0.35">
      <c r="A796">
        <v>2662</v>
      </c>
      <c r="B796">
        <v>2662</v>
      </c>
      <c r="C796">
        <v>66</v>
      </c>
      <c r="D796">
        <v>41</v>
      </c>
      <c r="E796">
        <v>145</v>
      </c>
      <c r="F796">
        <v>1</v>
      </c>
      <c r="G796">
        <v>2.5</v>
      </c>
      <c r="H796">
        <v>1</v>
      </c>
      <c r="I796">
        <v>0</v>
      </c>
      <c r="J796">
        <v>1</v>
      </c>
      <c r="K796">
        <v>0</v>
      </c>
      <c r="L796">
        <v>90009</v>
      </c>
      <c r="M796">
        <v>0</v>
      </c>
      <c r="N796">
        <v>0</v>
      </c>
      <c r="O796">
        <v>0</v>
      </c>
      <c r="Q796">
        <v>1</v>
      </c>
      <c r="R796">
        <v>0</v>
      </c>
      <c r="S796">
        <v>0</v>
      </c>
      <c r="T796">
        <v>22</v>
      </c>
      <c r="U796">
        <v>1</v>
      </c>
      <c r="V796">
        <v>0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</row>
    <row r="797" spans="1:29" x14ac:dyDescent="0.35">
      <c r="A797">
        <v>2666</v>
      </c>
      <c r="B797">
        <v>2666</v>
      </c>
      <c r="C797">
        <v>35</v>
      </c>
      <c r="D797">
        <v>9</v>
      </c>
      <c r="E797">
        <v>105</v>
      </c>
      <c r="F797">
        <v>2</v>
      </c>
      <c r="G797">
        <v>4.5</v>
      </c>
      <c r="H797">
        <v>3</v>
      </c>
      <c r="I797">
        <v>0</v>
      </c>
      <c r="J797">
        <v>0</v>
      </c>
      <c r="K797">
        <v>0</v>
      </c>
      <c r="L797">
        <v>90064</v>
      </c>
      <c r="M797">
        <v>0</v>
      </c>
      <c r="N797">
        <v>0</v>
      </c>
      <c r="O797">
        <v>0</v>
      </c>
      <c r="Q797">
        <v>0</v>
      </c>
      <c r="R797">
        <v>0</v>
      </c>
      <c r="S797">
        <v>1</v>
      </c>
      <c r="T797">
        <v>14</v>
      </c>
      <c r="U797">
        <v>0.24242424242423999</v>
      </c>
      <c r="V797">
        <v>0.75757575757575002</v>
      </c>
      <c r="W797">
        <v>0.24242424242423999</v>
      </c>
      <c r="X797">
        <v>0.75757575757575002</v>
      </c>
      <c r="Y797">
        <v>0.44444444444443998</v>
      </c>
      <c r="Z797">
        <v>0.55555555555555003</v>
      </c>
      <c r="AA797">
        <v>0.75757575757576001</v>
      </c>
      <c r="AB797">
        <v>-0.75757575757575002</v>
      </c>
      <c r="AC797">
        <v>1</v>
      </c>
    </row>
    <row r="798" spans="1:29" x14ac:dyDescent="0.35">
      <c r="A798">
        <v>2668</v>
      </c>
      <c r="B798">
        <v>2668</v>
      </c>
      <c r="C798">
        <v>63</v>
      </c>
      <c r="D798">
        <v>39</v>
      </c>
      <c r="E798">
        <v>58</v>
      </c>
      <c r="F798">
        <v>1</v>
      </c>
      <c r="G798">
        <v>0</v>
      </c>
      <c r="H798">
        <v>2</v>
      </c>
      <c r="I798">
        <v>0</v>
      </c>
      <c r="J798">
        <v>1</v>
      </c>
      <c r="K798">
        <v>0</v>
      </c>
      <c r="L798">
        <v>94112</v>
      </c>
      <c r="M798">
        <v>0</v>
      </c>
      <c r="N798">
        <v>0</v>
      </c>
      <c r="O798">
        <v>0</v>
      </c>
      <c r="Q798">
        <v>0</v>
      </c>
      <c r="R798">
        <v>0</v>
      </c>
      <c r="S798">
        <v>0</v>
      </c>
      <c r="T798">
        <v>5</v>
      </c>
      <c r="U798">
        <v>1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</row>
    <row r="799" spans="1:29" x14ac:dyDescent="0.35">
      <c r="A799">
        <v>2671</v>
      </c>
      <c r="B799">
        <v>2671</v>
      </c>
      <c r="C799">
        <v>59</v>
      </c>
      <c r="D799">
        <v>33</v>
      </c>
      <c r="E799">
        <v>142</v>
      </c>
      <c r="F799">
        <v>2</v>
      </c>
      <c r="G799">
        <v>2.7</v>
      </c>
      <c r="H799">
        <v>1</v>
      </c>
      <c r="I799">
        <v>0</v>
      </c>
      <c r="J799">
        <v>0</v>
      </c>
      <c r="K799">
        <v>0</v>
      </c>
      <c r="L799">
        <v>94080</v>
      </c>
      <c r="M799">
        <v>0</v>
      </c>
      <c r="N799">
        <v>0</v>
      </c>
      <c r="O799">
        <v>0</v>
      </c>
      <c r="Q799">
        <v>1</v>
      </c>
      <c r="R799">
        <v>0</v>
      </c>
      <c r="S799">
        <v>0</v>
      </c>
      <c r="T799">
        <v>22</v>
      </c>
      <c r="U799">
        <v>1</v>
      </c>
      <c r="V799">
        <v>0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</row>
    <row r="800" spans="1:29" x14ac:dyDescent="0.35">
      <c r="A800">
        <v>2678</v>
      </c>
      <c r="B800">
        <v>2678</v>
      </c>
      <c r="C800">
        <v>32</v>
      </c>
      <c r="D800">
        <v>8</v>
      </c>
      <c r="E800">
        <v>70</v>
      </c>
      <c r="F800">
        <v>3</v>
      </c>
      <c r="G800">
        <v>1.5</v>
      </c>
      <c r="H800">
        <v>1</v>
      </c>
      <c r="I800">
        <v>0</v>
      </c>
      <c r="J800">
        <v>1</v>
      </c>
      <c r="K800">
        <v>0</v>
      </c>
      <c r="L800">
        <v>91423</v>
      </c>
      <c r="M800">
        <v>0</v>
      </c>
      <c r="N800">
        <v>0</v>
      </c>
      <c r="O800">
        <v>0</v>
      </c>
      <c r="Q800">
        <v>1</v>
      </c>
      <c r="R800">
        <v>0</v>
      </c>
      <c r="S800">
        <v>0</v>
      </c>
      <c r="T800">
        <v>5</v>
      </c>
      <c r="U800">
        <v>1</v>
      </c>
      <c r="V800">
        <v>0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</row>
    <row r="801" spans="1:29" x14ac:dyDescent="0.35">
      <c r="A801">
        <v>2682</v>
      </c>
      <c r="B801">
        <v>2682</v>
      </c>
      <c r="C801">
        <v>37</v>
      </c>
      <c r="D801">
        <v>11</v>
      </c>
      <c r="E801">
        <v>35</v>
      </c>
      <c r="F801">
        <v>2</v>
      </c>
      <c r="G801">
        <v>0.8</v>
      </c>
      <c r="H801">
        <v>3</v>
      </c>
      <c r="I801">
        <v>0</v>
      </c>
      <c r="J801">
        <v>0</v>
      </c>
      <c r="K801">
        <v>0</v>
      </c>
      <c r="L801">
        <v>94609</v>
      </c>
      <c r="M801">
        <v>0</v>
      </c>
      <c r="N801">
        <v>0</v>
      </c>
      <c r="O801">
        <v>0</v>
      </c>
      <c r="Q801">
        <v>0</v>
      </c>
      <c r="R801">
        <v>0</v>
      </c>
      <c r="S801">
        <v>0</v>
      </c>
      <c r="T801">
        <v>5</v>
      </c>
      <c r="U801">
        <v>1</v>
      </c>
      <c r="V801">
        <v>0</v>
      </c>
      <c r="W801">
        <v>1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</row>
    <row r="802" spans="1:29" x14ac:dyDescent="0.35">
      <c r="A802">
        <v>2686</v>
      </c>
      <c r="B802">
        <v>2686</v>
      </c>
      <c r="C802">
        <v>28</v>
      </c>
      <c r="D802">
        <v>2</v>
      </c>
      <c r="E802">
        <v>101</v>
      </c>
      <c r="F802">
        <v>4</v>
      </c>
      <c r="G802">
        <v>2.1</v>
      </c>
      <c r="H802">
        <v>3</v>
      </c>
      <c r="I802">
        <v>0</v>
      </c>
      <c r="J802">
        <v>1</v>
      </c>
      <c r="K802">
        <v>0</v>
      </c>
      <c r="L802">
        <v>90280</v>
      </c>
      <c r="M802">
        <v>0</v>
      </c>
      <c r="N802">
        <v>0</v>
      </c>
      <c r="O802">
        <v>0</v>
      </c>
      <c r="Q802">
        <v>0</v>
      </c>
      <c r="R802">
        <v>0</v>
      </c>
      <c r="S802">
        <v>0</v>
      </c>
      <c r="T802">
        <v>13</v>
      </c>
      <c r="U802">
        <v>0.88607594936708001</v>
      </c>
      <c r="V802">
        <v>0.11392405063291</v>
      </c>
      <c r="W802">
        <v>0.88607594936708001</v>
      </c>
      <c r="X802">
        <v>0.11392405063291</v>
      </c>
      <c r="Y802">
        <v>0.86842105263156999</v>
      </c>
      <c r="Z802">
        <v>0.13157894736841999</v>
      </c>
      <c r="AA802">
        <v>0.11392405063291999</v>
      </c>
      <c r="AB802">
        <v>-0.11392405063291</v>
      </c>
      <c r="AC802">
        <v>0</v>
      </c>
    </row>
    <row r="803" spans="1:29" x14ac:dyDescent="0.35">
      <c r="A803">
        <v>2695</v>
      </c>
      <c r="B803">
        <v>2695</v>
      </c>
      <c r="C803">
        <v>45</v>
      </c>
      <c r="D803">
        <v>19</v>
      </c>
      <c r="E803">
        <v>85</v>
      </c>
      <c r="F803">
        <v>3</v>
      </c>
      <c r="G803">
        <v>2.1</v>
      </c>
      <c r="H803">
        <v>1</v>
      </c>
      <c r="I803">
        <v>0</v>
      </c>
      <c r="J803">
        <v>1</v>
      </c>
      <c r="K803">
        <v>1</v>
      </c>
      <c r="L803">
        <v>94720</v>
      </c>
      <c r="M803">
        <v>0</v>
      </c>
      <c r="N803">
        <v>0</v>
      </c>
      <c r="O803">
        <v>0</v>
      </c>
      <c r="Q803">
        <v>1</v>
      </c>
      <c r="R803">
        <v>0</v>
      </c>
      <c r="S803">
        <v>0</v>
      </c>
      <c r="T803">
        <v>5</v>
      </c>
      <c r="U803">
        <v>1</v>
      </c>
      <c r="V803">
        <v>0</v>
      </c>
      <c r="W803">
        <v>1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</row>
    <row r="804" spans="1:29" x14ac:dyDescent="0.35">
      <c r="A804">
        <v>2696</v>
      </c>
      <c r="B804">
        <v>2696</v>
      </c>
      <c r="C804">
        <v>40</v>
      </c>
      <c r="D804">
        <v>15</v>
      </c>
      <c r="E804">
        <v>8</v>
      </c>
      <c r="F804">
        <v>2</v>
      </c>
      <c r="G804">
        <v>0.1</v>
      </c>
      <c r="H804">
        <v>2</v>
      </c>
      <c r="I804">
        <v>0</v>
      </c>
      <c r="J804">
        <v>0</v>
      </c>
      <c r="K804">
        <v>0</v>
      </c>
      <c r="L804">
        <v>94960</v>
      </c>
      <c r="M804">
        <v>0</v>
      </c>
      <c r="N804">
        <v>0</v>
      </c>
      <c r="O804">
        <v>0</v>
      </c>
      <c r="Q804">
        <v>0</v>
      </c>
      <c r="R804">
        <v>0</v>
      </c>
      <c r="S804">
        <v>0</v>
      </c>
      <c r="T804">
        <v>5</v>
      </c>
      <c r="U804">
        <v>1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</row>
    <row r="805" spans="1:29" x14ac:dyDescent="0.35">
      <c r="A805">
        <v>2701</v>
      </c>
      <c r="B805">
        <v>2701</v>
      </c>
      <c r="C805">
        <v>31</v>
      </c>
      <c r="D805">
        <v>5</v>
      </c>
      <c r="E805">
        <v>39</v>
      </c>
      <c r="F805">
        <v>4</v>
      </c>
      <c r="G805">
        <v>2.2000000000000002</v>
      </c>
      <c r="H805">
        <v>2</v>
      </c>
      <c r="I805">
        <v>0</v>
      </c>
      <c r="J805">
        <v>1</v>
      </c>
      <c r="K805">
        <v>1</v>
      </c>
      <c r="L805">
        <v>94590</v>
      </c>
      <c r="M805">
        <v>0</v>
      </c>
      <c r="N805">
        <v>0</v>
      </c>
      <c r="O805">
        <v>0</v>
      </c>
      <c r="Q805">
        <v>0</v>
      </c>
      <c r="R805">
        <v>0</v>
      </c>
      <c r="S805">
        <v>0</v>
      </c>
      <c r="T805">
        <v>5</v>
      </c>
      <c r="U805">
        <v>1</v>
      </c>
      <c r="V805">
        <v>0</v>
      </c>
      <c r="W805">
        <v>1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</row>
    <row r="806" spans="1:29" x14ac:dyDescent="0.35">
      <c r="A806">
        <v>2707</v>
      </c>
      <c r="B806">
        <v>2707</v>
      </c>
      <c r="C806">
        <v>43</v>
      </c>
      <c r="D806">
        <v>17</v>
      </c>
      <c r="E806">
        <v>158</v>
      </c>
      <c r="F806">
        <v>1</v>
      </c>
      <c r="G806">
        <v>2.4</v>
      </c>
      <c r="H806">
        <v>1</v>
      </c>
      <c r="I806">
        <v>0</v>
      </c>
      <c r="J806">
        <v>1</v>
      </c>
      <c r="K806">
        <v>0</v>
      </c>
      <c r="L806">
        <v>90740</v>
      </c>
      <c r="M806">
        <v>0</v>
      </c>
      <c r="N806">
        <v>0</v>
      </c>
      <c r="O806">
        <v>0</v>
      </c>
      <c r="Q806">
        <v>1</v>
      </c>
      <c r="R806">
        <v>0</v>
      </c>
      <c r="S806">
        <v>0</v>
      </c>
      <c r="T806">
        <v>22</v>
      </c>
      <c r="U806">
        <v>1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</row>
    <row r="807" spans="1:29" x14ac:dyDescent="0.35">
      <c r="A807">
        <v>2709</v>
      </c>
      <c r="B807">
        <v>2709</v>
      </c>
      <c r="C807">
        <v>49</v>
      </c>
      <c r="D807">
        <v>24</v>
      </c>
      <c r="E807">
        <v>75</v>
      </c>
      <c r="F807">
        <v>1</v>
      </c>
      <c r="G807">
        <v>2.8</v>
      </c>
      <c r="H807">
        <v>2</v>
      </c>
      <c r="I807">
        <v>160</v>
      </c>
      <c r="J807">
        <v>0</v>
      </c>
      <c r="K807">
        <v>1</v>
      </c>
      <c r="L807">
        <v>95670</v>
      </c>
      <c r="M807">
        <v>0</v>
      </c>
      <c r="N807">
        <v>0</v>
      </c>
      <c r="O807">
        <v>0</v>
      </c>
      <c r="Q807">
        <v>0</v>
      </c>
      <c r="R807">
        <v>0</v>
      </c>
      <c r="S807">
        <v>0</v>
      </c>
      <c r="T807">
        <v>5</v>
      </c>
      <c r="U807">
        <v>1</v>
      </c>
      <c r="V807">
        <v>0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</row>
    <row r="808" spans="1:29" x14ac:dyDescent="0.35">
      <c r="A808">
        <v>2710</v>
      </c>
      <c r="B808">
        <v>2710</v>
      </c>
      <c r="C808">
        <v>28</v>
      </c>
      <c r="D808">
        <v>4</v>
      </c>
      <c r="E808">
        <v>69</v>
      </c>
      <c r="F808">
        <v>3</v>
      </c>
      <c r="G808">
        <v>0.7</v>
      </c>
      <c r="H808">
        <v>2</v>
      </c>
      <c r="I808">
        <v>170</v>
      </c>
      <c r="J808">
        <v>0</v>
      </c>
      <c r="K808">
        <v>0</v>
      </c>
      <c r="L808">
        <v>94305</v>
      </c>
      <c r="M808">
        <v>0</v>
      </c>
      <c r="N808">
        <v>0</v>
      </c>
      <c r="O808">
        <v>0</v>
      </c>
      <c r="Q808">
        <v>0</v>
      </c>
      <c r="R808">
        <v>0</v>
      </c>
      <c r="S808">
        <v>0</v>
      </c>
      <c r="T808">
        <v>5</v>
      </c>
      <c r="U808">
        <v>1</v>
      </c>
      <c r="V808">
        <v>0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</row>
    <row r="809" spans="1:29" x14ac:dyDescent="0.35">
      <c r="A809">
        <v>2716</v>
      </c>
      <c r="B809">
        <v>2716</v>
      </c>
      <c r="C809">
        <v>42</v>
      </c>
      <c r="D809">
        <v>18</v>
      </c>
      <c r="E809">
        <v>54</v>
      </c>
      <c r="F809">
        <v>1</v>
      </c>
      <c r="G809">
        <v>1.8</v>
      </c>
      <c r="H809">
        <v>1</v>
      </c>
      <c r="I809">
        <v>0</v>
      </c>
      <c r="J809">
        <v>1</v>
      </c>
      <c r="K809">
        <v>0</v>
      </c>
      <c r="L809">
        <v>90089</v>
      </c>
      <c r="M809">
        <v>0</v>
      </c>
      <c r="N809">
        <v>0</v>
      </c>
      <c r="O809">
        <v>0</v>
      </c>
      <c r="Q809">
        <v>1</v>
      </c>
      <c r="R809">
        <v>0</v>
      </c>
      <c r="S809">
        <v>0</v>
      </c>
      <c r="T809">
        <v>5</v>
      </c>
      <c r="U809">
        <v>1</v>
      </c>
      <c r="V809">
        <v>0</v>
      </c>
      <c r="W809">
        <v>1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</row>
    <row r="810" spans="1:29" x14ac:dyDescent="0.35">
      <c r="A810">
        <v>2719</v>
      </c>
      <c r="B810">
        <v>2719</v>
      </c>
      <c r="C810">
        <v>59</v>
      </c>
      <c r="D810">
        <v>33</v>
      </c>
      <c r="E810">
        <v>68</v>
      </c>
      <c r="F810">
        <v>2</v>
      </c>
      <c r="G810">
        <v>2.2999999999999998</v>
      </c>
      <c r="H810">
        <v>3</v>
      </c>
      <c r="I810">
        <v>0</v>
      </c>
      <c r="J810">
        <v>0</v>
      </c>
      <c r="K810">
        <v>0</v>
      </c>
      <c r="L810">
        <v>95064</v>
      </c>
      <c r="M810">
        <v>0</v>
      </c>
      <c r="N810">
        <v>1</v>
      </c>
      <c r="O810">
        <v>0</v>
      </c>
      <c r="Q810">
        <v>0</v>
      </c>
      <c r="R810">
        <v>0</v>
      </c>
      <c r="S810">
        <v>0</v>
      </c>
      <c r="T810">
        <v>5</v>
      </c>
      <c r="U810">
        <v>1</v>
      </c>
      <c r="V810">
        <v>0</v>
      </c>
      <c r="W810">
        <v>1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</row>
    <row r="811" spans="1:29" x14ac:dyDescent="0.35">
      <c r="A811">
        <v>2724</v>
      </c>
      <c r="B811">
        <v>2724</v>
      </c>
      <c r="C811">
        <v>54</v>
      </c>
      <c r="D811">
        <v>29</v>
      </c>
      <c r="E811">
        <v>72</v>
      </c>
      <c r="F811">
        <v>2</v>
      </c>
      <c r="G811">
        <v>3.7</v>
      </c>
      <c r="H811">
        <v>1</v>
      </c>
      <c r="I811">
        <v>144</v>
      </c>
      <c r="J811">
        <v>1</v>
      </c>
      <c r="K811">
        <v>0</v>
      </c>
      <c r="L811">
        <v>94558</v>
      </c>
      <c r="M811">
        <v>0</v>
      </c>
      <c r="N811">
        <v>0</v>
      </c>
      <c r="O811">
        <v>0</v>
      </c>
      <c r="Q811">
        <v>1</v>
      </c>
      <c r="R811">
        <v>0</v>
      </c>
      <c r="S811">
        <v>0</v>
      </c>
      <c r="T811">
        <v>15</v>
      </c>
      <c r="U811">
        <v>0.91935483870967005</v>
      </c>
      <c r="V811">
        <v>8.0645161290319997E-2</v>
      </c>
      <c r="W811">
        <v>0.91935483870967005</v>
      </c>
      <c r="X811">
        <v>8.0645161290319997E-2</v>
      </c>
      <c r="Y811">
        <v>0.86</v>
      </c>
      <c r="Z811">
        <v>0.14000000000000001</v>
      </c>
      <c r="AA811">
        <v>8.0645161290329906E-2</v>
      </c>
      <c r="AB811">
        <v>-8.0645161290319997E-2</v>
      </c>
      <c r="AC811">
        <v>0</v>
      </c>
    </row>
    <row r="812" spans="1:29" x14ac:dyDescent="0.35">
      <c r="A812">
        <v>2725</v>
      </c>
      <c r="B812">
        <v>2725</v>
      </c>
      <c r="C812">
        <v>49</v>
      </c>
      <c r="D812">
        <v>24</v>
      </c>
      <c r="E812">
        <v>30</v>
      </c>
      <c r="F812">
        <v>4</v>
      </c>
      <c r="G812">
        <v>0.4</v>
      </c>
      <c r="H812">
        <v>2</v>
      </c>
      <c r="I812">
        <v>157</v>
      </c>
      <c r="J812">
        <v>1</v>
      </c>
      <c r="K812">
        <v>1</v>
      </c>
      <c r="L812">
        <v>90212</v>
      </c>
      <c r="M812">
        <v>0</v>
      </c>
      <c r="N812">
        <v>0</v>
      </c>
      <c r="O812">
        <v>1</v>
      </c>
      <c r="Q812">
        <v>0</v>
      </c>
      <c r="R812">
        <v>0</v>
      </c>
      <c r="S812">
        <v>0</v>
      </c>
      <c r="T812">
        <v>5</v>
      </c>
      <c r="U812">
        <v>1</v>
      </c>
      <c r="V812">
        <v>0</v>
      </c>
      <c r="W812">
        <v>1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</row>
    <row r="813" spans="1:29" x14ac:dyDescent="0.35">
      <c r="A813">
        <v>2731</v>
      </c>
      <c r="B813">
        <v>2731</v>
      </c>
      <c r="C813">
        <v>56</v>
      </c>
      <c r="D813">
        <v>30</v>
      </c>
      <c r="E813">
        <v>43</v>
      </c>
      <c r="F813">
        <v>2</v>
      </c>
      <c r="G813">
        <v>0.3</v>
      </c>
      <c r="H813">
        <v>1</v>
      </c>
      <c r="I813">
        <v>0</v>
      </c>
      <c r="J813">
        <v>0</v>
      </c>
      <c r="K813">
        <v>0</v>
      </c>
      <c r="L813">
        <v>90401</v>
      </c>
      <c r="M813">
        <v>0</v>
      </c>
      <c r="N813">
        <v>1</v>
      </c>
      <c r="O813">
        <v>0</v>
      </c>
      <c r="Q813">
        <v>1</v>
      </c>
      <c r="R813">
        <v>0</v>
      </c>
      <c r="S813">
        <v>0</v>
      </c>
      <c r="T813">
        <v>5</v>
      </c>
      <c r="U813">
        <v>1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</row>
    <row r="814" spans="1:29" x14ac:dyDescent="0.35">
      <c r="A814">
        <v>2736</v>
      </c>
      <c r="B814">
        <v>2736</v>
      </c>
      <c r="C814">
        <v>36</v>
      </c>
      <c r="D814">
        <v>12</v>
      </c>
      <c r="E814">
        <v>70</v>
      </c>
      <c r="F814">
        <v>3</v>
      </c>
      <c r="G814">
        <v>2.6</v>
      </c>
      <c r="H814">
        <v>2</v>
      </c>
      <c r="I814">
        <v>165</v>
      </c>
      <c r="J814">
        <v>1</v>
      </c>
      <c r="K814">
        <v>0</v>
      </c>
      <c r="L814">
        <v>92131</v>
      </c>
      <c r="M814">
        <v>0</v>
      </c>
      <c r="N814">
        <v>0</v>
      </c>
      <c r="O814">
        <v>0</v>
      </c>
      <c r="Q814">
        <v>0</v>
      </c>
      <c r="R814">
        <v>0</v>
      </c>
      <c r="S814">
        <v>0</v>
      </c>
      <c r="T814">
        <v>5</v>
      </c>
      <c r="U814">
        <v>1</v>
      </c>
      <c r="V814">
        <v>0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</row>
    <row r="815" spans="1:29" x14ac:dyDescent="0.35">
      <c r="A815">
        <v>2737</v>
      </c>
      <c r="B815">
        <v>2737</v>
      </c>
      <c r="C815">
        <v>53</v>
      </c>
      <c r="D815">
        <v>29</v>
      </c>
      <c r="E815">
        <v>12</v>
      </c>
      <c r="F815">
        <v>1</v>
      </c>
      <c r="G815">
        <v>0.3</v>
      </c>
      <c r="H815">
        <v>1</v>
      </c>
      <c r="I815">
        <v>0</v>
      </c>
      <c r="J815">
        <v>0</v>
      </c>
      <c r="K815">
        <v>0</v>
      </c>
      <c r="L815">
        <v>95621</v>
      </c>
      <c r="M815">
        <v>0</v>
      </c>
      <c r="N815">
        <v>0</v>
      </c>
      <c r="O815">
        <v>0</v>
      </c>
      <c r="Q815">
        <v>1</v>
      </c>
      <c r="R815">
        <v>0</v>
      </c>
      <c r="S815">
        <v>0</v>
      </c>
      <c r="T815">
        <v>5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</row>
    <row r="816" spans="1:29" x14ac:dyDescent="0.35">
      <c r="A816">
        <v>2738</v>
      </c>
      <c r="B816">
        <v>2738</v>
      </c>
      <c r="C816">
        <v>57</v>
      </c>
      <c r="D816">
        <v>31</v>
      </c>
      <c r="E816">
        <v>159</v>
      </c>
      <c r="F816">
        <v>2</v>
      </c>
      <c r="G816">
        <v>0.5</v>
      </c>
      <c r="H816">
        <v>1</v>
      </c>
      <c r="I816">
        <v>0</v>
      </c>
      <c r="J816">
        <v>0</v>
      </c>
      <c r="K816">
        <v>0</v>
      </c>
      <c r="L816">
        <v>94577</v>
      </c>
      <c r="M816">
        <v>0</v>
      </c>
      <c r="N816">
        <v>0</v>
      </c>
      <c r="O816">
        <v>0</v>
      </c>
      <c r="Q816">
        <v>1</v>
      </c>
      <c r="R816">
        <v>0</v>
      </c>
      <c r="S816">
        <v>0</v>
      </c>
      <c r="T816">
        <v>22</v>
      </c>
      <c r="U816">
        <v>1</v>
      </c>
      <c r="V816">
        <v>0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</row>
    <row r="817" spans="1:29" x14ac:dyDescent="0.35">
      <c r="A817">
        <v>2739</v>
      </c>
      <c r="B817">
        <v>2739</v>
      </c>
      <c r="C817">
        <v>35</v>
      </c>
      <c r="D817">
        <v>9</v>
      </c>
      <c r="E817">
        <v>103</v>
      </c>
      <c r="F817">
        <v>2</v>
      </c>
      <c r="G817">
        <v>4.5</v>
      </c>
      <c r="H817">
        <v>3</v>
      </c>
      <c r="I817">
        <v>0</v>
      </c>
      <c r="J817">
        <v>1</v>
      </c>
      <c r="K817">
        <v>0</v>
      </c>
      <c r="L817">
        <v>95120</v>
      </c>
      <c r="M817">
        <v>0</v>
      </c>
      <c r="N817">
        <v>0</v>
      </c>
      <c r="O817">
        <v>0</v>
      </c>
      <c r="Q817">
        <v>0</v>
      </c>
      <c r="R817">
        <v>0</v>
      </c>
      <c r="S817">
        <v>1</v>
      </c>
      <c r="T817">
        <v>14</v>
      </c>
      <c r="U817">
        <v>0.24242424242423999</v>
      </c>
      <c r="V817">
        <v>0.75757575757575002</v>
      </c>
      <c r="W817">
        <v>0.24242424242423999</v>
      </c>
      <c r="X817">
        <v>0.75757575757575002</v>
      </c>
      <c r="Y817">
        <v>0.44444444444443998</v>
      </c>
      <c r="Z817">
        <v>0.55555555555555003</v>
      </c>
      <c r="AA817">
        <v>0.75757575757576001</v>
      </c>
      <c r="AB817">
        <v>-0.75757575757575002</v>
      </c>
      <c r="AC817">
        <v>1</v>
      </c>
    </row>
    <row r="818" spans="1:29" x14ac:dyDescent="0.35">
      <c r="A818">
        <v>2746</v>
      </c>
      <c r="B818">
        <v>2746</v>
      </c>
      <c r="C818">
        <v>50</v>
      </c>
      <c r="D818">
        <v>25</v>
      </c>
      <c r="E818">
        <v>38</v>
      </c>
      <c r="F818">
        <v>1</v>
      </c>
      <c r="G818">
        <v>1.3</v>
      </c>
      <c r="H818">
        <v>2</v>
      </c>
      <c r="I818">
        <v>120</v>
      </c>
      <c r="J818">
        <v>0</v>
      </c>
      <c r="K818">
        <v>1</v>
      </c>
      <c r="L818">
        <v>95616</v>
      </c>
      <c r="M818">
        <v>0</v>
      </c>
      <c r="N818">
        <v>0</v>
      </c>
      <c r="O818">
        <v>0</v>
      </c>
      <c r="Q818">
        <v>0</v>
      </c>
      <c r="R818">
        <v>0</v>
      </c>
      <c r="S818">
        <v>0</v>
      </c>
      <c r="T818">
        <v>5</v>
      </c>
      <c r="U818">
        <v>1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</row>
    <row r="819" spans="1:29" x14ac:dyDescent="0.35">
      <c r="A819">
        <v>2747</v>
      </c>
      <c r="B819">
        <v>2747</v>
      </c>
      <c r="C819">
        <v>54</v>
      </c>
      <c r="D819">
        <v>29</v>
      </c>
      <c r="E819">
        <v>49</v>
      </c>
      <c r="F819">
        <v>2</v>
      </c>
      <c r="G819">
        <v>2.1</v>
      </c>
      <c r="H819">
        <v>3</v>
      </c>
      <c r="I819">
        <v>95</v>
      </c>
      <c r="J819">
        <v>1</v>
      </c>
      <c r="K819">
        <v>1</v>
      </c>
      <c r="L819">
        <v>92703</v>
      </c>
      <c r="M819">
        <v>0</v>
      </c>
      <c r="N819">
        <v>0</v>
      </c>
      <c r="O819">
        <v>0</v>
      </c>
      <c r="Q819">
        <v>0</v>
      </c>
      <c r="R819">
        <v>0</v>
      </c>
      <c r="S819">
        <v>0</v>
      </c>
      <c r="T819">
        <v>5</v>
      </c>
      <c r="U819">
        <v>1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</row>
    <row r="820" spans="1:29" x14ac:dyDescent="0.35">
      <c r="A820">
        <v>2749</v>
      </c>
      <c r="B820">
        <v>2749</v>
      </c>
      <c r="C820">
        <v>32</v>
      </c>
      <c r="D820">
        <v>7</v>
      </c>
      <c r="E820">
        <v>82</v>
      </c>
      <c r="F820">
        <v>1</v>
      </c>
      <c r="G820">
        <v>2.6</v>
      </c>
      <c r="H820">
        <v>2</v>
      </c>
      <c r="I820">
        <v>240</v>
      </c>
      <c r="J820">
        <v>1</v>
      </c>
      <c r="K820">
        <v>1</v>
      </c>
      <c r="L820">
        <v>94305</v>
      </c>
      <c r="M820">
        <v>0</v>
      </c>
      <c r="N820">
        <v>0</v>
      </c>
      <c r="O820">
        <v>1</v>
      </c>
      <c r="Q820">
        <v>0</v>
      </c>
      <c r="R820">
        <v>0</v>
      </c>
      <c r="S820">
        <v>0</v>
      </c>
      <c r="T820">
        <v>5</v>
      </c>
      <c r="U820">
        <v>1</v>
      </c>
      <c r="V820">
        <v>0</v>
      </c>
      <c r="W820">
        <v>1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</row>
    <row r="821" spans="1:29" x14ac:dyDescent="0.35">
      <c r="A821">
        <v>2751</v>
      </c>
      <c r="B821">
        <v>2751</v>
      </c>
      <c r="C821">
        <v>57</v>
      </c>
      <c r="D821">
        <v>33</v>
      </c>
      <c r="E821">
        <v>24</v>
      </c>
      <c r="F821">
        <v>1</v>
      </c>
      <c r="G821">
        <v>0.1</v>
      </c>
      <c r="H821">
        <v>2</v>
      </c>
      <c r="I821">
        <v>0</v>
      </c>
      <c r="J821">
        <v>0</v>
      </c>
      <c r="K821">
        <v>0</v>
      </c>
      <c r="L821">
        <v>94501</v>
      </c>
      <c r="M821">
        <v>0</v>
      </c>
      <c r="N821">
        <v>0</v>
      </c>
      <c r="O821">
        <v>0</v>
      </c>
      <c r="Q821">
        <v>0</v>
      </c>
      <c r="R821">
        <v>0</v>
      </c>
      <c r="S821">
        <v>0</v>
      </c>
      <c r="T821">
        <v>5</v>
      </c>
      <c r="U821">
        <v>1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</row>
    <row r="822" spans="1:29" x14ac:dyDescent="0.35">
      <c r="A822">
        <v>2756</v>
      </c>
      <c r="B822">
        <v>2756</v>
      </c>
      <c r="C822">
        <v>37</v>
      </c>
      <c r="D822">
        <v>11</v>
      </c>
      <c r="E822">
        <v>22</v>
      </c>
      <c r="F822">
        <v>3</v>
      </c>
      <c r="G822">
        <v>0.1</v>
      </c>
      <c r="H822">
        <v>2</v>
      </c>
      <c r="I822">
        <v>0</v>
      </c>
      <c r="J822">
        <v>1</v>
      </c>
      <c r="K822">
        <v>1</v>
      </c>
      <c r="L822">
        <v>93711</v>
      </c>
      <c r="M822">
        <v>0</v>
      </c>
      <c r="N822">
        <v>0</v>
      </c>
      <c r="O822">
        <v>0</v>
      </c>
      <c r="Q822">
        <v>0</v>
      </c>
      <c r="R822">
        <v>0</v>
      </c>
      <c r="S822">
        <v>0</v>
      </c>
      <c r="T822">
        <v>5</v>
      </c>
      <c r="U822">
        <v>1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</row>
    <row r="823" spans="1:29" x14ac:dyDescent="0.35">
      <c r="A823">
        <v>2761</v>
      </c>
      <c r="B823">
        <v>2761</v>
      </c>
      <c r="C823">
        <v>32</v>
      </c>
      <c r="D823">
        <v>7</v>
      </c>
      <c r="E823">
        <v>49</v>
      </c>
      <c r="F823">
        <v>3</v>
      </c>
      <c r="G823">
        <v>2.2999999999999998</v>
      </c>
      <c r="H823">
        <v>1</v>
      </c>
      <c r="I823">
        <v>0</v>
      </c>
      <c r="J823">
        <v>1</v>
      </c>
      <c r="K823">
        <v>0</v>
      </c>
      <c r="L823">
        <v>94080</v>
      </c>
      <c r="M823">
        <v>0</v>
      </c>
      <c r="N823">
        <v>0</v>
      </c>
      <c r="O823">
        <v>0</v>
      </c>
      <c r="Q823">
        <v>1</v>
      </c>
      <c r="R823">
        <v>0</v>
      </c>
      <c r="S823">
        <v>0</v>
      </c>
      <c r="T823">
        <v>5</v>
      </c>
      <c r="U823">
        <v>1</v>
      </c>
      <c r="V823">
        <v>0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</row>
    <row r="824" spans="1:29" x14ac:dyDescent="0.35">
      <c r="A824">
        <v>2762</v>
      </c>
      <c r="B824">
        <v>2762</v>
      </c>
      <c r="C824">
        <v>35</v>
      </c>
      <c r="D824">
        <v>8</v>
      </c>
      <c r="E824">
        <v>44</v>
      </c>
      <c r="F824">
        <v>4</v>
      </c>
      <c r="G824">
        <v>1</v>
      </c>
      <c r="H824">
        <v>2</v>
      </c>
      <c r="I824">
        <v>192</v>
      </c>
      <c r="J824">
        <v>0</v>
      </c>
      <c r="K824">
        <v>1</v>
      </c>
      <c r="L824">
        <v>95045</v>
      </c>
      <c r="M824">
        <v>0</v>
      </c>
      <c r="N824">
        <v>0</v>
      </c>
      <c r="O824">
        <v>0</v>
      </c>
      <c r="Q824">
        <v>0</v>
      </c>
      <c r="R824">
        <v>0</v>
      </c>
      <c r="S824">
        <v>0</v>
      </c>
      <c r="T824">
        <v>5</v>
      </c>
      <c r="U824">
        <v>1</v>
      </c>
      <c r="V824">
        <v>0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</row>
    <row r="825" spans="1:29" x14ac:dyDescent="0.35">
      <c r="A825">
        <v>2763</v>
      </c>
      <c r="B825">
        <v>2763</v>
      </c>
      <c r="C825">
        <v>56</v>
      </c>
      <c r="D825">
        <v>31</v>
      </c>
      <c r="E825">
        <v>65</v>
      </c>
      <c r="F825">
        <v>2</v>
      </c>
      <c r="G825">
        <v>3.7</v>
      </c>
      <c r="H825">
        <v>1</v>
      </c>
      <c r="I825">
        <v>0</v>
      </c>
      <c r="J825">
        <v>1</v>
      </c>
      <c r="K825">
        <v>0</v>
      </c>
      <c r="L825">
        <v>93403</v>
      </c>
      <c r="M825">
        <v>0</v>
      </c>
      <c r="N825">
        <v>0</v>
      </c>
      <c r="O825">
        <v>0</v>
      </c>
      <c r="Q825">
        <v>1</v>
      </c>
      <c r="R825">
        <v>0</v>
      </c>
      <c r="S825">
        <v>0</v>
      </c>
      <c r="T825">
        <v>15</v>
      </c>
      <c r="U825">
        <v>0.91935483870967005</v>
      </c>
      <c r="V825">
        <v>8.0645161290319997E-2</v>
      </c>
      <c r="W825">
        <v>0.91935483870967005</v>
      </c>
      <c r="X825">
        <v>8.0645161290319997E-2</v>
      </c>
      <c r="Y825">
        <v>0.86</v>
      </c>
      <c r="Z825">
        <v>0.14000000000000001</v>
      </c>
      <c r="AA825">
        <v>8.0645161290329906E-2</v>
      </c>
      <c r="AB825">
        <v>-8.0645161290319997E-2</v>
      </c>
      <c r="AC825">
        <v>0</v>
      </c>
    </row>
    <row r="826" spans="1:29" x14ac:dyDescent="0.35">
      <c r="A826">
        <v>2770</v>
      </c>
      <c r="B826">
        <v>2770</v>
      </c>
      <c r="C826">
        <v>33</v>
      </c>
      <c r="D826">
        <v>9</v>
      </c>
      <c r="E826">
        <v>183</v>
      </c>
      <c r="F826">
        <v>2</v>
      </c>
      <c r="G826">
        <v>8.8000000000000007</v>
      </c>
      <c r="H826">
        <v>3</v>
      </c>
      <c r="I826">
        <v>582</v>
      </c>
      <c r="J826">
        <v>1</v>
      </c>
      <c r="K826">
        <v>0</v>
      </c>
      <c r="L826">
        <v>91320</v>
      </c>
      <c r="M826">
        <v>1</v>
      </c>
      <c r="N826">
        <v>0</v>
      </c>
      <c r="O826">
        <v>0</v>
      </c>
      <c r="Q826">
        <v>0</v>
      </c>
      <c r="R826">
        <v>1</v>
      </c>
      <c r="S826">
        <v>1</v>
      </c>
      <c r="T826">
        <v>10</v>
      </c>
      <c r="U826">
        <v>0</v>
      </c>
      <c r="V826">
        <v>1</v>
      </c>
      <c r="W826">
        <v>0</v>
      </c>
      <c r="X826">
        <v>1</v>
      </c>
      <c r="Y826">
        <v>0</v>
      </c>
      <c r="Z826">
        <v>1</v>
      </c>
      <c r="AA826">
        <v>0</v>
      </c>
      <c r="AB826">
        <v>0</v>
      </c>
      <c r="AC826">
        <v>1</v>
      </c>
    </row>
    <row r="827" spans="1:29" x14ac:dyDescent="0.35">
      <c r="A827">
        <v>2772</v>
      </c>
      <c r="B827">
        <v>2772</v>
      </c>
      <c r="C827">
        <v>41</v>
      </c>
      <c r="D827">
        <v>16</v>
      </c>
      <c r="E827">
        <v>115</v>
      </c>
      <c r="F827">
        <v>1</v>
      </c>
      <c r="G827">
        <v>7</v>
      </c>
      <c r="H827">
        <v>1</v>
      </c>
      <c r="I827">
        <v>0</v>
      </c>
      <c r="J827">
        <v>0</v>
      </c>
      <c r="K827">
        <v>0</v>
      </c>
      <c r="L827">
        <v>92333</v>
      </c>
      <c r="M827">
        <v>0</v>
      </c>
      <c r="N827">
        <v>0</v>
      </c>
      <c r="O827">
        <v>0</v>
      </c>
      <c r="Q827">
        <v>1</v>
      </c>
      <c r="R827">
        <v>0</v>
      </c>
      <c r="S827">
        <v>0</v>
      </c>
      <c r="T827">
        <v>22</v>
      </c>
      <c r="U827">
        <v>1</v>
      </c>
      <c r="V827">
        <v>0</v>
      </c>
      <c r="W827">
        <v>1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</row>
    <row r="828" spans="1:29" x14ac:dyDescent="0.35">
      <c r="A828">
        <v>2774</v>
      </c>
      <c r="B828">
        <v>2774</v>
      </c>
      <c r="C828">
        <v>63</v>
      </c>
      <c r="D828">
        <v>37</v>
      </c>
      <c r="E828">
        <v>185</v>
      </c>
      <c r="F828">
        <v>2</v>
      </c>
      <c r="G828">
        <v>7.9</v>
      </c>
      <c r="H828">
        <v>2</v>
      </c>
      <c r="I828">
        <v>358</v>
      </c>
      <c r="J828">
        <v>1</v>
      </c>
      <c r="K828">
        <v>0</v>
      </c>
      <c r="L828">
        <v>94309</v>
      </c>
      <c r="M828">
        <v>1</v>
      </c>
      <c r="N828">
        <v>0</v>
      </c>
      <c r="O828">
        <v>0</v>
      </c>
      <c r="Q828">
        <v>0</v>
      </c>
      <c r="R828">
        <v>1</v>
      </c>
      <c r="S828">
        <v>1</v>
      </c>
      <c r="T828">
        <v>10</v>
      </c>
      <c r="U828">
        <v>0</v>
      </c>
      <c r="V828">
        <v>1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1</v>
      </c>
    </row>
    <row r="829" spans="1:29" x14ac:dyDescent="0.35">
      <c r="A829">
        <v>2777</v>
      </c>
      <c r="B829">
        <v>2777</v>
      </c>
      <c r="C829">
        <v>46</v>
      </c>
      <c r="D829">
        <v>20</v>
      </c>
      <c r="E829">
        <v>140</v>
      </c>
      <c r="F829">
        <v>2</v>
      </c>
      <c r="G829">
        <v>6.3</v>
      </c>
      <c r="H829">
        <v>1</v>
      </c>
      <c r="I829">
        <v>380</v>
      </c>
      <c r="J829">
        <v>1</v>
      </c>
      <c r="K829">
        <v>1</v>
      </c>
      <c r="L829">
        <v>93106</v>
      </c>
      <c r="M829">
        <v>0</v>
      </c>
      <c r="N829">
        <v>0</v>
      </c>
      <c r="O829">
        <v>0</v>
      </c>
      <c r="Q829">
        <v>1</v>
      </c>
      <c r="R829">
        <v>0</v>
      </c>
      <c r="S829">
        <v>0</v>
      </c>
      <c r="T829">
        <v>22</v>
      </c>
      <c r="U829">
        <v>1</v>
      </c>
      <c r="V829">
        <v>0</v>
      </c>
      <c r="W829">
        <v>1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</row>
    <row r="830" spans="1:29" x14ac:dyDescent="0.35">
      <c r="A830">
        <v>2779</v>
      </c>
      <c r="B830">
        <v>2779</v>
      </c>
      <c r="C830">
        <v>56</v>
      </c>
      <c r="D830">
        <v>31</v>
      </c>
      <c r="E830">
        <v>61</v>
      </c>
      <c r="F830">
        <v>4</v>
      </c>
      <c r="G830">
        <v>1.3</v>
      </c>
      <c r="H830">
        <v>3</v>
      </c>
      <c r="I830">
        <v>0</v>
      </c>
      <c r="J830">
        <v>1</v>
      </c>
      <c r="K830">
        <v>1</v>
      </c>
      <c r="L830">
        <v>92646</v>
      </c>
      <c r="M830">
        <v>0</v>
      </c>
      <c r="N830">
        <v>0</v>
      </c>
      <c r="O830">
        <v>0</v>
      </c>
      <c r="Q830">
        <v>0</v>
      </c>
      <c r="R830">
        <v>0</v>
      </c>
      <c r="S830">
        <v>0</v>
      </c>
      <c r="T830">
        <v>5</v>
      </c>
      <c r="U830">
        <v>1</v>
      </c>
      <c r="V830">
        <v>0</v>
      </c>
      <c r="W830">
        <v>1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</row>
    <row r="831" spans="1:29" x14ac:dyDescent="0.35">
      <c r="A831">
        <v>2782</v>
      </c>
      <c r="B831">
        <v>2782</v>
      </c>
      <c r="C831">
        <v>47</v>
      </c>
      <c r="D831">
        <v>21</v>
      </c>
      <c r="E831">
        <v>22</v>
      </c>
      <c r="F831">
        <v>1</v>
      </c>
      <c r="G831">
        <v>0.2</v>
      </c>
      <c r="H831">
        <v>1</v>
      </c>
      <c r="I831">
        <v>104</v>
      </c>
      <c r="J831">
        <v>0</v>
      </c>
      <c r="K831">
        <v>0</v>
      </c>
      <c r="L831">
        <v>92037</v>
      </c>
      <c r="M831">
        <v>0</v>
      </c>
      <c r="N831">
        <v>0</v>
      </c>
      <c r="O831">
        <v>0</v>
      </c>
      <c r="Q831">
        <v>1</v>
      </c>
      <c r="R831">
        <v>0</v>
      </c>
      <c r="S831">
        <v>0</v>
      </c>
      <c r="T831">
        <v>5</v>
      </c>
      <c r="U831">
        <v>1</v>
      </c>
      <c r="V831">
        <v>0</v>
      </c>
      <c r="W831">
        <v>1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</row>
    <row r="832" spans="1:29" x14ac:dyDescent="0.35">
      <c r="A832">
        <v>2785</v>
      </c>
      <c r="B832">
        <v>2785</v>
      </c>
      <c r="C832">
        <v>36</v>
      </c>
      <c r="D832">
        <v>9</v>
      </c>
      <c r="E832">
        <v>115</v>
      </c>
      <c r="F832">
        <v>4</v>
      </c>
      <c r="G832">
        <v>2.2000000000000002</v>
      </c>
      <c r="H832">
        <v>2</v>
      </c>
      <c r="I832">
        <v>0</v>
      </c>
      <c r="J832">
        <v>0</v>
      </c>
      <c r="K832">
        <v>0</v>
      </c>
      <c r="L832">
        <v>91765</v>
      </c>
      <c r="M832">
        <v>1</v>
      </c>
      <c r="N832">
        <v>0</v>
      </c>
      <c r="O832">
        <v>0</v>
      </c>
      <c r="Q832">
        <v>0</v>
      </c>
      <c r="R832">
        <v>1</v>
      </c>
      <c r="S832">
        <v>0</v>
      </c>
      <c r="T832">
        <v>13</v>
      </c>
      <c r="U832">
        <v>0.88607594936708001</v>
      </c>
      <c r="V832">
        <v>0.11392405063291</v>
      </c>
      <c r="W832">
        <v>0.88607594936708001</v>
      </c>
      <c r="X832">
        <v>0.11392405063291</v>
      </c>
      <c r="Y832">
        <v>0.86842105263156999</v>
      </c>
      <c r="Z832">
        <v>0.13157894736841999</v>
      </c>
      <c r="AA832">
        <v>-0.88607594936708001</v>
      </c>
      <c r="AB832">
        <v>0.88607594936709</v>
      </c>
      <c r="AC832">
        <v>0</v>
      </c>
    </row>
    <row r="833" spans="1:29" x14ac:dyDescent="0.35">
      <c r="A833">
        <v>2786</v>
      </c>
      <c r="B833">
        <v>2786</v>
      </c>
      <c r="C833">
        <v>34</v>
      </c>
      <c r="D833">
        <v>9</v>
      </c>
      <c r="E833">
        <v>31</v>
      </c>
      <c r="F833">
        <v>4</v>
      </c>
      <c r="G833">
        <v>1.1000000000000001</v>
      </c>
      <c r="H833">
        <v>3</v>
      </c>
      <c r="I833">
        <v>85</v>
      </c>
      <c r="J833">
        <v>1</v>
      </c>
      <c r="K833">
        <v>1</v>
      </c>
      <c r="L833">
        <v>92521</v>
      </c>
      <c r="M833">
        <v>0</v>
      </c>
      <c r="N833">
        <v>1</v>
      </c>
      <c r="O833">
        <v>1</v>
      </c>
      <c r="Q833">
        <v>0</v>
      </c>
      <c r="R833">
        <v>0</v>
      </c>
      <c r="S833">
        <v>0</v>
      </c>
      <c r="T833">
        <v>5</v>
      </c>
      <c r="U833">
        <v>1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</row>
    <row r="834" spans="1:29" x14ac:dyDescent="0.35">
      <c r="A834">
        <v>2788</v>
      </c>
      <c r="B834">
        <v>2788</v>
      </c>
      <c r="C834">
        <v>60</v>
      </c>
      <c r="D834">
        <v>34</v>
      </c>
      <c r="E834">
        <v>152</v>
      </c>
      <c r="F834">
        <v>2</v>
      </c>
      <c r="G834">
        <v>6.9</v>
      </c>
      <c r="H834">
        <v>1</v>
      </c>
      <c r="I834">
        <v>0</v>
      </c>
      <c r="J834">
        <v>0</v>
      </c>
      <c r="K834">
        <v>0</v>
      </c>
      <c r="L834">
        <v>92807</v>
      </c>
      <c r="M834">
        <v>0</v>
      </c>
      <c r="N834">
        <v>0</v>
      </c>
      <c r="O834">
        <v>0</v>
      </c>
      <c r="Q834">
        <v>1</v>
      </c>
      <c r="R834">
        <v>0</v>
      </c>
      <c r="S834">
        <v>0</v>
      </c>
      <c r="T834">
        <v>22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</row>
    <row r="835" spans="1:29" x14ac:dyDescent="0.35">
      <c r="A835">
        <v>2792</v>
      </c>
      <c r="B835">
        <v>2792</v>
      </c>
      <c r="C835">
        <v>44</v>
      </c>
      <c r="D835">
        <v>20</v>
      </c>
      <c r="E835">
        <v>182</v>
      </c>
      <c r="F835">
        <v>2</v>
      </c>
      <c r="G835">
        <v>7.6</v>
      </c>
      <c r="H835">
        <v>1</v>
      </c>
      <c r="I835">
        <v>0</v>
      </c>
      <c r="J835">
        <v>0</v>
      </c>
      <c r="K835">
        <v>0</v>
      </c>
      <c r="L835">
        <v>94710</v>
      </c>
      <c r="M835">
        <v>0</v>
      </c>
      <c r="N835">
        <v>0</v>
      </c>
      <c r="O835">
        <v>0</v>
      </c>
      <c r="Q835">
        <v>1</v>
      </c>
      <c r="R835">
        <v>0</v>
      </c>
      <c r="S835">
        <v>0</v>
      </c>
      <c r="T835">
        <v>22</v>
      </c>
      <c r="U835">
        <v>1</v>
      </c>
      <c r="V835">
        <v>0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</row>
    <row r="836" spans="1:29" x14ac:dyDescent="0.35">
      <c r="A836">
        <v>2793</v>
      </c>
      <c r="B836">
        <v>2793</v>
      </c>
      <c r="C836">
        <v>54</v>
      </c>
      <c r="D836">
        <v>30</v>
      </c>
      <c r="E836">
        <v>44</v>
      </c>
      <c r="F836">
        <v>3</v>
      </c>
      <c r="G836">
        <v>1.5</v>
      </c>
      <c r="H836">
        <v>1</v>
      </c>
      <c r="I836">
        <v>117</v>
      </c>
      <c r="J836">
        <v>1</v>
      </c>
      <c r="K836">
        <v>0</v>
      </c>
      <c r="L836">
        <v>95616</v>
      </c>
      <c r="M836">
        <v>0</v>
      </c>
      <c r="N836">
        <v>0</v>
      </c>
      <c r="O836">
        <v>0</v>
      </c>
      <c r="Q836">
        <v>1</v>
      </c>
      <c r="R836">
        <v>0</v>
      </c>
      <c r="S836">
        <v>0</v>
      </c>
      <c r="T836">
        <v>5</v>
      </c>
      <c r="U836">
        <v>1</v>
      </c>
      <c r="V836">
        <v>0</v>
      </c>
      <c r="W836">
        <v>1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</row>
    <row r="837" spans="1:29" x14ac:dyDescent="0.35">
      <c r="A837">
        <v>2796</v>
      </c>
      <c r="B837">
        <v>2796</v>
      </c>
      <c r="C837">
        <v>51</v>
      </c>
      <c r="D837">
        <v>25</v>
      </c>
      <c r="E837">
        <v>91</v>
      </c>
      <c r="F837">
        <v>1</v>
      </c>
      <c r="G837">
        <v>0.8</v>
      </c>
      <c r="H837">
        <v>3</v>
      </c>
      <c r="I837">
        <v>0</v>
      </c>
      <c r="J837">
        <v>0</v>
      </c>
      <c r="K837">
        <v>0</v>
      </c>
      <c r="L837">
        <v>92407</v>
      </c>
      <c r="M837">
        <v>0</v>
      </c>
      <c r="N837">
        <v>0</v>
      </c>
      <c r="O837">
        <v>0</v>
      </c>
      <c r="Q837">
        <v>0</v>
      </c>
      <c r="R837">
        <v>0</v>
      </c>
      <c r="S837">
        <v>0</v>
      </c>
      <c r="T837">
        <v>5</v>
      </c>
      <c r="U837">
        <v>1</v>
      </c>
      <c r="V837">
        <v>0</v>
      </c>
      <c r="W837">
        <v>1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</row>
    <row r="838" spans="1:29" x14ac:dyDescent="0.35">
      <c r="A838">
        <v>2798</v>
      </c>
      <c r="B838">
        <v>2798</v>
      </c>
      <c r="C838">
        <v>65</v>
      </c>
      <c r="D838">
        <v>39</v>
      </c>
      <c r="E838">
        <v>53</v>
      </c>
      <c r="F838">
        <v>1</v>
      </c>
      <c r="G838">
        <v>2.5</v>
      </c>
      <c r="H838">
        <v>3</v>
      </c>
      <c r="I838">
        <v>0</v>
      </c>
      <c r="J838">
        <v>1</v>
      </c>
      <c r="K838">
        <v>0</v>
      </c>
      <c r="L838">
        <v>94608</v>
      </c>
      <c r="M838">
        <v>0</v>
      </c>
      <c r="N838">
        <v>0</v>
      </c>
      <c r="O838">
        <v>0</v>
      </c>
      <c r="Q838">
        <v>0</v>
      </c>
      <c r="R838">
        <v>0</v>
      </c>
      <c r="S838">
        <v>0</v>
      </c>
      <c r="T838">
        <v>5</v>
      </c>
      <c r="U838">
        <v>1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</row>
    <row r="839" spans="1:29" x14ac:dyDescent="0.35">
      <c r="A839">
        <v>2801</v>
      </c>
      <c r="B839">
        <v>2801</v>
      </c>
      <c r="C839">
        <v>52</v>
      </c>
      <c r="D839">
        <v>26</v>
      </c>
      <c r="E839">
        <v>28</v>
      </c>
      <c r="F839">
        <v>2</v>
      </c>
      <c r="G839">
        <v>0.7</v>
      </c>
      <c r="H839">
        <v>2</v>
      </c>
      <c r="I839">
        <v>90</v>
      </c>
      <c r="J839">
        <v>1</v>
      </c>
      <c r="K839">
        <v>1</v>
      </c>
      <c r="L839">
        <v>93907</v>
      </c>
      <c r="M839">
        <v>0</v>
      </c>
      <c r="N839">
        <v>0</v>
      </c>
      <c r="O839">
        <v>0</v>
      </c>
      <c r="Q839">
        <v>0</v>
      </c>
      <c r="R839">
        <v>0</v>
      </c>
      <c r="S839">
        <v>0</v>
      </c>
      <c r="T839">
        <v>5</v>
      </c>
      <c r="U839">
        <v>1</v>
      </c>
      <c r="V839">
        <v>0</v>
      </c>
      <c r="W839">
        <v>1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</row>
    <row r="840" spans="1:29" x14ac:dyDescent="0.35">
      <c r="A840">
        <v>2802</v>
      </c>
      <c r="B840">
        <v>2802</v>
      </c>
      <c r="C840">
        <v>58</v>
      </c>
      <c r="D840">
        <v>34</v>
      </c>
      <c r="E840">
        <v>41</v>
      </c>
      <c r="F840">
        <v>4</v>
      </c>
      <c r="G840">
        <v>0.4</v>
      </c>
      <c r="H840">
        <v>1</v>
      </c>
      <c r="I840">
        <v>177</v>
      </c>
      <c r="J840">
        <v>1</v>
      </c>
      <c r="K840">
        <v>0</v>
      </c>
      <c r="L840">
        <v>91016</v>
      </c>
      <c r="M840">
        <v>0</v>
      </c>
      <c r="N840">
        <v>0</v>
      </c>
      <c r="O840">
        <v>0</v>
      </c>
      <c r="Q840">
        <v>1</v>
      </c>
      <c r="R840">
        <v>0</v>
      </c>
      <c r="S840">
        <v>0</v>
      </c>
      <c r="T840">
        <v>5</v>
      </c>
      <c r="U840">
        <v>1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</row>
    <row r="841" spans="1:29" x14ac:dyDescent="0.35">
      <c r="A841">
        <v>2803</v>
      </c>
      <c r="B841">
        <v>2803</v>
      </c>
      <c r="C841">
        <v>52</v>
      </c>
      <c r="D841">
        <v>22</v>
      </c>
      <c r="E841">
        <v>154</v>
      </c>
      <c r="F841">
        <v>1</v>
      </c>
      <c r="G841">
        <v>5</v>
      </c>
      <c r="H841">
        <v>3</v>
      </c>
      <c r="I841">
        <v>0</v>
      </c>
      <c r="J841">
        <v>1</v>
      </c>
      <c r="K841">
        <v>0</v>
      </c>
      <c r="L841">
        <v>90650</v>
      </c>
      <c r="M841">
        <v>1</v>
      </c>
      <c r="N841">
        <v>1</v>
      </c>
      <c r="O841">
        <v>1</v>
      </c>
      <c r="Q841">
        <v>0</v>
      </c>
      <c r="R841">
        <v>1</v>
      </c>
      <c r="S841">
        <v>1</v>
      </c>
      <c r="T841">
        <v>10</v>
      </c>
      <c r="U841">
        <v>0</v>
      </c>
      <c r="V841">
        <v>1</v>
      </c>
      <c r="W841">
        <v>0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1</v>
      </c>
    </row>
    <row r="842" spans="1:29" x14ac:dyDescent="0.35">
      <c r="A842">
        <v>2804</v>
      </c>
      <c r="B842">
        <v>2804</v>
      </c>
      <c r="C842">
        <v>43</v>
      </c>
      <c r="D842">
        <v>18</v>
      </c>
      <c r="E842">
        <v>41</v>
      </c>
      <c r="F842">
        <v>1</v>
      </c>
      <c r="G842">
        <v>0.3</v>
      </c>
      <c r="H842">
        <v>3</v>
      </c>
      <c r="I842">
        <v>0</v>
      </c>
      <c r="J842">
        <v>1</v>
      </c>
      <c r="K842">
        <v>0</v>
      </c>
      <c r="L842">
        <v>92831</v>
      </c>
      <c r="M842">
        <v>0</v>
      </c>
      <c r="N842">
        <v>0</v>
      </c>
      <c r="O842">
        <v>0</v>
      </c>
      <c r="Q842">
        <v>0</v>
      </c>
      <c r="R842">
        <v>0</v>
      </c>
      <c r="S842">
        <v>0</v>
      </c>
      <c r="T842">
        <v>5</v>
      </c>
      <c r="U842">
        <v>1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</row>
    <row r="843" spans="1:29" x14ac:dyDescent="0.35">
      <c r="A843">
        <v>2815</v>
      </c>
      <c r="B843">
        <v>2815</v>
      </c>
      <c r="C843">
        <v>54</v>
      </c>
      <c r="D843">
        <v>28</v>
      </c>
      <c r="E843">
        <v>53</v>
      </c>
      <c r="F843">
        <v>1</v>
      </c>
      <c r="G843">
        <v>2.2000000000000002</v>
      </c>
      <c r="H843">
        <v>3</v>
      </c>
      <c r="I843">
        <v>0</v>
      </c>
      <c r="J843">
        <v>1</v>
      </c>
      <c r="K843">
        <v>1</v>
      </c>
      <c r="L843">
        <v>94002</v>
      </c>
      <c r="M843">
        <v>0</v>
      </c>
      <c r="N843">
        <v>0</v>
      </c>
      <c r="O843">
        <v>0</v>
      </c>
      <c r="Q843">
        <v>0</v>
      </c>
      <c r="R843">
        <v>0</v>
      </c>
      <c r="S843">
        <v>0</v>
      </c>
      <c r="T843">
        <v>5</v>
      </c>
      <c r="U843">
        <v>1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</row>
    <row r="844" spans="1:29" x14ac:dyDescent="0.35">
      <c r="A844">
        <v>2816</v>
      </c>
      <c r="B844">
        <v>2816</v>
      </c>
      <c r="C844">
        <v>26</v>
      </c>
      <c r="D844">
        <v>1</v>
      </c>
      <c r="E844">
        <v>48</v>
      </c>
      <c r="F844">
        <v>3</v>
      </c>
      <c r="G844">
        <v>2.6</v>
      </c>
      <c r="H844">
        <v>3</v>
      </c>
      <c r="I844">
        <v>169</v>
      </c>
      <c r="J844">
        <v>0</v>
      </c>
      <c r="K844">
        <v>0</v>
      </c>
      <c r="L844">
        <v>94019</v>
      </c>
      <c r="M844">
        <v>0</v>
      </c>
      <c r="N844">
        <v>0</v>
      </c>
      <c r="O844">
        <v>0</v>
      </c>
      <c r="Q844">
        <v>0</v>
      </c>
      <c r="R844">
        <v>0</v>
      </c>
      <c r="S844">
        <v>0</v>
      </c>
      <c r="T844">
        <v>5</v>
      </c>
      <c r="U844">
        <v>1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</row>
    <row r="845" spans="1:29" x14ac:dyDescent="0.35">
      <c r="A845">
        <v>2827</v>
      </c>
      <c r="B845">
        <v>2827</v>
      </c>
      <c r="C845">
        <v>37</v>
      </c>
      <c r="D845">
        <v>11</v>
      </c>
      <c r="E845">
        <v>21</v>
      </c>
      <c r="F845">
        <v>3</v>
      </c>
      <c r="G845">
        <v>0.2</v>
      </c>
      <c r="H845">
        <v>2</v>
      </c>
      <c r="I845">
        <v>0</v>
      </c>
      <c r="J845">
        <v>1</v>
      </c>
      <c r="K845">
        <v>0</v>
      </c>
      <c r="L845">
        <v>94604</v>
      </c>
      <c r="M845">
        <v>0</v>
      </c>
      <c r="N845">
        <v>0</v>
      </c>
      <c r="O845">
        <v>0</v>
      </c>
      <c r="Q845">
        <v>0</v>
      </c>
      <c r="R845">
        <v>0</v>
      </c>
      <c r="S845">
        <v>0</v>
      </c>
      <c r="T845">
        <v>5</v>
      </c>
      <c r="U845">
        <v>1</v>
      </c>
      <c r="V845">
        <v>0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</row>
    <row r="846" spans="1:29" x14ac:dyDescent="0.35">
      <c r="A846">
        <v>2828</v>
      </c>
      <c r="B846">
        <v>2828</v>
      </c>
      <c r="C846">
        <v>37</v>
      </c>
      <c r="D846">
        <v>11</v>
      </c>
      <c r="E846">
        <v>84</v>
      </c>
      <c r="F846">
        <v>4</v>
      </c>
      <c r="G846">
        <v>2.2000000000000002</v>
      </c>
      <c r="H846">
        <v>2</v>
      </c>
      <c r="I846">
        <v>0</v>
      </c>
      <c r="J846">
        <v>1</v>
      </c>
      <c r="K846">
        <v>1</v>
      </c>
      <c r="L846">
        <v>90266</v>
      </c>
      <c r="M846">
        <v>0</v>
      </c>
      <c r="N846">
        <v>0</v>
      </c>
      <c r="O846">
        <v>0</v>
      </c>
      <c r="Q846">
        <v>0</v>
      </c>
      <c r="R846">
        <v>0</v>
      </c>
      <c r="S846">
        <v>0</v>
      </c>
      <c r="T846">
        <v>5</v>
      </c>
      <c r="U846">
        <v>1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</row>
    <row r="847" spans="1:29" x14ac:dyDescent="0.35">
      <c r="A847">
        <v>2829</v>
      </c>
      <c r="B847">
        <v>2829</v>
      </c>
      <c r="C847">
        <v>35</v>
      </c>
      <c r="D847">
        <v>10</v>
      </c>
      <c r="E847">
        <v>64</v>
      </c>
      <c r="F847">
        <v>3</v>
      </c>
      <c r="G847">
        <v>0.7</v>
      </c>
      <c r="H847">
        <v>2</v>
      </c>
      <c r="I847">
        <v>230</v>
      </c>
      <c r="J847">
        <v>1</v>
      </c>
      <c r="K847">
        <v>0</v>
      </c>
      <c r="L847">
        <v>94306</v>
      </c>
      <c r="M847">
        <v>0</v>
      </c>
      <c r="N847">
        <v>0</v>
      </c>
      <c r="O847">
        <v>0</v>
      </c>
      <c r="Q847">
        <v>0</v>
      </c>
      <c r="R847">
        <v>0</v>
      </c>
      <c r="S847">
        <v>0</v>
      </c>
      <c r="T847">
        <v>5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</row>
    <row r="848" spans="1:29" x14ac:dyDescent="0.35">
      <c r="A848">
        <v>2830</v>
      </c>
      <c r="B848">
        <v>2830</v>
      </c>
      <c r="C848">
        <v>35</v>
      </c>
      <c r="D848">
        <v>9</v>
      </c>
      <c r="E848">
        <v>82</v>
      </c>
      <c r="F848">
        <v>1</v>
      </c>
      <c r="G848">
        <v>2.5</v>
      </c>
      <c r="H848">
        <v>1</v>
      </c>
      <c r="I848">
        <v>138</v>
      </c>
      <c r="J848">
        <v>0</v>
      </c>
      <c r="K848">
        <v>0</v>
      </c>
      <c r="L848">
        <v>94720</v>
      </c>
      <c r="M848">
        <v>0</v>
      </c>
      <c r="N848">
        <v>0</v>
      </c>
      <c r="O848">
        <v>0</v>
      </c>
      <c r="Q848">
        <v>1</v>
      </c>
      <c r="R848">
        <v>0</v>
      </c>
      <c r="S848">
        <v>0</v>
      </c>
      <c r="T848">
        <v>5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</row>
    <row r="849" spans="1:29" x14ac:dyDescent="0.35">
      <c r="A849">
        <v>2838</v>
      </c>
      <c r="B849">
        <v>2838</v>
      </c>
      <c r="C849">
        <v>39</v>
      </c>
      <c r="D849">
        <v>14</v>
      </c>
      <c r="E849">
        <v>54</v>
      </c>
      <c r="F849">
        <v>2</v>
      </c>
      <c r="G849">
        <v>1.1000000000000001</v>
      </c>
      <c r="H849">
        <v>2</v>
      </c>
      <c r="I849">
        <v>159</v>
      </c>
      <c r="J849">
        <v>0</v>
      </c>
      <c r="K849">
        <v>1</v>
      </c>
      <c r="L849">
        <v>92037</v>
      </c>
      <c r="M849">
        <v>0</v>
      </c>
      <c r="N849">
        <v>0</v>
      </c>
      <c r="O849">
        <v>0</v>
      </c>
      <c r="Q849">
        <v>0</v>
      </c>
      <c r="R849">
        <v>0</v>
      </c>
      <c r="S849">
        <v>0</v>
      </c>
      <c r="T849">
        <v>5</v>
      </c>
      <c r="U849">
        <v>1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</row>
    <row r="850" spans="1:29" x14ac:dyDescent="0.35">
      <c r="A850">
        <v>2843</v>
      </c>
      <c r="B850">
        <v>2843</v>
      </c>
      <c r="C850">
        <v>36</v>
      </c>
      <c r="D850">
        <v>11</v>
      </c>
      <c r="E850">
        <v>90</v>
      </c>
      <c r="F850">
        <v>1</v>
      </c>
      <c r="G850">
        <v>2.8</v>
      </c>
      <c r="H850">
        <v>1</v>
      </c>
      <c r="I850">
        <v>0</v>
      </c>
      <c r="J850">
        <v>1</v>
      </c>
      <c r="K850">
        <v>0</v>
      </c>
      <c r="L850">
        <v>94709</v>
      </c>
      <c r="M850">
        <v>0</v>
      </c>
      <c r="N850">
        <v>0</v>
      </c>
      <c r="O850">
        <v>0</v>
      </c>
      <c r="Q850">
        <v>1</v>
      </c>
      <c r="R850">
        <v>0</v>
      </c>
      <c r="S850">
        <v>0</v>
      </c>
      <c r="T850">
        <v>5</v>
      </c>
      <c r="U850">
        <v>1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</row>
    <row r="851" spans="1:29" x14ac:dyDescent="0.35">
      <c r="A851">
        <v>2844</v>
      </c>
      <c r="B851">
        <v>2844</v>
      </c>
      <c r="C851">
        <v>27</v>
      </c>
      <c r="D851">
        <v>3</v>
      </c>
      <c r="E851">
        <v>20</v>
      </c>
      <c r="F851">
        <v>4</v>
      </c>
      <c r="G851">
        <v>1</v>
      </c>
      <c r="H851">
        <v>1</v>
      </c>
      <c r="I851">
        <v>134</v>
      </c>
      <c r="J851">
        <v>1</v>
      </c>
      <c r="K851">
        <v>1</v>
      </c>
      <c r="L851">
        <v>95616</v>
      </c>
      <c r="M851">
        <v>0</v>
      </c>
      <c r="N851">
        <v>0</v>
      </c>
      <c r="O851">
        <v>0</v>
      </c>
      <c r="Q851">
        <v>1</v>
      </c>
      <c r="R851">
        <v>0</v>
      </c>
      <c r="S851">
        <v>0</v>
      </c>
      <c r="T851">
        <v>5</v>
      </c>
      <c r="U851">
        <v>1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</row>
    <row r="852" spans="1:29" x14ac:dyDescent="0.35">
      <c r="A852">
        <v>2847</v>
      </c>
      <c r="B852">
        <v>2847</v>
      </c>
      <c r="C852">
        <v>67</v>
      </c>
      <c r="D852">
        <v>43</v>
      </c>
      <c r="E852">
        <v>105</v>
      </c>
      <c r="F852">
        <v>4</v>
      </c>
      <c r="G852">
        <v>1.7</v>
      </c>
      <c r="H852">
        <v>2</v>
      </c>
      <c r="I852">
        <v>0</v>
      </c>
      <c r="J852">
        <v>1</v>
      </c>
      <c r="K852">
        <v>0</v>
      </c>
      <c r="L852">
        <v>93711</v>
      </c>
      <c r="M852">
        <v>0</v>
      </c>
      <c r="N852">
        <v>0</v>
      </c>
      <c r="O852">
        <v>0</v>
      </c>
      <c r="Q852">
        <v>0</v>
      </c>
      <c r="R852">
        <v>0</v>
      </c>
      <c r="S852">
        <v>0</v>
      </c>
      <c r="T852">
        <v>13</v>
      </c>
      <c r="U852">
        <v>0.88607594936708001</v>
      </c>
      <c r="V852">
        <v>0.11392405063291</v>
      </c>
      <c r="W852">
        <v>0.88607594936708001</v>
      </c>
      <c r="X852">
        <v>0.11392405063291</v>
      </c>
      <c r="Y852">
        <v>0.86842105263156999</v>
      </c>
      <c r="Z852">
        <v>0.13157894736841999</v>
      </c>
      <c r="AA852">
        <v>0.11392405063291999</v>
      </c>
      <c r="AB852">
        <v>-0.11392405063291</v>
      </c>
      <c r="AC852">
        <v>0</v>
      </c>
    </row>
    <row r="853" spans="1:29" x14ac:dyDescent="0.35">
      <c r="A853">
        <v>2849</v>
      </c>
      <c r="B853">
        <v>2849</v>
      </c>
      <c r="C853">
        <v>24</v>
      </c>
      <c r="D853">
        <v>-1</v>
      </c>
      <c r="E853">
        <v>78</v>
      </c>
      <c r="F853">
        <v>2</v>
      </c>
      <c r="G853">
        <v>1.8</v>
      </c>
      <c r="H853">
        <v>2</v>
      </c>
      <c r="I853">
        <v>0</v>
      </c>
      <c r="J853">
        <v>0</v>
      </c>
      <c r="K853">
        <v>0</v>
      </c>
      <c r="L853">
        <v>94720</v>
      </c>
      <c r="M853">
        <v>0</v>
      </c>
      <c r="N853">
        <v>0</v>
      </c>
      <c r="O853">
        <v>0</v>
      </c>
      <c r="Q853">
        <v>0</v>
      </c>
      <c r="R853">
        <v>0</v>
      </c>
      <c r="S853">
        <v>0</v>
      </c>
      <c r="T853">
        <v>5</v>
      </c>
      <c r="U853">
        <v>1</v>
      </c>
      <c r="V853">
        <v>0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</row>
    <row r="854" spans="1:29" x14ac:dyDescent="0.35">
      <c r="A854">
        <v>2853</v>
      </c>
      <c r="B854">
        <v>2853</v>
      </c>
      <c r="C854">
        <v>54</v>
      </c>
      <c r="D854">
        <v>29</v>
      </c>
      <c r="E854">
        <v>183</v>
      </c>
      <c r="F854">
        <v>1</v>
      </c>
      <c r="G854">
        <v>8.1</v>
      </c>
      <c r="H854">
        <v>1</v>
      </c>
      <c r="I854">
        <v>0</v>
      </c>
      <c r="J854">
        <v>1</v>
      </c>
      <c r="K854">
        <v>1</v>
      </c>
      <c r="L854">
        <v>93105</v>
      </c>
      <c r="M854">
        <v>0</v>
      </c>
      <c r="N854">
        <v>0</v>
      </c>
      <c r="O854">
        <v>0</v>
      </c>
      <c r="Q854">
        <v>1</v>
      </c>
      <c r="R854">
        <v>0</v>
      </c>
      <c r="S854">
        <v>0</v>
      </c>
      <c r="T854">
        <v>22</v>
      </c>
      <c r="U854">
        <v>1</v>
      </c>
      <c r="V854">
        <v>0</v>
      </c>
      <c r="W854">
        <v>1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</row>
    <row r="855" spans="1:29" x14ac:dyDescent="0.35">
      <c r="A855">
        <v>2859</v>
      </c>
      <c r="B855">
        <v>2859</v>
      </c>
      <c r="C855">
        <v>36</v>
      </c>
      <c r="D855">
        <v>11</v>
      </c>
      <c r="E855">
        <v>158</v>
      </c>
      <c r="F855">
        <v>2</v>
      </c>
      <c r="G855">
        <v>7.8</v>
      </c>
      <c r="H855">
        <v>1</v>
      </c>
      <c r="I855">
        <v>114</v>
      </c>
      <c r="J855">
        <v>1</v>
      </c>
      <c r="K855">
        <v>1</v>
      </c>
      <c r="L855">
        <v>95054</v>
      </c>
      <c r="M855">
        <v>0</v>
      </c>
      <c r="N855">
        <v>0</v>
      </c>
      <c r="O855">
        <v>0</v>
      </c>
      <c r="Q855">
        <v>1</v>
      </c>
      <c r="R855">
        <v>0</v>
      </c>
      <c r="S855">
        <v>0</v>
      </c>
      <c r="T855">
        <v>22</v>
      </c>
      <c r="U855">
        <v>1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</row>
    <row r="856" spans="1:29" x14ac:dyDescent="0.35">
      <c r="A856">
        <v>2863</v>
      </c>
      <c r="B856">
        <v>2863</v>
      </c>
      <c r="C856">
        <v>65</v>
      </c>
      <c r="D856">
        <v>39</v>
      </c>
      <c r="E856">
        <v>113</v>
      </c>
      <c r="F856">
        <v>4</v>
      </c>
      <c r="G856">
        <v>2.4</v>
      </c>
      <c r="H856">
        <v>3</v>
      </c>
      <c r="I856">
        <v>0</v>
      </c>
      <c r="J856">
        <v>1</v>
      </c>
      <c r="K856">
        <v>0</v>
      </c>
      <c r="L856">
        <v>92096</v>
      </c>
      <c r="M856">
        <v>0</v>
      </c>
      <c r="N856">
        <v>0</v>
      </c>
      <c r="O856">
        <v>0</v>
      </c>
      <c r="Q856">
        <v>0</v>
      </c>
      <c r="R856">
        <v>0</v>
      </c>
      <c r="S856">
        <v>0</v>
      </c>
      <c r="T856">
        <v>13</v>
      </c>
      <c r="U856">
        <v>0.88607594936708001</v>
      </c>
      <c r="V856">
        <v>0.11392405063291</v>
      </c>
      <c r="W856">
        <v>0.88607594936708001</v>
      </c>
      <c r="X856">
        <v>0.11392405063291</v>
      </c>
      <c r="Y856">
        <v>0.86842105263156999</v>
      </c>
      <c r="Z856">
        <v>0.13157894736841999</v>
      </c>
      <c r="AA856">
        <v>0.11392405063291999</v>
      </c>
      <c r="AB856">
        <v>-0.11392405063291</v>
      </c>
      <c r="AC856">
        <v>0</v>
      </c>
    </row>
    <row r="857" spans="1:29" x14ac:dyDescent="0.35">
      <c r="A857">
        <v>2865</v>
      </c>
      <c r="B857">
        <v>2865</v>
      </c>
      <c r="C857">
        <v>65</v>
      </c>
      <c r="D857">
        <v>41</v>
      </c>
      <c r="E857">
        <v>84</v>
      </c>
      <c r="F857">
        <v>2</v>
      </c>
      <c r="G857">
        <v>0</v>
      </c>
      <c r="H857">
        <v>3</v>
      </c>
      <c r="I857">
        <v>0</v>
      </c>
      <c r="J857">
        <v>1</v>
      </c>
      <c r="K857">
        <v>1</v>
      </c>
      <c r="L857">
        <v>95762</v>
      </c>
      <c r="M857">
        <v>0</v>
      </c>
      <c r="N857">
        <v>0</v>
      </c>
      <c r="O857">
        <v>0</v>
      </c>
      <c r="Q857">
        <v>0</v>
      </c>
      <c r="R857">
        <v>0</v>
      </c>
      <c r="S857">
        <v>0</v>
      </c>
      <c r="T857">
        <v>5</v>
      </c>
      <c r="U857">
        <v>1</v>
      </c>
      <c r="V857">
        <v>0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</row>
    <row r="858" spans="1:29" x14ac:dyDescent="0.35">
      <c r="A858">
        <v>2866</v>
      </c>
      <c r="B858">
        <v>2866</v>
      </c>
      <c r="C858">
        <v>59</v>
      </c>
      <c r="D858">
        <v>33</v>
      </c>
      <c r="E858">
        <v>23</v>
      </c>
      <c r="F858">
        <v>2</v>
      </c>
      <c r="G858">
        <v>0.2</v>
      </c>
      <c r="H858">
        <v>3</v>
      </c>
      <c r="I858">
        <v>0</v>
      </c>
      <c r="J858">
        <v>1</v>
      </c>
      <c r="K858">
        <v>0</v>
      </c>
      <c r="L858">
        <v>94002</v>
      </c>
      <c r="M858">
        <v>0</v>
      </c>
      <c r="N858">
        <v>0</v>
      </c>
      <c r="O858">
        <v>0</v>
      </c>
      <c r="Q858">
        <v>0</v>
      </c>
      <c r="R858">
        <v>0</v>
      </c>
      <c r="S858">
        <v>0</v>
      </c>
      <c r="T858">
        <v>5</v>
      </c>
      <c r="U858">
        <v>1</v>
      </c>
      <c r="V858">
        <v>0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</row>
    <row r="859" spans="1:29" x14ac:dyDescent="0.35">
      <c r="A859">
        <v>2868</v>
      </c>
      <c r="B859">
        <v>2868</v>
      </c>
      <c r="C859">
        <v>59</v>
      </c>
      <c r="D859">
        <v>33</v>
      </c>
      <c r="E859">
        <v>110</v>
      </c>
      <c r="F859">
        <v>3</v>
      </c>
      <c r="G859">
        <v>4.4000000000000004</v>
      </c>
      <c r="H859">
        <v>1</v>
      </c>
      <c r="I859">
        <v>264</v>
      </c>
      <c r="J859">
        <v>1</v>
      </c>
      <c r="K859">
        <v>0</v>
      </c>
      <c r="L859">
        <v>90007</v>
      </c>
      <c r="M859">
        <v>0</v>
      </c>
      <c r="N859">
        <v>0</v>
      </c>
      <c r="O859">
        <v>0</v>
      </c>
      <c r="Q859">
        <v>1</v>
      </c>
      <c r="R859">
        <v>0</v>
      </c>
      <c r="S859">
        <v>0</v>
      </c>
      <c r="T859">
        <v>24</v>
      </c>
      <c r="U859">
        <v>0.92857142857142005</v>
      </c>
      <c r="V859">
        <v>7.1428571428569995E-2</v>
      </c>
      <c r="W859">
        <v>0.92857142857142005</v>
      </c>
      <c r="X859">
        <v>7.1428571428569995E-2</v>
      </c>
      <c r="Y859">
        <v>0.85714285714284999</v>
      </c>
      <c r="Z859">
        <v>0.14285714285713999</v>
      </c>
      <c r="AA859">
        <v>7.1428571428579904E-2</v>
      </c>
      <c r="AB859">
        <v>-7.1428571428569995E-2</v>
      </c>
      <c r="AC859">
        <v>0</v>
      </c>
    </row>
    <row r="860" spans="1:29" x14ac:dyDescent="0.35">
      <c r="A860">
        <v>2871</v>
      </c>
      <c r="B860">
        <v>2871</v>
      </c>
      <c r="C860">
        <v>43</v>
      </c>
      <c r="D860">
        <v>17</v>
      </c>
      <c r="E860">
        <v>91</v>
      </c>
      <c r="F860">
        <v>1</v>
      </c>
      <c r="G860">
        <v>5.2</v>
      </c>
      <c r="H860">
        <v>1</v>
      </c>
      <c r="I860">
        <v>0</v>
      </c>
      <c r="J860">
        <v>0</v>
      </c>
      <c r="K860">
        <v>0</v>
      </c>
      <c r="L860">
        <v>95134</v>
      </c>
      <c r="M860">
        <v>0</v>
      </c>
      <c r="N860">
        <v>1</v>
      </c>
      <c r="O860">
        <v>0</v>
      </c>
      <c r="Q860">
        <v>1</v>
      </c>
      <c r="R860">
        <v>0</v>
      </c>
      <c r="S860">
        <v>0</v>
      </c>
      <c r="T860">
        <v>15</v>
      </c>
      <c r="U860">
        <v>0.91935483870967005</v>
      </c>
      <c r="V860">
        <v>8.0645161290319997E-2</v>
      </c>
      <c r="W860">
        <v>0.91935483870967005</v>
      </c>
      <c r="X860">
        <v>8.0645161290319997E-2</v>
      </c>
      <c r="Y860">
        <v>0.86</v>
      </c>
      <c r="Z860">
        <v>0.14000000000000001</v>
      </c>
      <c r="AA860">
        <v>8.0645161290329906E-2</v>
      </c>
      <c r="AB860">
        <v>-8.0645161290319997E-2</v>
      </c>
      <c r="AC860">
        <v>0</v>
      </c>
    </row>
    <row r="861" spans="1:29" x14ac:dyDescent="0.35">
      <c r="A861">
        <v>2872</v>
      </c>
      <c r="B861">
        <v>2872</v>
      </c>
      <c r="C861">
        <v>65</v>
      </c>
      <c r="D861">
        <v>39</v>
      </c>
      <c r="E861">
        <v>82</v>
      </c>
      <c r="F861">
        <v>4</v>
      </c>
      <c r="G861">
        <v>2.4</v>
      </c>
      <c r="H861">
        <v>3</v>
      </c>
      <c r="I861">
        <v>252</v>
      </c>
      <c r="J861">
        <v>1</v>
      </c>
      <c r="K861">
        <v>0</v>
      </c>
      <c r="L861">
        <v>94131</v>
      </c>
      <c r="M861">
        <v>0</v>
      </c>
      <c r="N861">
        <v>0</v>
      </c>
      <c r="O861">
        <v>0</v>
      </c>
      <c r="Q861">
        <v>0</v>
      </c>
      <c r="R861">
        <v>0</v>
      </c>
      <c r="S861">
        <v>0</v>
      </c>
      <c r="T861">
        <v>5</v>
      </c>
      <c r="U861">
        <v>1</v>
      </c>
      <c r="V861">
        <v>0</v>
      </c>
      <c r="W861">
        <v>1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</row>
    <row r="862" spans="1:29" x14ac:dyDescent="0.35">
      <c r="A862">
        <v>2879</v>
      </c>
      <c r="B862">
        <v>2879</v>
      </c>
      <c r="C862">
        <v>45</v>
      </c>
      <c r="D862">
        <v>19</v>
      </c>
      <c r="E862">
        <v>122</v>
      </c>
      <c r="F862">
        <v>4</v>
      </c>
      <c r="G862">
        <v>4.0999999999999996</v>
      </c>
      <c r="H862">
        <v>2</v>
      </c>
      <c r="I862">
        <v>0</v>
      </c>
      <c r="J862">
        <v>1</v>
      </c>
      <c r="K862">
        <v>0</v>
      </c>
      <c r="L862">
        <v>94590</v>
      </c>
      <c r="M862">
        <v>1</v>
      </c>
      <c r="N862">
        <v>0</v>
      </c>
      <c r="O862">
        <v>0</v>
      </c>
      <c r="Q862">
        <v>0</v>
      </c>
      <c r="R862">
        <v>1</v>
      </c>
      <c r="S862">
        <v>1</v>
      </c>
      <c r="T862">
        <v>10</v>
      </c>
      <c r="U862">
        <v>0</v>
      </c>
      <c r="V862">
        <v>1</v>
      </c>
      <c r="W862">
        <v>0</v>
      </c>
      <c r="X862">
        <v>1</v>
      </c>
      <c r="Y862">
        <v>0</v>
      </c>
      <c r="Z862">
        <v>1</v>
      </c>
      <c r="AA862">
        <v>0</v>
      </c>
      <c r="AB862">
        <v>0</v>
      </c>
      <c r="AC862">
        <v>1</v>
      </c>
    </row>
    <row r="863" spans="1:29" x14ac:dyDescent="0.35">
      <c r="A863">
        <v>2884</v>
      </c>
      <c r="B863">
        <v>2884</v>
      </c>
      <c r="C863">
        <v>40</v>
      </c>
      <c r="D863">
        <v>14</v>
      </c>
      <c r="E863">
        <v>92</v>
      </c>
      <c r="F863">
        <v>4</v>
      </c>
      <c r="G863">
        <v>1.4</v>
      </c>
      <c r="H863">
        <v>2</v>
      </c>
      <c r="I863">
        <v>0</v>
      </c>
      <c r="J863">
        <v>1</v>
      </c>
      <c r="K863">
        <v>0</v>
      </c>
      <c r="L863">
        <v>90024</v>
      </c>
      <c r="M863">
        <v>0</v>
      </c>
      <c r="N863">
        <v>0</v>
      </c>
      <c r="O863">
        <v>0</v>
      </c>
      <c r="Q863">
        <v>0</v>
      </c>
      <c r="R863">
        <v>0</v>
      </c>
      <c r="S863">
        <v>0</v>
      </c>
      <c r="T863">
        <v>5</v>
      </c>
      <c r="U863">
        <v>1</v>
      </c>
      <c r="V863">
        <v>0</v>
      </c>
      <c r="W863">
        <v>1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</row>
    <row r="864" spans="1:29" x14ac:dyDescent="0.35">
      <c r="A864">
        <v>2887</v>
      </c>
      <c r="B864">
        <v>2887</v>
      </c>
      <c r="C864">
        <v>50</v>
      </c>
      <c r="D864">
        <v>25</v>
      </c>
      <c r="E864">
        <v>58</v>
      </c>
      <c r="F864">
        <v>1</v>
      </c>
      <c r="G864">
        <v>1.3</v>
      </c>
      <c r="H864">
        <v>2</v>
      </c>
      <c r="I864">
        <v>0</v>
      </c>
      <c r="J864">
        <v>1</v>
      </c>
      <c r="K864">
        <v>0</v>
      </c>
      <c r="L864">
        <v>93940</v>
      </c>
      <c r="M864">
        <v>0</v>
      </c>
      <c r="N864">
        <v>0</v>
      </c>
      <c r="O864">
        <v>0</v>
      </c>
      <c r="Q864">
        <v>0</v>
      </c>
      <c r="R864">
        <v>0</v>
      </c>
      <c r="S864">
        <v>0</v>
      </c>
      <c r="T864">
        <v>5</v>
      </c>
      <c r="U864">
        <v>1</v>
      </c>
      <c r="V864">
        <v>0</v>
      </c>
      <c r="W864">
        <v>1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</row>
    <row r="865" spans="1:29" x14ac:dyDescent="0.35">
      <c r="A865">
        <v>2896</v>
      </c>
      <c r="B865">
        <v>2896</v>
      </c>
      <c r="C865">
        <v>60</v>
      </c>
      <c r="D865">
        <v>36</v>
      </c>
      <c r="E865">
        <v>39</v>
      </c>
      <c r="F865">
        <v>4</v>
      </c>
      <c r="G865">
        <v>1.3</v>
      </c>
      <c r="H865">
        <v>2</v>
      </c>
      <c r="I865">
        <v>140</v>
      </c>
      <c r="J865">
        <v>1</v>
      </c>
      <c r="K865">
        <v>0</v>
      </c>
      <c r="L865">
        <v>94501</v>
      </c>
      <c r="M865">
        <v>0</v>
      </c>
      <c r="N865">
        <v>0</v>
      </c>
      <c r="O865">
        <v>0</v>
      </c>
      <c r="Q865">
        <v>0</v>
      </c>
      <c r="R865">
        <v>0</v>
      </c>
      <c r="S865">
        <v>0</v>
      </c>
      <c r="T865">
        <v>5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</row>
    <row r="866" spans="1:29" x14ac:dyDescent="0.35">
      <c r="A866">
        <v>2897</v>
      </c>
      <c r="B866">
        <v>2897</v>
      </c>
      <c r="C866">
        <v>54</v>
      </c>
      <c r="D866">
        <v>28</v>
      </c>
      <c r="E866">
        <v>81</v>
      </c>
      <c r="F866">
        <v>3</v>
      </c>
      <c r="G866">
        <v>0.8</v>
      </c>
      <c r="H866">
        <v>1</v>
      </c>
      <c r="I866">
        <v>0</v>
      </c>
      <c r="J866">
        <v>0</v>
      </c>
      <c r="K866">
        <v>0</v>
      </c>
      <c r="L866">
        <v>94720</v>
      </c>
      <c r="M866">
        <v>0</v>
      </c>
      <c r="N866">
        <v>0</v>
      </c>
      <c r="O866">
        <v>0</v>
      </c>
      <c r="Q866">
        <v>1</v>
      </c>
      <c r="R866">
        <v>0</v>
      </c>
      <c r="S866">
        <v>0</v>
      </c>
      <c r="T866">
        <v>5</v>
      </c>
      <c r="U866">
        <v>1</v>
      </c>
      <c r="V866">
        <v>0</v>
      </c>
      <c r="W866">
        <v>1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</row>
    <row r="867" spans="1:29" x14ac:dyDescent="0.35">
      <c r="A867">
        <v>2900</v>
      </c>
      <c r="B867">
        <v>2900</v>
      </c>
      <c r="C867">
        <v>42</v>
      </c>
      <c r="D867">
        <v>18</v>
      </c>
      <c r="E867">
        <v>114</v>
      </c>
      <c r="F867">
        <v>1</v>
      </c>
      <c r="G867">
        <v>0.3</v>
      </c>
      <c r="H867">
        <v>1</v>
      </c>
      <c r="I867">
        <v>0</v>
      </c>
      <c r="J867">
        <v>0</v>
      </c>
      <c r="K867">
        <v>0</v>
      </c>
      <c r="L867">
        <v>94305</v>
      </c>
      <c r="M867">
        <v>0</v>
      </c>
      <c r="N867">
        <v>0</v>
      </c>
      <c r="O867">
        <v>0</v>
      </c>
      <c r="Q867">
        <v>1</v>
      </c>
      <c r="R867">
        <v>0</v>
      </c>
      <c r="S867">
        <v>0</v>
      </c>
      <c r="T867">
        <v>22</v>
      </c>
      <c r="U867">
        <v>1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</row>
    <row r="868" spans="1:29" x14ac:dyDescent="0.35">
      <c r="A868">
        <v>2902</v>
      </c>
      <c r="B868">
        <v>2902</v>
      </c>
      <c r="C868">
        <v>54</v>
      </c>
      <c r="D868">
        <v>30</v>
      </c>
      <c r="E868">
        <v>21</v>
      </c>
      <c r="F868">
        <v>1</v>
      </c>
      <c r="G868">
        <v>0.1</v>
      </c>
      <c r="H868">
        <v>2</v>
      </c>
      <c r="I868">
        <v>76</v>
      </c>
      <c r="J868">
        <v>1</v>
      </c>
      <c r="K868">
        <v>0</v>
      </c>
      <c r="L868">
        <v>95351</v>
      </c>
      <c r="M868">
        <v>0</v>
      </c>
      <c r="N868">
        <v>0</v>
      </c>
      <c r="O868">
        <v>0</v>
      </c>
      <c r="Q868">
        <v>0</v>
      </c>
      <c r="R868">
        <v>0</v>
      </c>
      <c r="S868">
        <v>0</v>
      </c>
      <c r="T868">
        <v>5</v>
      </c>
      <c r="U868">
        <v>1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</row>
    <row r="869" spans="1:29" x14ac:dyDescent="0.35">
      <c r="A869">
        <v>2907</v>
      </c>
      <c r="B869">
        <v>2907</v>
      </c>
      <c r="C869">
        <v>35</v>
      </c>
      <c r="D869">
        <v>8</v>
      </c>
      <c r="E869">
        <v>55</v>
      </c>
      <c r="F869">
        <v>2</v>
      </c>
      <c r="G869">
        <v>1.67</v>
      </c>
      <c r="H869">
        <v>2</v>
      </c>
      <c r="I869">
        <v>0</v>
      </c>
      <c r="J869">
        <v>1</v>
      </c>
      <c r="K869">
        <v>0</v>
      </c>
      <c r="L869">
        <v>92870</v>
      </c>
      <c r="M869">
        <v>0</v>
      </c>
      <c r="N869">
        <v>0</v>
      </c>
      <c r="O869">
        <v>0</v>
      </c>
      <c r="Q869">
        <v>0</v>
      </c>
      <c r="R869">
        <v>0</v>
      </c>
      <c r="S869">
        <v>0</v>
      </c>
      <c r="T869">
        <v>5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</row>
    <row r="870" spans="1:29" x14ac:dyDescent="0.35">
      <c r="A870">
        <v>2910</v>
      </c>
      <c r="B870">
        <v>2910</v>
      </c>
      <c r="C870">
        <v>35</v>
      </c>
      <c r="D870">
        <v>8</v>
      </c>
      <c r="E870">
        <v>44</v>
      </c>
      <c r="F870">
        <v>2</v>
      </c>
      <c r="G870">
        <v>1.67</v>
      </c>
      <c r="H870">
        <v>2</v>
      </c>
      <c r="I870">
        <v>0</v>
      </c>
      <c r="J870">
        <v>0</v>
      </c>
      <c r="K870">
        <v>1</v>
      </c>
      <c r="L870">
        <v>94590</v>
      </c>
      <c r="M870">
        <v>0</v>
      </c>
      <c r="N870">
        <v>1</v>
      </c>
      <c r="O870">
        <v>0</v>
      </c>
      <c r="Q870">
        <v>0</v>
      </c>
      <c r="R870">
        <v>0</v>
      </c>
      <c r="S870">
        <v>0</v>
      </c>
      <c r="T870">
        <v>5</v>
      </c>
      <c r="U870">
        <v>1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</row>
    <row r="871" spans="1:29" x14ac:dyDescent="0.35">
      <c r="A871">
        <v>2918</v>
      </c>
      <c r="B871">
        <v>2918</v>
      </c>
      <c r="C871">
        <v>55</v>
      </c>
      <c r="D871">
        <v>31</v>
      </c>
      <c r="E871">
        <v>34</v>
      </c>
      <c r="F871">
        <v>3</v>
      </c>
      <c r="G871">
        <v>1.5</v>
      </c>
      <c r="H871">
        <v>1</v>
      </c>
      <c r="I871">
        <v>101</v>
      </c>
      <c r="J871">
        <v>1</v>
      </c>
      <c r="K871">
        <v>0</v>
      </c>
      <c r="L871">
        <v>94305</v>
      </c>
      <c r="M871">
        <v>0</v>
      </c>
      <c r="N871">
        <v>0</v>
      </c>
      <c r="O871">
        <v>0</v>
      </c>
      <c r="Q871">
        <v>1</v>
      </c>
      <c r="R871">
        <v>0</v>
      </c>
      <c r="S871">
        <v>0</v>
      </c>
      <c r="T871">
        <v>5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</row>
    <row r="872" spans="1:29" x14ac:dyDescent="0.35">
      <c r="A872">
        <v>2922</v>
      </c>
      <c r="B872">
        <v>2922</v>
      </c>
      <c r="C872">
        <v>50</v>
      </c>
      <c r="D872">
        <v>24</v>
      </c>
      <c r="E872">
        <v>95</v>
      </c>
      <c r="F872">
        <v>1</v>
      </c>
      <c r="G872">
        <v>0.3</v>
      </c>
      <c r="H872">
        <v>1</v>
      </c>
      <c r="I872">
        <v>262</v>
      </c>
      <c r="J872">
        <v>1</v>
      </c>
      <c r="K872">
        <v>0</v>
      </c>
      <c r="L872">
        <v>91401</v>
      </c>
      <c r="M872">
        <v>0</v>
      </c>
      <c r="N872">
        <v>0</v>
      </c>
      <c r="O872">
        <v>0</v>
      </c>
      <c r="Q872">
        <v>1</v>
      </c>
      <c r="R872">
        <v>0</v>
      </c>
      <c r="S872">
        <v>0</v>
      </c>
      <c r="T872">
        <v>5</v>
      </c>
      <c r="U872">
        <v>1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</row>
    <row r="873" spans="1:29" x14ac:dyDescent="0.35">
      <c r="A873">
        <v>2923</v>
      </c>
      <c r="B873">
        <v>2923</v>
      </c>
      <c r="C873">
        <v>52</v>
      </c>
      <c r="D873">
        <v>26</v>
      </c>
      <c r="E873">
        <v>49</v>
      </c>
      <c r="F873">
        <v>1</v>
      </c>
      <c r="G873">
        <v>1.4</v>
      </c>
      <c r="H873">
        <v>3</v>
      </c>
      <c r="I873">
        <v>0</v>
      </c>
      <c r="J873">
        <v>1</v>
      </c>
      <c r="K873">
        <v>0</v>
      </c>
      <c r="L873">
        <v>90011</v>
      </c>
      <c r="M873">
        <v>0</v>
      </c>
      <c r="N873">
        <v>0</v>
      </c>
      <c r="O873">
        <v>0</v>
      </c>
      <c r="Q873">
        <v>0</v>
      </c>
      <c r="R873">
        <v>0</v>
      </c>
      <c r="S873">
        <v>0</v>
      </c>
      <c r="T873">
        <v>5</v>
      </c>
      <c r="U873">
        <v>1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</row>
    <row r="874" spans="1:29" x14ac:dyDescent="0.35">
      <c r="A874">
        <v>2925</v>
      </c>
      <c r="B874">
        <v>2925</v>
      </c>
      <c r="C874">
        <v>51</v>
      </c>
      <c r="D874">
        <v>26</v>
      </c>
      <c r="E874">
        <v>98</v>
      </c>
      <c r="F874">
        <v>1</v>
      </c>
      <c r="G874">
        <v>1.3</v>
      </c>
      <c r="H874">
        <v>3</v>
      </c>
      <c r="I874">
        <v>0</v>
      </c>
      <c r="J874">
        <v>1</v>
      </c>
      <c r="K874">
        <v>1</v>
      </c>
      <c r="L874">
        <v>90024</v>
      </c>
      <c r="M874">
        <v>0</v>
      </c>
      <c r="N874">
        <v>0</v>
      </c>
      <c r="O874">
        <v>0</v>
      </c>
      <c r="Q874">
        <v>0</v>
      </c>
      <c r="R874">
        <v>0</v>
      </c>
      <c r="S874">
        <v>0</v>
      </c>
      <c r="T874">
        <v>5</v>
      </c>
      <c r="U874">
        <v>1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</row>
    <row r="875" spans="1:29" x14ac:dyDescent="0.35">
      <c r="A875">
        <v>2926</v>
      </c>
      <c r="B875">
        <v>2926</v>
      </c>
      <c r="C875">
        <v>59</v>
      </c>
      <c r="D875">
        <v>35</v>
      </c>
      <c r="E875">
        <v>42</v>
      </c>
      <c r="F875">
        <v>4</v>
      </c>
      <c r="G875">
        <v>0.4</v>
      </c>
      <c r="H875">
        <v>1</v>
      </c>
      <c r="I875">
        <v>0</v>
      </c>
      <c r="J875">
        <v>1</v>
      </c>
      <c r="K875">
        <v>0</v>
      </c>
      <c r="L875">
        <v>91711</v>
      </c>
      <c r="M875">
        <v>0</v>
      </c>
      <c r="N875">
        <v>0</v>
      </c>
      <c r="O875">
        <v>0</v>
      </c>
      <c r="Q875">
        <v>1</v>
      </c>
      <c r="R875">
        <v>0</v>
      </c>
      <c r="S875">
        <v>0</v>
      </c>
      <c r="T875">
        <v>5</v>
      </c>
      <c r="U875">
        <v>1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</row>
    <row r="876" spans="1:29" x14ac:dyDescent="0.35">
      <c r="A876">
        <v>2927</v>
      </c>
      <c r="B876">
        <v>2927</v>
      </c>
      <c r="C876">
        <v>53</v>
      </c>
      <c r="D876">
        <v>28</v>
      </c>
      <c r="E876">
        <v>44</v>
      </c>
      <c r="F876">
        <v>2</v>
      </c>
      <c r="G876">
        <v>0.6</v>
      </c>
      <c r="H876">
        <v>3</v>
      </c>
      <c r="I876">
        <v>0</v>
      </c>
      <c r="J876">
        <v>1</v>
      </c>
      <c r="K876">
        <v>1</v>
      </c>
      <c r="L876">
        <v>92152</v>
      </c>
      <c r="M876">
        <v>0</v>
      </c>
      <c r="N876">
        <v>0</v>
      </c>
      <c r="O876">
        <v>0</v>
      </c>
      <c r="Q876">
        <v>0</v>
      </c>
      <c r="R876">
        <v>0</v>
      </c>
      <c r="S876">
        <v>0</v>
      </c>
      <c r="T876">
        <v>5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</row>
    <row r="877" spans="1:29" x14ac:dyDescent="0.35">
      <c r="A877">
        <v>2936</v>
      </c>
      <c r="B877">
        <v>2936</v>
      </c>
      <c r="C877">
        <v>53</v>
      </c>
      <c r="D877">
        <v>23</v>
      </c>
      <c r="E877">
        <v>80</v>
      </c>
      <c r="F877">
        <v>1</v>
      </c>
      <c r="G877">
        <v>3</v>
      </c>
      <c r="H877">
        <v>3</v>
      </c>
      <c r="I877">
        <v>0</v>
      </c>
      <c r="J877">
        <v>1</v>
      </c>
      <c r="K877">
        <v>1</v>
      </c>
      <c r="L877">
        <v>93023</v>
      </c>
      <c r="M877">
        <v>0</v>
      </c>
      <c r="N877">
        <v>0</v>
      </c>
      <c r="O877">
        <v>0</v>
      </c>
      <c r="Q877">
        <v>0</v>
      </c>
      <c r="R877">
        <v>0</v>
      </c>
      <c r="S877">
        <v>0</v>
      </c>
      <c r="T877">
        <v>15</v>
      </c>
      <c r="U877">
        <v>0.91935483870967005</v>
      </c>
      <c r="V877">
        <v>8.0645161290319997E-2</v>
      </c>
      <c r="W877">
        <v>0.91935483870967005</v>
      </c>
      <c r="X877">
        <v>8.0645161290319997E-2</v>
      </c>
      <c r="Y877">
        <v>0.86</v>
      </c>
      <c r="Z877">
        <v>0.14000000000000001</v>
      </c>
      <c r="AA877">
        <v>8.0645161290329906E-2</v>
      </c>
      <c r="AB877">
        <v>-8.0645161290319997E-2</v>
      </c>
      <c r="AC877">
        <v>0</v>
      </c>
    </row>
    <row r="878" spans="1:29" x14ac:dyDescent="0.35">
      <c r="A878">
        <v>2939</v>
      </c>
      <c r="B878">
        <v>2939</v>
      </c>
      <c r="C878">
        <v>33</v>
      </c>
      <c r="D878">
        <v>9</v>
      </c>
      <c r="E878">
        <v>61</v>
      </c>
      <c r="F878">
        <v>3</v>
      </c>
      <c r="G878">
        <v>2.6</v>
      </c>
      <c r="H878">
        <v>2</v>
      </c>
      <c r="I878">
        <v>0</v>
      </c>
      <c r="J878">
        <v>1</v>
      </c>
      <c r="K878">
        <v>0</v>
      </c>
      <c r="L878">
        <v>93943</v>
      </c>
      <c r="M878">
        <v>0</v>
      </c>
      <c r="N878">
        <v>0</v>
      </c>
      <c r="O878">
        <v>0</v>
      </c>
      <c r="Q878">
        <v>0</v>
      </c>
      <c r="R878">
        <v>0</v>
      </c>
      <c r="S878">
        <v>0</v>
      </c>
      <c r="T878">
        <v>5</v>
      </c>
      <c r="U878">
        <v>1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</row>
    <row r="879" spans="1:29" x14ac:dyDescent="0.35">
      <c r="A879">
        <v>2946</v>
      </c>
      <c r="B879">
        <v>2946</v>
      </c>
      <c r="C879">
        <v>45</v>
      </c>
      <c r="D879">
        <v>19</v>
      </c>
      <c r="E879">
        <v>30</v>
      </c>
      <c r="F879">
        <v>3</v>
      </c>
      <c r="G879">
        <v>0.5</v>
      </c>
      <c r="H879">
        <v>2</v>
      </c>
      <c r="I879">
        <v>0</v>
      </c>
      <c r="J879">
        <v>1</v>
      </c>
      <c r="K879">
        <v>1</v>
      </c>
      <c r="L879">
        <v>94305</v>
      </c>
      <c r="M879">
        <v>0</v>
      </c>
      <c r="N879">
        <v>0</v>
      </c>
      <c r="O879">
        <v>0</v>
      </c>
      <c r="Q879">
        <v>0</v>
      </c>
      <c r="R879">
        <v>0</v>
      </c>
      <c r="S879">
        <v>0</v>
      </c>
      <c r="T879">
        <v>5</v>
      </c>
      <c r="U879">
        <v>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</row>
    <row r="880" spans="1:29" x14ac:dyDescent="0.35">
      <c r="A880">
        <v>2952</v>
      </c>
      <c r="B880">
        <v>2952</v>
      </c>
      <c r="C880">
        <v>26</v>
      </c>
      <c r="D880">
        <v>2</v>
      </c>
      <c r="E880">
        <v>132</v>
      </c>
      <c r="F880">
        <v>2</v>
      </c>
      <c r="G880">
        <v>2.4</v>
      </c>
      <c r="H880">
        <v>3</v>
      </c>
      <c r="I880">
        <v>0</v>
      </c>
      <c r="J880">
        <v>0</v>
      </c>
      <c r="K880">
        <v>1</v>
      </c>
      <c r="L880">
        <v>94720</v>
      </c>
      <c r="M880">
        <v>1</v>
      </c>
      <c r="N880">
        <v>0</v>
      </c>
      <c r="O880">
        <v>0</v>
      </c>
      <c r="Q880">
        <v>0</v>
      </c>
      <c r="R880">
        <v>1</v>
      </c>
      <c r="S880">
        <v>1</v>
      </c>
      <c r="T880">
        <v>10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1</v>
      </c>
    </row>
    <row r="881" spans="1:29" x14ac:dyDescent="0.35">
      <c r="A881">
        <v>2953</v>
      </c>
      <c r="B881">
        <v>2953</v>
      </c>
      <c r="C881">
        <v>33</v>
      </c>
      <c r="D881">
        <v>8</v>
      </c>
      <c r="E881">
        <v>182</v>
      </c>
      <c r="F881">
        <v>1</v>
      </c>
      <c r="G881">
        <v>8.6</v>
      </c>
      <c r="H881">
        <v>1</v>
      </c>
      <c r="I881">
        <v>0</v>
      </c>
      <c r="J881">
        <v>0</v>
      </c>
      <c r="K881">
        <v>0</v>
      </c>
      <c r="L881">
        <v>94065</v>
      </c>
      <c r="M881">
        <v>0</v>
      </c>
      <c r="N881">
        <v>0</v>
      </c>
      <c r="O881">
        <v>0</v>
      </c>
      <c r="Q881">
        <v>1</v>
      </c>
      <c r="R881">
        <v>0</v>
      </c>
      <c r="S881">
        <v>0</v>
      </c>
      <c r="T881">
        <v>22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</row>
    <row r="882" spans="1:29" x14ac:dyDescent="0.35">
      <c r="A882">
        <v>2960</v>
      </c>
      <c r="B882">
        <v>2960</v>
      </c>
      <c r="C882">
        <v>38</v>
      </c>
      <c r="D882">
        <v>12</v>
      </c>
      <c r="E882">
        <v>43</v>
      </c>
      <c r="F882">
        <v>4</v>
      </c>
      <c r="G882">
        <v>0.2</v>
      </c>
      <c r="H882">
        <v>1</v>
      </c>
      <c r="I882">
        <v>0</v>
      </c>
      <c r="J882">
        <v>0</v>
      </c>
      <c r="K882">
        <v>0</v>
      </c>
      <c r="L882">
        <v>94305</v>
      </c>
      <c r="M882">
        <v>0</v>
      </c>
      <c r="N882">
        <v>0</v>
      </c>
      <c r="O882">
        <v>0</v>
      </c>
      <c r="Q882">
        <v>1</v>
      </c>
      <c r="R882">
        <v>0</v>
      </c>
      <c r="S882">
        <v>0</v>
      </c>
      <c r="T882">
        <v>5</v>
      </c>
      <c r="U882">
        <v>1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</row>
    <row r="883" spans="1:29" x14ac:dyDescent="0.35">
      <c r="A883">
        <v>2963</v>
      </c>
      <c r="B883">
        <v>2963</v>
      </c>
      <c r="C883">
        <v>23</v>
      </c>
      <c r="D883">
        <v>-2</v>
      </c>
      <c r="E883">
        <v>81</v>
      </c>
      <c r="F883">
        <v>2</v>
      </c>
      <c r="G883">
        <v>1.8</v>
      </c>
      <c r="H883">
        <v>2</v>
      </c>
      <c r="I883">
        <v>0</v>
      </c>
      <c r="J883">
        <v>0</v>
      </c>
      <c r="K883">
        <v>0</v>
      </c>
      <c r="L883">
        <v>91711</v>
      </c>
      <c r="M883">
        <v>0</v>
      </c>
      <c r="N883">
        <v>0</v>
      </c>
      <c r="O883">
        <v>0</v>
      </c>
      <c r="Q883">
        <v>0</v>
      </c>
      <c r="R883">
        <v>0</v>
      </c>
      <c r="S883">
        <v>0</v>
      </c>
      <c r="T883">
        <v>5</v>
      </c>
      <c r="U883">
        <v>1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</row>
    <row r="884" spans="1:29" x14ac:dyDescent="0.35">
      <c r="A884">
        <v>2965</v>
      </c>
      <c r="B884">
        <v>2965</v>
      </c>
      <c r="C884">
        <v>35</v>
      </c>
      <c r="D884">
        <v>10</v>
      </c>
      <c r="E884">
        <v>73</v>
      </c>
      <c r="F884">
        <v>3</v>
      </c>
      <c r="G884">
        <v>2.2999999999999998</v>
      </c>
      <c r="H884">
        <v>1</v>
      </c>
      <c r="I884">
        <v>0</v>
      </c>
      <c r="J884">
        <v>1</v>
      </c>
      <c r="K884">
        <v>0</v>
      </c>
      <c r="L884">
        <v>93943</v>
      </c>
      <c r="M884">
        <v>0</v>
      </c>
      <c r="N884">
        <v>0</v>
      </c>
      <c r="O884">
        <v>0</v>
      </c>
      <c r="Q884">
        <v>1</v>
      </c>
      <c r="R884">
        <v>0</v>
      </c>
      <c r="S884">
        <v>0</v>
      </c>
      <c r="T884">
        <v>5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</row>
    <row r="885" spans="1:29" x14ac:dyDescent="0.35">
      <c r="A885">
        <v>2967</v>
      </c>
      <c r="B885">
        <v>2967</v>
      </c>
      <c r="C885">
        <v>32</v>
      </c>
      <c r="D885">
        <v>7</v>
      </c>
      <c r="E885">
        <v>84</v>
      </c>
      <c r="F885">
        <v>3</v>
      </c>
      <c r="G885">
        <v>0.6</v>
      </c>
      <c r="H885">
        <v>2</v>
      </c>
      <c r="I885">
        <v>0</v>
      </c>
      <c r="J885">
        <v>1</v>
      </c>
      <c r="K885">
        <v>1</v>
      </c>
      <c r="L885">
        <v>91320</v>
      </c>
      <c r="M885">
        <v>0</v>
      </c>
      <c r="N885">
        <v>0</v>
      </c>
      <c r="O885">
        <v>0</v>
      </c>
      <c r="Q885">
        <v>0</v>
      </c>
      <c r="R885">
        <v>0</v>
      </c>
      <c r="S885">
        <v>0</v>
      </c>
      <c r="T885">
        <v>5</v>
      </c>
      <c r="U885">
        <v>1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</row>
    <row r="886" spans="1:29" x14ac:dyDescent="0.35">
      <c r="A886">
        <v>2971</v>
      </c>
      <c r="B886">
        <v>2971</v>
      </c>
      <c r="C886">
        <v>54</v>
      </c>
      <c r="D886">
        <v>30</v>
      </c>
      <c r="E886">
        <v>121</v>
      </c>
      <c r="F886">
        <v>2</v>
      </c>
      <c r="G886">
        <v>1.1000000000000001</v>
      </c>
      <c r="H886">
        <v>3</v>
      </c>
      <c r="I886">
        <v>0</v>
      </c>
      <c r="J886">
        <v>0</v>
      </c>
      <c r="K886">
        <v>0</v>
      </c>
      <c r="L886">
        <v>95039</v>
      </c>
      <c r="M886">
        <v>1</v>
      </c>
      <c r="N886">
        <v>1</v>
      </c>
      <c r="O886">
        <v>0</v>
      </c>
      <c r="Q886">
        <v>0</v>
      </c>
      <c r="R886">
        <v>1</v>
      </c>
      <c r="S886">
        <v>1</v>
      </c>
      <c r="T886">
        <v>10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1</v>
      </c>
      <c r="AA886">
        <v>0</v>
      </c>
      <c r="AB886">
        <v>0</v>
      </c>
      <c r="AC886">
        <v>1</v>
      </c>
    </row>
    <row r="887" spans="1:29" x14ac:dyDescent="0.35">
      <c r="A887">
        <v>2974</v>
      </c>
      <c r="B887">
        <v>2974</v>
      </c>
      <c r="C887">
        <v>47</v>
      </c>
      <c r="D887">
        <v>22</v>
      </c>
      <c r="E887">
        <v>82</v>
      </c>
      <c r="F887">
        <v>1</v>
      </c>
      <c r="G887">
        <v>2.9</v>
      </c>
      <c r="H887">
        <v>1</v>
      </c>
      <c r="I887">
        <v>276</v>
      </c>
      <c r="J887">
        <v>1</v>
      </c>
      <c r="K887">
        <v>0</v>
      </c>
      <c r="L887">
        <v>92084</v>
      </c>
      <c r="M887">
        <v>0</v>
      </c>
      <c r="N887">
        <v>0</v>
      </c>
      <c r="O887">
        <v>0</v>
      </c>
      <c r="Q887">
        <v>1</v>
      </c>
      <c r="R887">
        <v>0</v>
      </c>
      <c r="S887">
        <v>0</v>
      </c>
      <c r="T887">
        <v>5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</row>
    <row r="888" spans="1:29" x14ac:dyDescent="0.35">
      <c r="A888">
        <v>2980</v>
      </c>
      <c r="B888">
        <v>2980</v>
      </c>
      <c r="C888">
        <v>57</v>
      </c>
      <c r="D888">
        <v>32</v>
      </c>
      <c r="E888">
        <v>102</v>
      </c>
      <c r="F888">
        <v>1</v>
      </c>
      <c r="G888">
        <v>2.6</v>
      </c>
      <c r="H888">
        <v>1</v>
      </c>
      <c r="I888">
        <v>0</v>
      </c>
      <c r="J888">
        <v>1</v>
      </c>
      <c r="K888">
        <v>0</v>
      </c>
      <c r="L888">
        <v>90210</v>
      </c>
      <c r="M888">
        <v>0</v>
      </c>
      <c r="N888">
        <v>0</v>
      </c>
      <c r="O888">
        <v>0</v>
      </c>
      <c r="Q888">
        <v>1</v>
      </c>
      <c r="R888">
        <v>0</v>
      </c>
      <c r="S888">
        <v>0</v>
      </c>
      <c r="T888">
        <v>25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</row>
    <row r="889" spans="1:29" x14ac:dyDescent="0.35">
      <c r="A889">
        <v>2981</v>
      </c>
      <c r="B889">
        <v>2981</v>
      </c>
      <c r="C889">
        <v>25</v>
      </c>
      <c r="D889">
        <v>-1</v>
      </c>
      <c r="E889">
        <v>53</v>
      </c>
      <c r="F889">
        <v>3</v>
      </c>
      <c r="G889">
        <v>2.4</v>
      </c>
      <c r="H889">
        <v>2</v>
      </c>
      <c r="I889">
        <v>0</v>
      </c>
      <c r="J889">
        <v>0</v>
      </c>
      <c r="K889">
        <v>0</v>
      </c>
      <c r="L889">
        <v>94305</v>
      </c>
      <c r="M889">
        <v>0</v>
      </c>
      <c r="N889">
        <v>0</v>
      </c>
      <c r="O889">
        <v>0</v>
      </c>
      <c r="Q889">
        <v>0</v>
      </c>
      <c r="R889">
        <v>0</v>
      </c>
      <c r="S889">
        <v>0</v>
      </c>
      <c r="T889">
        <v>5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</row>
    <row r="890" spans="1:29" x14ac:dyDescent="0.35">
      <c r="A890">
        <v>2987</v>
      </c>
      <c r="B890">
        <v>2987</v>
      </c>
      <c r="C890">
        <v>55</v>
      </c>
      <c r="D890">
        <v>30</v>
      </c>
      <c r="E890">
        <v>153</v>
      </c>
      <c r="F890">
        <v>2</v>
      </c>
      <c r="G890">
        <v>2.8</v>
      </c>
      <c r="H890">
        <v>2</v>
      </c>
      <c r="I890">
        <v>0</v>
      </c>
      <c r="J890">
        <v>1</v>
      </c>
      <c r="K890">
        <v>0</v>
      </c>
      <c r="L890">
        <v>94305</v>
      </c>
      <c r="M890">
        <v>1</v>
      </c>
      <c r="N890">
        <v>1</v>
      </c>
      <c r="O890">
        <v>1</v>
      </c>
      <c r="Q890">
        <v>0</v>
      </c>
      <c r="R890">
        <v>1</v>
      </c>
      <c r="S890">
        <v>1</v>
      </c>
      <c r="T890">
        <v>10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1</v>
      </c>
    </row>
    <row r="891" spans="1:29" x14ac:dyDescent="0.35">
      <c r="A891">
        <v>2990</v>
      </c>
      <c r="B891">
        <v>2990</v>
      </c>
      <c r="C891">
        <v>42</v>
      </c>
      <c r="D891">
        <v>18</v>
      </c>
      <c r="E891">
        <v>142</v>
      </c>
      <c r="F891">
        <v>1</v>
      </c>
      <c r="G891">
        <v>3.4</v>
      </c>
      <c r="H891">
        <v>1</v>
      </c>
      <c r="I891">
        <v>496</v>
      </c>
      <c r="J891">
        <v>1</v>
      </c>
      <c r="K891">
        <v>0</v>
      </c>
      <c r="L891">
        <v>93106</v>
      </c>
      <c r="M891">
        <v>0</v>
      </c>
      <c r="N891">
        <v>0</v>
      </c>
      <c r="O891">
        <v>0</v>
      </c>
      <c r="Q891">
        <v>1</v>
      </c>
      <c r="R891">
        <v>0</v>
      </c>
      <c r="S891">
        <v>0</v>
      </c>
      <c r="T891">
        <v>22</v>
      </c>
      <c r="U891">
        <v>1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</row>
    <row r="892" spans="1:29" x14ac:dyDescent="0.35">
      <c r="A892">
        <v>2994</v>
      </c>
      <c r="B892">
        <v>2994</v>
      </c>
      <c r="C892">
        <v>65</v>
      </c>
      <c r="D892">
        <v>40</v>
      </c>
      <c r="E892">
        <v>20</v>
      </c>
      <c r="F892">
        <v>3</v>
      </c>
      <c r="G892">
        <v>0.1</v>
      </c>
      <c r="H892">
        <v>3</v>
      </c>
      <c r="I892">
        <v>0</v>
      </c>
      <c r="J892">
        <v>0</v>
      </c>
      <c r="K892">
        <v>1</v>
      </c>
      <c r="L892">
        <v>92647</v>
      </c>
      <c r="M892">
        <v>0</v>
      </c>
      <c r="N892">
        <v>0</v>
      </c>
      <c r="O892">
        <v>0</v>
      </c>
      <c r="Q892">
        <v>0</v>
      </c>
      <c r="R892">
        <v>0</v>
      </c>
      <c r="S892">
        <v>0</v>
      </c>
      <c r="T892">
        <v>5</v>
      </c>
      <c r="U892">
        <v>1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</row>
    <row r="893" spans="1:29" x14ac:dyDescent="0.35">
      <c r="A893">
        <v>2998</v>
      </c>
      <c r="B893">
        <v>2998</v>
      </c>
      <c r="C893">
        <v>57</v>
      </c>
      <c r="D893">
        <v>33</v>
      </c>
      <c r="E893">
        <v>80</v>
      </c>
      <c r="F893">
        <v>4</v>
      </c>
      <c r="G893">
        <v>1.6</v>
      </c>
      <c r="H893">
        <v>2</v>
      </c>
      <c r="I893">
        <v>0</v>
      </c>
      <c r="J893">
        <v>0</v>
      </c>
      <c r="K893">
        <v>0</v>
      </c>
      <c r="L893">
        <v>95053</v>
      </c>
      <c r="M893">
        <v>0</v>
      </c>
      <c r="N893">
        <v>0</v>
      </c>
      <c r="O893">
        <v>0</v>
      </c>
      <c r="Q893">
        <v>0</v>
      </c>
      <c r="R893">
        <v>0</v>
      </c>
      <c r="S893">
        <v>0</v>
      </c>
      <c r="T893">
        <v>5</v>
      </c>
      <c r="U893">
        <v>1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</row>
    <row r="894" spans="1:29" x14ac:dyDescent="0.35">
      <c r="A894">
        <v>3003</v>
      </c>
      <c r="B894">
        <v>3003</v>
      </c>
      <c r="C894">
        <v>37</v>
      </c>
      <c r="D894">
        <v>13</v>
      </c>
      <c r="E894">
        <v>95</v>
      </c>
      <c r="F894">
        <v>2</v>
      </c>
      <c r="G894">
        <v>1.7</v>
      </c>
      <c r="H894">
        <v>2</v>
      </c>
      <c r="I894">
        <v>83</v>
      </c>
      <c r="J894">
        <v>0</v>
      </c>
      <c r="K894">
        <v>0</v>
      </c>
      <c r="L894">
        <v>90095</v>
      </c>
      <c r="M894">
        <v>0</v>
      </c>
      <c r="N894">
        <v>0</v>
      </c>
      <c r="O894">
        <v>0</v>
      </c>
      <c r="Q894">
        <v>0</v>
      </c>
      <c r="R894">
        <v>0</v>
      </c>
      <c r="S894">
        <v>0</v>
      </c>
      <c r="T894">
        <v>5</v>
      </c>
      <c r="U894">
        <v>1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</row>
    <row r="895" spans="1:29" x14ac:dyDescent="0.35">
      <c r="A895">
        <v>3004</v>
      </c>
      <c r="B895">
        <v>3004</v>
      </c>
      <c r="C895">
        <v>52</v>
      </c>
      <c r="D895">
        <v>28</v>
      </c>
      <c r="E895">
        <v>44</v>
      </c>
      <c r="F895">
        <v>3</v>
      </c>
      <c r="G895">
        <v>1.9</v>
      </c>
      <c r="H895">
        <v>2</v>
      </c>
      <c r="I895">
        <v>0</v>
      </c>
      <c r="J895">
        <v>0</v>
      </c>
      <c r="K895">
        <v>1</v>
      </c>
      <c r="L895">
        <v>90747</v>
      </c>
      <c r="M895">
        <v>0</v>
      </c>
      <c r="N895">
        <v>0</v>
      </c>
      <c r="O895">
        <v>0</v>
      </c>
      <c r="Q895">
        <v>0</v>
      </c>
      <c r="R895">
        <v>0</v>
      </c>
      <c r="S895">
        <v>0</v>
      </c>
      <c r="T895">
        <v>5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</row>
    <row r="896" spans="1:29" x14ac:dyDescent="0.35">
      <c r="A896">
        <v>3005</v>
      </c>
      <c r="B896">
        <v>3005</v>
      </c>
      <c r="C896">
        <v>33</v>
      </c>
      <c r="D896">
        <v>7</v>
      </c>
      <c r="E896">
        <v>88</v>
      </c>
      <c r="F896">
        <v>3</v>
      </c>
      <c r="G896">
        <v>1.6</v>
      </c>
      <c r="H896">
        <v>1</v>
      </c>
      <c r="I896">
        <v>0</v>
      </c>
      <c r="J896">
        <v>1</v>
      </c>
      <c r="K896">
        <v>1</v>
      </c>
      <c r="L896">
        <v>94583</v>
      </c>
      <c r="M896">
        <v>0</v>
      </c>
      <c r="N896">
        <v>0</v>
      </c>
      <c r="O896">
        <v>0</v>
      </c>
      <c r="Q896">
        <v>1</v>
      </c>
      <c r="R896">
        <v>0</v>
      </c>
      <c r="S896">
        <v>0</v>
      </c>
      <c r="T896">
        <v>5</v>
      </c>
      <c r="U896">
        <v>1</v>
      </c>
      <c r="V896">
        <v>0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</row>
    <row r="897" spans="1:29" x14ac:dyDescent="0.35">
      <c r="A897">
        <v>3016</v>
      </c>
      <c r="B897">
        <v>3016</v>
      </c>
      <c r="C897">
        <v>44</v>
      </c>
      <c r="D897">
        <v>18</v>
      </c>
      <c r="E897">
        <v>68</v>
      </c>
      <c r="F897">
        <v>4</v>
      </c>
      <c r="G897">
        <v>2.9</v>
      </c>
      <c r="H897">
        <v>1</v>
      </c>
      <c r="I897">
        <v>0</v>
      </c>
      <c r="J897">
        <v>0</v>
      </c>
      <c r="K897">
        <v>1</v>
      </c>
      <c r="L897">
        <v>92673</v>
      </c>
      <c r="M897">
        <v>0</v>
      </c>
      <c r="N897">
        <v>1</v>
      </c>
      <c r="O897">
        <v>0</v>
      </c>
      <c r="Q897">
        <v>1</v>
      </c>
      <c r="R897">
        <v>0</v>
      </c>
      <c r="S897">
        <v>0</v>
      </c>
      <c r="T897">
        <v>5</v>
      </c>
      <c r="U897">
        <v>1</v>
      </c>
      <c r="V897">
        <v>0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</row>
    <row r="898" spans="1:29" x14ac:dyDescent="0.35">
      <c r="A898">
        <v>3026</v>
      </c>
      <c r="B898">
        <v>3026</v>
      </c>
      <c r="C898">
        <v>58</v>
      </c>
      <c r="D898">
        <v>32</v>
      </c>
      <c r="E898">
        <v>128</v>
      </c>
      <c r="F898">
        <v>2</v>
      </c>
      <c r="G898">
        <v>2.7</v>
      </c>
      <c r="H898">
        <v>1</v>
      </c>
      <c r="I898">
        <v>344</v>
      </c>
      <c r="J898">
        <v>0</v>
      </c>
      <c r="K898">
        <v>0</v>
      </c>
      <c r="L898">
        <v>94609</v>
      </c>
      <c r="M898">
        <v>0</v>
      </c>
      <c r="N898">
        <v>0</v>
      </c>
      <c r="O898">
        <v>0</v>
      </c>
      <c r="Q898">
        <v>1</v>
      </c>
      <c r="R898">
        <v>0</v>
      </c>
      <c r="S898">
        <v>0</v>
      </c>
      <c r="T898">
        <v>22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</row>
    <row r="899" spans="1:29" x14ac:dyDescent="0.35">
      <c r="A899">
        <v>3027</v>
      </c>
      <c r="B899">
        <v>3027</v>
      </c>
      <c r="C899">
        <v>44</v>
      </c>
      <c r="D899">
        <v>20</v>
      </c>
      <c r="E899">
        <v>81</v>
      </c>
      <c r="F899">
        <v>4</v>
      </c>
      <c r="G899">
        <v>0.8</v>
      </c>
      <c r="H899">
        <v>1</v>
      </c>
      <c r="I899">
        <v>228</v>
      </c>
      <c r="J899">
        <v>0</v>
      </c>
      <c r="K899">
        <v>1</v>
      </c>
      <c r="L899">
        <v>90254</v>
      </c>
      <c r="M899">
        <v>0</v>
      </c>
      <c r="N899">
        <v>0</v>
      </c>
      <c r="O899">
        <v>0</v>
      </c>
      <c r="Q899">
        <v>1</v>
      </c>
      <c r="R899">
        <v>0</v>
      </c>
      <c r="S899">
        <v>0</v>
      </c>
      <c r="T899">
        <v>5</v>
      </c>
      <c r="U899">
        <v>1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</row>
    <row r="900" spans="1:29" x14ac:dyDescent="0.35">
      <c r="A900">
        <v>3028</v>
      </c>
      <c r="B900">
        <v>3028</v>
      </c>
      <c r="C900">
        <v>53</v>
      </c>
      <c r="D900">
        <v>29</v>
      </c>
      <c r="E900">
        <v>50</v>
      </c>
      <c r="F900">
        <v>4</v>
      </c>
      <c r="G900">
        <v>0.1</v>
      </c>
      <c r="H900">
        <v>3</v>
      </c>
      <c r="I900">
        <v>152</v>
      </c>
      <c r="J900">
        <v>1</v>
      </c>
      <c r="K900">
        <v>0</v>
      </c>
      <c r="L900">
        <v>93305</v>
      </c>
      <c r="M900">
        <v>0</v>
      </c>
      <c r="N900">
        <v>0</v>
      </c>
      <c r="O900">
        <v>0</v>
      </c>
      <c r="Q900">
        <v>0</v>
      </c>
      <c r="R900">
        <v>0</v>
      </c>
      <c r="S900">
        <v>0</v>
      </c>
      <c r="T900">
        <v>5</v>
      </c>
      <c r="U900">
        <v>1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</row>
    <row r="901" spans="1:29" x14ac:dyDescent="0.35">
      <c r="A901">
        <v>3034</v>
      </c>
      <c r="B901">
        <v>3034</v>
      </c>
      <c r="C901">
        <v>43</v>
      </c>
      <c r="D901">
        <v>19</v>
      </c>
      <c r="E901">
        <v>130</v>
      </c>
      <c r="F901">
        <v>2</v>
      </c>
      <c r="G901">
        <v>4.7</v>
      </c>
      <c r="H901">
        <v>3</v>
      </c>
      <c r="I901">
        <v>221</v>
      </c>
      <c r="J901">
        <v>0</v>
      </c>
      <c r="K901">
        <v>1</v>
      </c>
      <c r="L901">
        <v>90630</v>
      </c>
      <c r="M901">
        <v>1</v>
      </c>
      <c r="N901">
        <v>0</v>
      </c>
      <c r="O901">
        <v>0</v>
      </c>
      <c r="Q901">
        <v>0</v>
      </c>
      <c r="R901">
        <v>1</v>
      </c>
      <c r="S901">
        <v>1</v>
      </c>
      <c r="T901">
        <v>10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1</v>
      </c>
    </row>
    <row r="902" spans="1:29" x14ac:dyDescent="0.35">
      <c r="A902">
        <v>3043</v>
      </c>
      <c r="B902">
        <v>3043</v>
      </c>
      <c r="C902">
        <v>52</v>
      </c>
      <c r="D902">
        <v>26</v>
      </c>
      <c r="E902">
        <v>78</v>
      </c>
      <c r="F902">
        <v>3</v>
      </c>
      <c r="G902">
        <v>3</v>
      </c>
      <c r="H902">
        <v>2</v>
      </c>
      <c r="I902">
        <v>0</v>
      </c>
      <c r="J902">
        <v>0</v>
      </c>
      <c r="K902">
        <v>0</v>
      </c>
      <c r="L902">
        <v>94301</v>
      </c>
      <c r="M902">
        <v>0</v>
      </c>
      <c r="N902">
        <v>0</v>
      </c>
      <c r="O902">
        <v>0</v>
      </c>
      <c r="Q902">
        <v>0</v>
      </c>
      <c r="R902">
        <v>0</v>
      </c>
      <c r="S902">
        <v>0</v>
      </c>
      <c r="T902">
        <v>15</v>
      </c>
      <c r="U902">
        <v>0.91935483870967005</v>
      </c>
      <c r="V902">
        <v>8.0645161290319997E-2</v>
      </c>
      <c r="W902">
        <v>0.91935483870967005</v>
      </c>
      <c r="X902">
        <v>8.0645161290319997E-2</v>
      </c>
      <c r="Y902">
        <v>0.86</v>
      </c>
      <c r="Z902">
        <v>0.14000000000000001</v>
      </c>
      <c r="AA902">
        <v>8.0645161290329906E-2</v>
      </c>
      <c r="AB902">
        <v>-8.0645161290319997E-2</v>
      </c>
      <c r="AC902">
        <v>0</v>
      </c>
    </row>
    <row r="903" spans="1:29" x14ac:dyDescent="0.35">
      <c r="A903">
        <v>3044</v>
      </c>
      <c r="B903">
        <v>3044</v>
      </c>
      <c r="C903">
        <v>47</v>
      </c>
      <c r="D903">
        <v>22</v>
      </c>
      <c r="E903">
        <v>42</v>
      </c>
      <c r="F903">
        <v>3</v>
      </c>
      <c r="G903">
        <v>2.7</v>
      </c>
      <c r="H903">
        <v>2</v>
      </c>
      <c r="I903">
        <v>0</v>
      </c>
      <c r="J903">
        <v>1</v>
      </c>
      <c r="K903">
        <v>1</v>
      </c>
      <c r="L903">
        <v>91754</v>
      </c>
      <c r="M903">
        <v>0</v>
      </c>
      <c r="N903">
        <v>0</v>
      </c>
      <c r="O903">
        <v>0</v>
      </c>
      <c r="Q903">
        <v>0</v>
      </c>
      <c r="R903">
        <v>0</v>
      </c>
      <c r="S903">
        <v>0</v>
      </c>
      <c r="T903">
        <v>5</v>
      </c>
      <c r="U903">
        <v>1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</row>
    <row r="904" spans="1:29" x14ac:dyDescent="0.35">
      <c r="A904">
        <v>3046</v>
      </c>
      <c r="B904">
        <v>3046</v>
      </c>
      <c r="C904">
        <v>58</v>
      </c>
      <c r="D904">
        <v>32</v>
      </c>
      <c r="E904">
        <v>48</v>
      </c>
      <c r="F904">
        <v>1</v>
      </c>
      <c r="G904">
        <v>2.8</v>
      </c>
      <c r="H904">
        <v>2</v>
      </c>
      <c r="I904">
        <v>0</v>
      </c>
      <c r="J904">
        <v>1</v>
      </c>
      <c r="K904">
        <v>0</v>
      </c>
      <c r="L904">
        <v>91768</v>
      </c>
      <c r="M904">
        <v>0</v>
      </c>
      <c r="N904">
        <v>0</v>
      </c>
      <c r="O904">
        <v>0</v>
      </c>
      <c r="Q904">
        <v>0</v>
      </c>
      <c r="R904">
        <v>0</v>
      </c>
      <c r="S904">
        <v>0</v>
      </c>
      <c r="T904">
        <v>5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</row>
    <row r="905" spans="1:29" x14ac:dyDescent="0.35">
      <c r="A905">
        <v>3048</v>
      </c>
      <c r="B905">
        <v>3048</v>
      </c>
      <c r="C905">
        <v>57</v>
      </c>
      <c r="D905">
        <v>33</v>
      </c>
      <c r="E905">
        <v>149</v>
      </c>
      <c r="F905">
        <v>1</v>
      </c>
      <c r="G905">
        <v>4.7</v>
      </c>
      <c r="H905">
        <v>1</v>
      </c>
      <c r="I905">
        <v>0</v>
      </c>
      <c r="J905">
        <v>0</v>
      </c>
      <c r="K905">
        <v>0</v>
      </c>
      <c r="L905">
        <v>95060</v>
      </c>
      <c r="M905">
        <v>0</v>
      </c>
      <c r="N905">
        <v>1</v>
      </c>
      <c r="O905">
        <v>0</v>
      </c>
      <c r="Q905">
        <v>1</v>
      </c>
      <c r="R905">
        <v>0</v>
      </c>
      <c r="S905">
        <v>0</v>
      </c>
      <c r="T905">
        <v>22</v>
      </c>
      <c r="U905">
        <v>1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</row>
    <row r="906" spans="1:29" x14ac:dyDescent="0.35">
      <c r="A906">
        <v>3050</v>
      </c>
      <c r="B906">
        <v>3050</v>
      </c>
      <c r="C906">
        <v>60</v>
      </c>
      <c r="D906">
        <v>35</v>
      </c>
      <c r="E906">
        <v>125</v>
      </c>
      <c r="F906">
        <v>2</v>
      </c>
      <c r="G906">
        <v>3.9</v>
      </c>
      <c r="H906">
        <v>1</v>
      </c>
      <c r="I906">
        <v>0</v>
      </c>
      <c r="J906">
        <v>0</v>
      </c>
      <c r="K906">
        <v>0</v>
      </c>
      <c r="L906">
        <v>94720</v>
      </c>
      <c r="M906">
        <v>0</v>
      </c>
      <c r="N906">
        <v>0</v>
      </c>
      <c r="O906">
        <v>0</v>
      </c>
      <c r="Q906">
        <v>1</v>
      </c>
      <c r="R906">
        <v>0</v>
      </c>
      <c r="S906">
        <v>0</v>
      </c>
      <c r="T906">
        <v>22</v>
      </c>
      <c r="U906">
        <v>1</v>
      </c>
      <c r="V906">
        <v>0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</row>
    <row r="907" spans="1:29" x14ac:dyDescent="0.35">
      <c r="A907">
        <v>3054</v>
      </c>
      <c r="B907">
        <v>3054</v>
      </c>
      <c r="C907">
        <v>28</v>
      </c>
      <c r="D907">
        <v>4</v>
      </c>
      <c r="E907">
        <v>114</v>
      </c>
      <c r="F907">
        <v>2</v>
      </c>
      <c r="G907">
        <v>0.2</v>
      </c>
      <c r="H907">
        <v>1</v>
      </c>
      <c r="I907">
        <v>0</v>
      </c>
      <c r="J907">
        <v>1</v>
      </c>
      <c r="K907">
        <v>0</v>
      </c>
      <c r="L907">
        <v>92521</v>
      </c>
      <c r="M907">
        <v>0</v>
      </c>
      <c r="N907">
        <v>0</v>
      </c>
      <c r="O907">
        <v>0</v>
      </c>
      <c r="Q907">
        <v>1</v>
      </c>
      <c r="R907">
        <v>0</v>
      </c>
      <c r="S907">
        <v>0</v>
      </c>
      <c r="T907">
        <v>22</v>
      </c>
      <c r="U907">
        <v>1</v>
      </c>
      <c r="V907">
        <v>0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</row>
    <row r="908" spans="1:29" x14ac:dyDescent="0.35">
      <c r="A908">
        <v>3064</v>
      </c>
      <c r="B908">
        <v>3064</v>
      </c>
      <c r="C908">
        <v>54</v>
      </c>
      <c r="D908">
        <v>29</v>
      </c>
      <c r="E908">
        <v>21</v>
      </c>
      <c r="F908">
        <v>4</v>
      </c>
      <c r="G908">
        <v>0.1</v>
      </c>
      <c r="H908">
        <v>3</v>
      </c>
      <c r="I908">
        <v>0</v>
      </c>
      <c r="J908">
        <v>0</v>
      </c>
      <c r="K908">
        <v>0</v>
      </c>
      <c r="L908">
        <v>95841</v>
      </c>
      <c r="M908">
        <v>0</v>
      </c>
      <c r="N908">
        <v>0</v>
      </c>
      <c r="O908">
        <v>0</v>
      </c>
      <c r="Q908">
        <v>0</v>
      </c>
      <c r="R908">
        <v>0</v>
      </c>
      <c r="S908">
        <v>0</v>
      </c>
      <c r="T908">
        <v>5</v>
      </c>
      <c r="U908">
        <v>1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</row>
    <row r="909" spans="1:29" x14ac:dyDescent="0.35">
      <c r="A909">
        <v>3068</v>
      </c>
      <c r="B909">
        <v>3068</v>
      </c>
      <c r="C909">
        <v>31</v>
      </c>
      <c r="D909">
        <v>5</v>
      </c>
      <c r="E909">
        <v>101</v>
      </c>
      <c r="F909">
        <v>1</v>
      </c>
      <c r="G909">
        <v>2.9</v>
      </c>
      <c r="H909">
        <v>3</v>
      </c>
      <c r="I909">
        <v>170</v>
      </c>
      <c r="J909">
        <v>0</v>
      </c>
      <c r="K909">
        <v>0</v>
      </c>
      <c r="L909">
        <v>94501</v>
      </c>
      <c r="M909">
        <v>0</v>
      </c>
      <c r="N909">
        <v>1</v>
      </c>
      <c r="O909">
        <v>0</v>
      </c>
      <c r="Q909">
        <v>0</v>
      </c>
      <c r="R909">
        <v>0</v>
      </c>
      <c r="S909">
        <v>1</v>
      </c>
      <c r="T909">
        <v>14</v>
      </c>
      <c r="U909">
        <v>0.24242424242423999</v>
      </c>
      <c r="V909">
        <v>0.75757575757575002</v>
      </c>
      <c r="W909">
        <v>0.24242424242423999</v>
      </c>
      <c r="X909">
        <v>0.75757575757575002</v>
      </c>
      <c r="Y909">
        <v>0.44444444444443998</v>
      </c>
      <c r="Z909">
        <v>0.55555555555555003</v>
      </c>
      <c r="AA909">
        <v>0.75757575757576001</v>
      </c>
      <c r="AB909">
        <v>-0.75757575757575002</v>
      </c>
      <c r="AC909">
        <v>1</v>
      </c>
    </row>
    <row r="910" spans="1:29" x14ac:dyDescent="0.35">
      <c r="A910">
        <v>3069</v>
      </c>
      <c r="B910">
        <v>3069</v>
      </c>
      <c r="C910">
        <v>56</v>
      </c>
      <c r="D910">
        <v>26</v>
      </c>
      <c r="E910">
        <v>90</v>
      </c>
      <c r="F910">
        <v>2</v>
      </c>
      <c r="G910">
        <v>4.5</v>
      </c>
      <c r="H910">
        <v>3</v>
      </c>
      <c r="I910">
        <v>0</v>
      </c>
      <c r="J910">
        <v>0</v>
      </c>
      <c r="K910">
        <v>0</v>
      </c>
      <c r="L910">
        <v>92120</v>
      </c>
      <c r="M910">
        <v>0</v>
      </c>
      <c r="N910">
        <v>0</v>
      </c>
      <c r="O910">
        <v>0</v>
      </c>
      <c r="Q910">
        <v>0</v>
      </c>
      <c r="R910">
        <v>0</v>
      </c>
      <c r="S910">
        <v>0</v>
      </c>
      <c r="T910">
        <v>15</v>
      </c>
      <c r="U910">
        <v>0.91935483870967005</v>
      </c>
      <c r="V910">
        <v>8.0645161290319997E-2</v>
      </c>
      <c r="W910">
        <v>0.91935483870967005</v>
      </c>
      <c r="X910">
        <v>8.0645161290319997E-2</v>
      </c>
      <c r="Y910">
        <v>0.86</v>
      </c>
      <c r="Z910">
        <v>0.14000000000000001</v>
      </c>
      <c r="AA910">
        <v>8.0645161290329906E-2</v>
      </c>
      <c r="AB910">
        <v>-8.0645161290319997E-2</v>
      </c>
      <c r="AC910">
        <v>0</v>
      </c>
    </row>
    <row r="911" spans="1:29" x14ac:dyDescent="0.35">
      <c r="A911">
        <v>3070</v>
      </c>
      <c r="B911">
        <v>3070</v>
      </c>
      <c r="C911">
        <v>47</v>
      </c>
      <c r="D911">
        <v>20</v>
      </c>
      <c r="E911">
        <v>68</v>
      </c>
      <c r="F911">
        <v>1</v>
      </c>
      <c r="G911">
        <v>2.67</v>
      </c>
      <c r="H911">
        <v>2</v>
      </c>
      <c r="I911">
        <v>0</v>
      </c>
      <c r="J911">
        <v>1</v>
      </c>
      <c r="K911">
        <v>1</v>
      </c>
      <c r="L911">
        <v>91320</v>
      </c>
      <c r="M911">
        <v>0</v>
      </c>
      <c r="N911">
        <v>0</v>
      </c>
      <c r="O911">
        <v>0</v>
      </c>
      <c r="Q911">
        <v>0</v>
      </c>
      <c r="R911">
        <v>0</v>
      </c>
      <c r="S911">
        <v>0</v>
      </c>
      <c r="T911">
        <v>5</v>
      </c>
      <c r="U911">
        <v>1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</row>
    <row r="912" spans="1:29" x14ac:dyDescent="0.35">
      <c r="A912">
        <v>3073</v>
      </c>
      <c r="B912">
        <v>3073</v>
      </c>
      <c r="C912">
        <v>54</v>
      </c>
      <c r="D912">
        <v>30</v>
      </c>
      <c r="E912">
        <v>51</v>
      </c>
      <c r="F912">
        <v>2</v>
      </c>
      <c r="G912">
        <v>3.2</v>
      </c>
      <c r="H912">
        <v>3</v>
      </c>
      <c r="I912">
        <v>0</v>
      </c>
      <c r="J912">
        <v>0</v>
      </c>
      <c r="K912">
        <v>0</v>
      </c>
      <c r="L912">
        <v>92821</v>
      </c>
      <c r="M912">
        <v>0</v>
      </c>
      <c r="N912">
        <v>0</v>
      </c>
      <c r="O912">
        <v>0</v>
      </c>
      <c r="Q912">
        <v>0</v>
      </c>
      <c r="R912">
        <v>0</v>
      </c>
      <c r="S912">
        <v>0</v>
      </c>
      <c r="T912">
        <v>15</v>
      </c>
      <c r="U912">
        <v>0.91935483870967005</v>
      </c>
      <c r="V912">
        <v>8.0645161290319997E-2</v>
      </c>
      <c r="W912">
        <v>0.91935483870967005</v>
      </c>
      <c r="X912">
        <v>8.0645161290319997E-2</v>
      </c>
      <c r="Y912">
        <v>0.86</v>
      </c>
      <c r="Z912">
        <v>0.14000000000000001</v>
      </c>
      <c r="AA912">
        <v>8.0645161290329906E-2</v>
      </c>
      <c r="AB912">
        <v>-8.0645161290319997E-2</v>
      </c>
      <c r="AC912">
        <v>0</v>
      </c>
    </row>
    <row r="913" spans="1:29" x14ac:dyDescent="0.35">
      <c r="A913">
        <v>3074</v>
      </c>
      <c r="B913">
        <v>3074</v>
      </c>
      <c r="C913">
        <v>29</v>
      </c>
      <c r="D913">
        <v>5</v>
      </c>
      <c r="E913">
        <v>149</v>
      </c>
      <c r="F913">
        <v>1</v>
      </c>
      <c r="G913">
        <v>1.5</v>
      </c>
      <c r="H913">
        <v>1</v>
      </c>
      <c r="I913">
        <v>0</v>
      </c>
      <c r="J913">
        <v>1</v>
      </c>
      <c r="K913">
        <v>0</v>
      </c>
      <c r="L913">
        <v>94611</v>
      </c>
      <c r="M913">
        <v>0</v>
      </c>
      <c r="N913">
        <v>0</v>
      </c>
      <c r="O913">
        <v>0</v>
      </c>
      <c r="Q913">
        <v>1</v>
      </c>
      <c r="R913">
        <v>0</v>
      </c>
      <c r="S913">
        <v>0</v>
      </c>
      <c r="T913">
        <v>22</v>
      </c>
      <c r="U913">
        <v>1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</row>
    <row r="914" spans="1:29" x14ac:dyDescent="0.35">
      <c r="A914">
        <v>3078</v>
      </c>
      <c r="B914">
        <v>3078</v>
      </c>
      <c r="C914">
        <v>46</v>
      </c>
      <c r="D914">
        <v>21</v>
      </c>
      <c r="E914">
        <v>44</v>
      </c>
      <c r="F914">
        <v>1</v>
      </c>
      <c r="G914">
        <v>0.3</v>
      </c>
      <c r="H914">
        <v>1</v>
      </c>
      <c r="I914">
        <v>110</v>
      </c>
      <c r="J914">
        <v>1</v>
      </c>
      <c r="K914">
        <v>0</v>
      </c>
      <c r="L914">
        <v>95112</v>
      </c>
      <c r="M914">
        <v>0</v>
      </c>
      <c r="N914">
        <v>1</v>
      </c>
      <c r="O914">
        <v>0</v>
      </c>
      <c r="Q914">
        <v>1</v>
      </c>
      <c r="R914">
        <v>0</v>
      </c>
      <c r="S914">
        <v>0</v>
      </c>
      <c r="T914">
        <v>5</v>
      </c>
      <c r="U914">
        <v>1</v>
      </c>
      <c r="V914">
        <v>0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</row>
    <row r="915" spans="1:29" x14ac:dyDescent="0.35">
      <c r="A915">
        <v>3082</v>
      </c>
      <c r="B915">
        <v>3082</v>
      </c>
      <c r="C915">
        <v>36</v>
      </c>
      <c r="D915">
        <v>10</v>
      </c>
      <c r="E915">
        <v>78</v>
      </c>
      <c r="F915">
        <v>2</v>
      </c>
      <c r="G915">
        <v>4.5</v>
      </c>
      <c r="H915">
        <v>3</v>
      </c>
      <c r="I915">
        <v>204</v>
      </c>
      <c r="J915">
        <v>1</v>
      </c>
      <c r="K915">
        <v>1</v>
      </c>
      <c r="L915">
        <v>95064</v>
      </c>
      <c r="M915">
        <v>0</v>
      </c>
      <c r="N915">
        <v>0</v>
      </c>
      <c r="O915">
        <v>0</v>
      </c>
      <c r="Q915">
        <v>0</v>
      </c>
      <c r="R915">
        <v>0</v>
      </c>
      <c r="S915">
        <v>0</v>
      </c>
      <c r="T915">
        <v>15</v>
      </c>
      <c r="U915">
        <v>0.91935483870967005</v>
      </c>
      <c r="V915">
        <v>8.0645161290319997E-2</v>
      </c>
      <c r="W915">
        <v>0.91935483870967005</v>
      </c>
      <c r="X915">
        <v>8.0645161290319997E-2</v>
      </c>
      <c r="Y915">
        <v>0.86</v>
      </c>
      <c r="Z915">
        <v>0.14000000000000001</v>
      </c>
      <c r="AA915">
        <v>8.0645161290329906E-2</v>
      </c>
      <c r="AB915">
        <v>-8.0645161290319997E-2</v>
      </c>
      <c r="AC915">
        <v>0</v>
      </c>
    </row>
    <row r="916" spans="1:29" x14ac:dyDescent="0.35">
      <c r="A916">
        <v>3084</v>
      </c>
      <c r="B916">
        <v>3084</v>
      </c>
      <c r="C916">
        <v>40</v>
      </c>
      <c r="D916">
        <v>16</v>
      </c>
      <c r="E916">
        <v>78</v>
      </c>
      <c r="F916">
        <v>4</v>
      </c>
      <c r="G916">
        <v>2.4</v>
      </c>
      <c r="H916">
        <v>1</v>
      </c>
      <c r="I916">
        <v>0</v>
      </c>
      <c r="J916">
        <v>1</v>
      </c>
      <c r="K916">
        <v>0</v>
      </c>
      <c r="L916">
        <v>90720</v>
      </c>
      <c r="M916">
        <v>0</v>
      </c>
      <c r="N916">
        <v>1</v>
      </c>
      <c r="O916">
        <v>1</v>
      </c>
      <c r="Q916">
        <v>1</v>
      </c>
      <c r="R916">
        <v>0</v>
      </c>
      <c r="S916">
        <v>0</v>
      </c>
      <c r="T916">
        <v>5</v>
      </c>
      <c r="U916">
        <v>1</v>
      </c>
      <c r="V916">
        <v>0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</row>
    <row r="917" spans="1:29" x14ac:dyDescent="0.35">
      <c r="A917">
        <v>3086</v>
      </c>
      <c r="B917">
        <v>3086</v>
      </c>
      <c r="C917">
        <v>55</v>
      </c>
      <c r="D917">
        <v>29</v>
      </c>
      <c r="E917">
        <v>71</v>
      </c>
      <c r="F917">
        <v>3</v>
      </c>
      <c r="G917">
        <v>0.3</v>
      </c>
      <c r="H917">
        <v>2</v>
      </c>
      <c r="I917">
        <v>0</v>
      </c>
      <c r="J917">
        <v>0</v>
      </c>
      <c r="K917">
        <v>1</v>
      </c>
      <c r="L917">
        <v>91311</v>
      </c>
      <c r="M917">
        <v>0</v>
      </c>
      <c r="N917">
        <v>0</v>
      </c>
      <c r="O917">
        <v>0</v>
      </c>
      <c r="Q917">
        <v>0</v>
      </c>
      <c r="R917">
        <v>0</v>
      </c>
      <c r="S917">
        <v>0</v>
      </c>
      <c r="T917">
        <v>5</v>
      </c>
      <c r="U917">
        <v>1</v>
      </c>
      <c r="V917">
        <v>0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</row>
    <row r="918" spans="1:29" x14ac:dyDescent="0.35">
      <c r="A918">
        <v>3088</v>
      </c>
      <c r="B918">
        <v>3088</v>
      </c>
      <c r="C918">
        <v>57</v>
      </c>
      <c r="D918">
        <v>33</v>
      </c>
      <c r="E918">
        <v>15</v>
      </c>
      <c r="F918">
        <v>2</v>
      </c>
      <c r="G918">
        <v>0.3</v>
      </c>
      <c r="H918">
        <v>1</v>
      </c>
      <c r="I918">
        <v>0</v>
      </c>
      <c r="J918">
        <v>1</v>
      </c>
      <c r="K918">
        <v>0</v>
      </c>
      <c r="L918">
        <v>94303</v>
      </c>
      <c r="M918">
        <v>0</v>
      </c>
      <c r="N918">
        <v>0</v>
      </c>
      <c r="O918">
        <v>0</v>
      </c>
      <c r="Q918">
        <v>1</v>
      </c>
      <c r="R918">
        <v>0</v>
      </c>
      <c r="S918">
        <v>0</v>
      </c>
      <c r="T918">
        <v>5</v>
      </c>
      <c r="U918">
        <v>1</v>
      </c>
      <c r="V918">
        <v>0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</row>
    <row r="919" spans="1:29" x14ac:dyDescent="0.35">
      <c r="A919">
        <v>3091</v>
      </c>
      <c r="B919">
        <v>3091</v>
      </c>
      <c r="C919">
        <v>61</v>
      </c>
      <c r="D919">
        <v>31</v>
      </c>
      <c r="E919">
        <v>19</v>
      </c>
      <c r="F919">
        <v>1</v>
      </c>
      <c r="G919">
        <v>1.5</v>
      </c>
      <c r="H919">
        <v>3</v>
      </c>
      <c r="I919">
        <v>0</v>
      </c>
      <c r="J919">
        <v>1</v>
      </c>
      <c r="K919">
        <v>0</v>
      </c>
      <c r="L919">
        <v>91109</v>
      </c>
      <c r="M919">
        <v>0</v>
      </c>
      <c r="N919">
        <v>0</v>
      </c>
      <c r="O919">
        <v>0</v>
      </c>
      <c r="Q919">
        <v>0</v>
      </c>
      <c r="R919">
        <v>0</v>
      </c>
      <c r="S919">
        <v>0</v>
      </c>
      <c r="T919">
        <v>5</v>
      </c>
      <c r="U919">
        <v>1</v>
      </c>
      <c r="V919">
        <v>0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</row>
    <row r="920" spans="1:29" x14ac:dyDescent="0.35">
      <c r="A920">
        <v>3092</v>
      </c>
      <c r="B920">
        <v>3092</v>
      </c>
      <c r="C920">
        <v>58</v>
      </c>
      <c r="D920">
        <v>32</v>
      </c>
      <c r="E920">
        <v>42</v>
      </c>
      <c r="F920">
        <v>3</v>
      </c>
      <c r="G920">
        <v>1.4</v>
      </c>
      <c r="H920">
        <v>3</v>
      </c>
      <c r="I920">
        <v>158</v>
      </c>
      <c r="J920">
        <v>0</v>
      </c>
      <c r="K920">
        <v>1</v>
      </c>
      <c r="L920">
        <v>95020</v>
      </c>
      <c r="M920">
        <v>0</v>
      </c>
      <c r="N920">
        <v>0</v>
      </c>
      <c r="O920">
        <v>0</v>
      </c>
      <c r="Q920">
        <v>0</v>
      </c>
      <c r="R920">
        <v>0</v>
      </c>
      <c r="S920">
        <v>0</v>
      </c>
      <c r="T920">
        <v>5</v>
      </c>
      <c r="U920">
        <v>1</v>
      </c>
      <c r="V920">
        <v>0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</row>
    <row r="921" spans="1:29" x14ac:dyDescent="0.35">
      <c r="A921">
        <v>3093</v>
      </c>
      <c r="B921">
        <v>3093</v>
      </c>
      <c r="C921">
        <v>43</v>
      </c>
      <c r="D921">
        <v>18</v>
      </c>
      <c r="E921">
        <v>113</v>
      </c>
      <c r="F921">
        <v>2</v>
      </c>
      <c r="G921">
        <v>0.4</v>
      </c>
      <c r="H921">
        <v>1</v>
      </c>
      <c r="I921">
        <v>325</v>
      </c>
      <c r="J921">
        <v>0</v>
      </c>
      <c r="K921">
        <v>0</v>
      </c>
      <c r="L921">
        <v>90036</v>
      </c>
      <c r="M921">
        <v>0</v>
      </c>
      <c r="N921">
        <v>1</v>
      </c>
      <c r="O921">
        <v>0</v>
      </c>
      <c r="Q921">
        <v>1</v>
      </c>
      <c r="R921">
        <v>0</v>
      </c>
      <c r="S921">
        <v>0</v>
      </c>
      <c r="T921">
        <v>22</v>
      </c>
      <c r="U921">
        <v>1</v>
      </c>
      <c r="V921">
        <v>0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</row>
    <row r="922" spans="1:29" x14ac:dyDescent="0.35">
      <c r="A922">
        <v>3099</v>
      </c>
      <c r="B922">
        <v>3099</v>
      </c>
      <c r="C922">
        <v>41</v>
      </c>
      <c r="D922">
        <v>16</v>
      </c>
      <c r="E922">
        <v>21</v>
      </c>
      <c r="F922">
        <v>2</v>
      </c>
      <c r="G922">
        <v>0.1</v>
      </c>
      <c r="H922">
        <v>2</v>
      </c>
      <c r="I922">
        <v>0</v>
      </c>
      <c r="J922">
        <v>0</v>
      </c>
      <c r="K922">
        <v>0</v>
      </c>
      <c r="L922">
        <v>92024</v>
      </c>
      <c r="M922">
        <v>0</v>
      </c>
      <c r="N922">
        <v>0</v>
      </c>
      <c r="O922">
        <v>0</v>
      </c>
      <c r="Q922">
        <v>0</v>
      </c>
      <c r="R922">
        <v>0</v>
      </c>
      <c r="S922">
        <v>0</v>
      </c>
      <c r="T922">
        <v>5</v>
      </c>
      <c r="U922">
        <v>1</v>
      </c>
      <c r="V922">
        <v>0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</row>
    <row r="923" spans="1:29" x14ac:dyDescent="0.35">
      <c r="A923">
        <v>3103</v>
      </c>
      <c r="B923">
        <v>3103</v>
      </c>
      <c r="C923">
        <v>49</v>
      </c>
      <c r="D923">
        <v>25</v>
      </c>
      <c r="E923">
        <v>30</v>
      </c>
      <c r="F923">
        <v>4</v>
      </c>
      <c r="G923">
        <v>0.9</v>
      </c>
      <c r="H923">
        <v>2</v>
      </c>
      <c r="I923">
        <v>0</v>
      </c>
      <c r="J923">
        <v>0</v>
      </c>
      <c r="K923">
        <v>1</v>
      </c>
      <c r="L923">
        <v>90095</v>
      </c>
      <c r="M923">
        <v>0</v>
      </c>
      <c r="N923">
        <v>0</v>
      </c>
      <c r="O923">
        <v>0</v>
      </c>
      <c r="Q923">
        <v>0</v>
      </c>
      <c r="R923">
        <v>0</v>
      </c>
      <c r="S923">
        <v>0</v>
      </c>
      <c r="T923">
        <v>5</v>
      </c>
      <c r="U923">
        <v>1</v>
      </c>
      <c r="V923">
        <v>0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</row>
    <row r="924" spans="1:29" x14ac:dyDescent="0.35">
      <c r="A924">
        <v>3104</v>
      </c>
      <c r="B924">
        <v>3104</v>
      </c>
      <c r="C924">
        <v>52</v>
      </c>
      <c r="D924">
        <v>22</v>
      </c>
      <c r="E924">
        <v>55</v>
      </c>
      <c r="F924">
        <v>3</v>
      </c>
      <c r="G924">
        <v>1.4</v>
      </c>
      <c r="H924">
        <v>3</v>
      </c>
      <c r="I924">
        <v>0</v>
      </c>
      <c r="J924">
        <v>1</v>
      </c>
      <c r="K924">
        <v>0</v>
      </c>
      <c r="L924">
        <v>92129</v>
      </c>
      <c r="M924">
        <v>0</v>
      </c>
      <c r="N924">
        <v>0</v>
      </c>
      <c r="O924">
        <v>0</v>
      </c>
      <c r="Q924">
        <v>0</v>
      </c>
      <c r="R924">
        <v>0</v>
      </c>
      <c r="S924">
        <v>0</v>
      </c>
      <c r="T924">
        <v>5</v>
      </c>
      <c r="U924">
        <v>1</v>
      </c>
      <c r="V924">
        <v>0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</row>
    <row r="925" spans="1:29" x14ac:dyDescent="0.35">
      <c r="A925">
        <v>3121</v>
      </c>
      <c r="B925">
        <v>3121</v>
      </c>
      <c r="C925">
        <v>35</v>
      </c>
      <c r="D925">
        <v>11</v>
      </c>
      <c r="E925">
        <v>75</v>
      </c>
      <c r="F925">
        <v>2</v>
      </c>
      <c r="G925">
        <v>1.7</v>
      </c>
      <c r="H925">
        <v>2</v>
      </c>
      <c r="I925">
        <v>0</v>
      </c>
      <c r="J925">
        <v>1</v>
      </c>
      <c r="K925">
        <v>0</v>
      </c>
      <c r="L925">
        <v>94542</v>
      </c>
      <c r="M925">
        <v>0</v>
      </c>
      <c r="N925">
        <v>0</v>
      </c>
      <c r="O925">
        <v>0</v>
      </c>
      <c r="Q925">
        <v>0</v>
      </c>
      <c r="R925">
        <v>0</v>
      </c>
      <c r="S925">
        <v>0</v>
      </c>
      <c r="T925">
        <v>5</v>
      </c>
      <c r="U925">
        <v>1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</row>
    <row r="926" spans="1:29" x14ac:dyDescent="0.35">
      <c r="A926">
        <v>3130</v>
      </c>
      <c r="B926">
        <v>3130</v>
      </c>
      <c r="C926">
        <v>39</v>
      </c>
      <c r="D926">
        <v>14</v>
      </c>
      <c r="E926">
        <v>10</v>
      </c>
      <c r="F926">
        <v>2</v>
      </c>
      <c r="G926">
        <v>0.3</v>
      </c>
      <c r="H926">
        <v>2</v>
      </c>
      <c r="I926">
        <v>0</v>
      </c>
      <c r="J926">
        <v>0</v>
      </c>
      <c r="K926">
        <v>1</v>
      </c>
      <c r="L926">
        <v>92705</v>
      </c>
      <c r="M926">
        <v>0</v>
      </c>
      <c r="N926">
        <v>1</v>
      </c>
      <c r="O926">
        <v>0</v>
      </c>
      <c r="Q926">
        <v>0</v>
      </c>
      <c r="R926">
        <v>0</v>
      </c>
      <c r="S926">
        <v>0</v>
      </c>
      <c r="T926">
        <v>5</v>
      </c>
      <c r="U926">
        <v>1</v>
      </c>
      <c r="V926">
        <v>0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</row>
    <row r="927" spans="1:29" x14ac:dyDescent="0.35">
      <c r="A927">
        <v>3131</v>
      </c>
      <c r="B927">
        <v>3131</v>
      </c>
      <c r="C927">
        <v>23</v>
      </c>
      <c r="D927">
        <v>-2</v>
      </c>
      <c r="E927">
        <v>82</v>
      </c>
      <c r="F927">
        <v>2</v>
      </c>
      <c r="G927">
        <v>1.8</v>
      </c>
      <c r="H927">
        <v>2</v>
      </c>
      <c r="I927">
        <v>0</v>
      </c>
      <c r="J927">
        <v>0</v>
      </c>
      <c r="K927">
        <v>1</v>
      </c>
      <c r="L927">
        <v>92152</v>
      </c>
      <c r="M927">
        <v>0</v>
      </c>
      <c r="N927">
        <v>1</v>
      </c>
      <c r="O927">
        <v>0</v>
      </c>
      <c r="Q927">
        <v>0</v>
      </c>
      <c r="R927">
        <v>0</v>
      </c>
      <c r="S927">
        <v>0</v>
      </c>
      <c r="T927">
        <v>5</v>
      </c>
      <c r="U927">
        <v>1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</row>
    <row r="928" spans="1:29" x14ac:dyDescent="0.35">
      <c r="A928">
        <v>3138</v>
      </c>
      <c r="B928">
        <v>3138</v>
      </c>
      <c r="C928">
        <v>61</v>
      </c>
      <c r="D928">
        <v>36</v>
      </c>
      <c r="E928">
        <v>13</v>
      </c>
      <c r="F928">
        <v>3</v>
      </c>
      <c r="G928">
        <v>0.5</v>
      </c>
      <c r="H928">
        <v>1</v>
      </c>
      <c r="I928">
        <v>0</v>
      </c>
      <c r="J928">
        <v>1</v>
      </c>
      <c r="K928">
        <v>0</v>
      </c>
      <c r="L928">
        <v>91711</v>
      </c>
      <c r="M928">
        <v>0</v>
      </c>
      <c r="N928">
        <v>0</v>
      </c>
      <c r="O928">
        <v>0</v>
      </c>
      <c r="Q928">
        <v>1</v>
      </c>
      <c r="R928">
        <v>0</v>
      </c>
      <c r="S928">
        <v>0</v>
      </c>
      <c r="T928">
        <v>5</v>
      </c>
      <c r="U928">
        <v>1</v>
      </c>
      <c r="V928">
        <v>0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</row>
    <row r="929" spans="1:29" x14ac:dyDescent="0.35">
      <c r="A929">
        <v>3139</v>
      </c>
      <c r="B929">
        <v>3139</v>
      </c>
      <c r="C929">
        <v>36</v>
      </c>
      <c r="D929">
        <v>11</v>
      </c>
      <c r="E929">
        <v>103</v>
      </c>
      <c r="F929">
        <v>1</v>
      </c>
      <c r="G929">
        <v>4.5999999999999996</v>
      </c>
      <c r="H929">
        <v>1</v>
      </c>
      <c r="I929">
        <v>255</v>
      </c>
      <c r="J929">
        <v>1</v>
      </c>
      <c r="K929">
        <v>0</v>
      </c>
      <c r="L929">
        <v>93555</v>
      </c>
      <c r="M929">
        <v>0</v>
      </c>
      <c r="N929">
        <v>0</v>
      </c>
      <c r="O929">
        <v>0</v>
      </c>
      <c r="Q929">
        <v>1</v>
      </c>
      <c r="R929">
        <v>0</v>
      </c>
      <c r="S929">
        <v>0</v>
      </c>
      <c r="T929">
        <v>26</v>
      </c>
      <c r="U929">
        <v>0.5</v>
      </c>
      <c r="V929">
        <v>0.5</v>
      </c>
      <c r="W929">
        <v>0.5</v>
      </c>
      <c r="X929">
        <v>0.5</v>
      </c>
      <c r="Y929">
        <v>1</v>
      </c>
      <c r="Z929">
        <v>0</v>
      </c>
      <c r="AA929">
        <v>0.5</v>
      </c>
      <c r="AB929">
        <v>-0.5</v>
      </c>
      <c r="AC929">
        <v>0</v>
      </c>
    </row>
    <row r="930" spans="1:29" x14ac:dyDescent="0.35">
      <c r="A930">
        <v>3143</v>
      </c>
      <c r="B930">
        <v>3143</v>
      </c>
      <c r="C930">
        <v>34</v>
      </c>
      <c r="D930">
        <v>8</v>
      </c>
      <c r="E930">
        <v>175</v>
      </c>
      <c r="F930">
        <v>4</v>
      </c>
      <c r="G930">
        <v>1.1000000000000001</v>
      </c>
      <c r="H930">
        <v>3</v>
      </c>
      <c r="I930">
        <v>0</v>
      </c>
      <c r="J930">
        <v>1</v>
      </c>
      <c r="K930">
        <v>1</v>
      </c>
      <c r="L930">
        <v>95051</v>
      </c>
      <c r="M930">
        <v>1</v>
      </c>
      <c r="N930">
        <v>1</v>
      </c>
      <c r="O930">
        <v>1</v>
      </c>
      <c r="Q930">
        <v>0</v>
      </c>
      <c r="R930">
        <v>1</v>
      </c>
      <c r="S930">
        <v>1</v>
      </c>
      <c r="T930">
        <v>10</v>
      </c>
      <c r="U930">
        <v>0</v>
      </c>
      <c r="V930">
        <v>1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1</v>
      </c>
    </row>
    <row r="931" spans="1:29" x14ac:dyDescent="0.35">
      <c r="A931">
        <v>3145</v>
      </c>
      <c r="B931">
        <v>3145</v>
      </c>
      <c r="C931">
        <v>43</v>
      </c>
      <c r="D931">
        <v>18</v>
      </c>
      <c r="E931">
        <v>104</v>
      </c>
      <c r="F931">
        <v>3</v>
      </c>
      <c r="G931">
        <v>1</v>
      </c>
      <c r="H931">
        <v>1</v>
      </c>
      <c r="I931">
        <v>0</v>
      </c>
      <c r="J931">
        <v>1</v>
      </c>
      <c r="K931">
        <v>0</v>
      </c>
      <c r="L931">
        <v>91711</v>
      </c>
      <c r="M931">
        <v>0</v>
      </c>
      <c r="N931">
        <v>0</v>
      </c>
      <c r="O931">
        <v>0</v>
      </c>
      <c r="Q931">
        <v>1</v>
      </c>
      <c r="R931">
        <v>0</v>
      </c>
      <c r="S931">
        <v>0</v>
      </c>
      <c r="T931">
        <v>24</v>
      </c>
      <c r="U931">
        <v>0.92857142857142005</v>
      </c>
      <c r="V931">
        <v>7.1428571428569995E-2</v>
      </c>
      <c r="W931">
        <v>0.92857142857142005</v>
      </c>
      <c r="X931">
        <v>7.1428571428569995E-2</v>
      </c>
      <c r="Y931">
        <v>0.85714285714284999</v>
      </c>
      <c r="Z931">
        <v>0.14285714285713999</v>
      </c>
      <c r="AA931">
        <v>7.1428571428579904E-2</v>
      </c>
      <c r="AB931">
        <v>-7.1428571428569995E-2</v>
      </c>
      <c r="AC931">
        <v>0</v>
      </c>
    </row>
    <row r="932" spans="1:29" x14ac:dyDescent="0.35">
      <c r="A932">
        <v>3146</v>
      </c>
      <c r="B932">
        <v>3146</v>
      </c>
      <c r="C932">
        <v>34</v>
      </c>
      <c r="D932">
        <v>10</v>
      </c>
      <c r="E932">
        <v>114</v>
      </c>
      <c r="F932">
        <v>3</v>
      </c>
      <c r="G932">
        <v>3.3</v>
      </c>
      <c r="H932">
        <v>3</v>
      </c>
      <c r="I932">
        <v>0</v>
      </c>
      <c r="J932">
        <v>0</v>
      </c>
      <c r="K932">
        <v>0</v>
      </c>
      <c r="L932">
        <v>94305</v>
      </c>
      <c r="M932">
        <v>1</v>
      </c>
      <c r="N932">
        <v>0</v>
      </c>
      <c r="O932">
        <v>0</v>
      </c>
      <c r="Q932">
        <v>0</v>
      </c>
      <c r="R932">
        <v>1</v>
      </c>
      <c r="S932">
        <v>1</v>
      </c>
      <c r="T932">
        <v>14</v>
      </c>
      <c r="U932">
        <v>0.24242424242423999</v>
      </c>
      <c r="V932">
        <v>0.75757575757575002</v>
      </c>
      <c r="W932">
        <v>0.24242424242423999</v>
      </c>
      <c r="X932">
        <v>0.75757575757575002</v>
      </c>
      <c r="Y932">
        <v>0.44444444444443998</v>
      </c>
      <c r="Z932">
        <v>0.55555555555555003</v>
      </c>
      <c r="AA932">
        <v>-0.24242424242423999</v>
      </c>
      <c r="AB932">
        <v>0.24242424242424901</v>
      </c>
      <c r="AC932">
        <v>1</v>
      </c>
    </row>
    <row r="933" spans="1:29" x14ac:dyDescent="0.35">
      <c r="A933">
        <v>3147</v>
      </c>
      <c r="B933">
        <v>3147</v>
      </c>
      <c r="C933">
        <v>26</v>
      </c>
      <c r="D933">
        <v>1</v>
      </c>
      <c r="E933">
        <v>38</v>
      </c>
      <c r="F933">
        <v>4</v>
      </c>
      <c r="G933">
        <v>1.7</v>
      </c>
      <c r="H933">
        <v>2</v>
      </c>
      <c r="I933">
        <v>0</v>
      </c>
      <c r="J933">
        <v>1</v>
      </c>
      <c r="K933">
        <v>0</v>
      </c>
      <c r="L933">
        <v>91910</v>
      </c>
      <c r="M933">
        <v>0</v>
      </c>
      <c r="N933">
        <v>0</v>
      </c>
      <c r="O933">
        <v>0</v>
      </c>
      <c r="Q933">
        <v>0</v>
      </c>
      <c r="R933">
        <v>0</v>
      </c>
      <c r="S933">
        <v>0</v>
      </c>
      <c r="T933">
        <v>5</v>
      </c>
      <c r="U933">
        <v>1</v>
      </c>
      <c r="V933">
        <v>0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</row>
    <row r="934" spans="1:29" x14ac:dyDescent="0.35">
      <c r="A934">
        <v>3149</v>
      </c>
      <c r="B934">
        <v>3149</v>
      </c>
      <c r="C934">
        <v>48</v>
      </c>
      <c r="D934">
        <v>22</v>
      </c>
      <c r="E934">
        <v>19</v>
      </c>
      <c r="F934">
        <v>2</v>
      </c>
      <c r="G934">
        <v>0.1</v>
      </c>
      <c r="H934">
        <v>3</v>
      </c>
      <c r="I934">
        <v>106</v>
      </c>
      <c r="J934">
        <v>0</v>
      </c>
      <c r="K934">
        <v>0</v>
      </c>
      <c r="L934">
        <v>95616</v>
      </c>
      <c r="M934">
        <v>0</v>
      </c>
      <c r="N934">
        <v>0</v>
      </c>
      <c r="O934">
        <v>0</v>
      </c>
      <c r="Q934">
        <v>0</v>
      </c>
      <c r="R934">
        <v>0</v>
      </c>
      <c r="S934">
        <v>0</v>
      </c>
      <c r="T934">
        <v>5</v>
      </c>
      <c r="U934">
        <v>1</v>
      </c>
      <c r="V934">
        <v>0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</row>
    <row r="935" spans="1:29" x14ac:dyDescent="0.35">
      <c r="A935">
        <v>3153</v>
      </c>
      <c r="B935">
        <v>3153</v>
      </c>
      <c r="C935">
        <v>40</v>
      </c>
      <c r="D935">
        <v>15</v>
      </c>
      <c r="E935">
        <v>83</v>
      </c>
      <c r="F935">
        <v>1</v>
      </c>
      <c r="G935">
        <v>1</v>
      </c>
      <c r="H935">
        <v>3</v>
      </c>
      <c r="I935">
        <v>0</v>
      </c>
      <c r="J935">
        <v>0</v>
      </c>
      <c r="K935">
        <v>0</v>
      </c>
      <c r="L935">
        <v>90275</v>
      </c>
      <c r="M935">
        <v>0</v>
      </c>
      <c r="N935">
        <v>0</v>
      </c>
      <c r="O935">
        <v>0</v>
      </c>
      <c r="Q935">
        <v>0</v>
      </c>
      <c r="R935">
        <v>0</v>
      </c>
      <c r="S935">
        <v>0</v>
      </c>
      <c r="T935">
        <v>5</v>
      </c>
      <c r="U935">
        <v>1</v>
      </c>
      <c r="V935">
        <v>0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</row>
    <row r="936" spans="1:29" x14ac:dyDescent="0.35">
      <c r="A936">
        <v>3157</v>
      </c>
      <c r="B936">
        <v>3157</v>
      </c>
      <c r="C936">
        <v>54</v>
      </c>
      <c r="D936">
        <v>30</v>
      </c>
      <c r="E936">
        <v>24</v>
      </c>
      <c r="F936">
        <v>1</v>
      </c>
      <c r="G936">
        <v>0.1</v>
      </c>
      <c r="H936">
        <v>2</v>
      </c>
      <c r="I936">
        <v>0</v>
      </c>
      <c r="J936">
        <v>0</v>
      </c>
      <c r="K936">
        <v>0</v>
      </c>
      <c r="L936">
        <v>92647</v>
      </c>
      <c r="M936">
        <v>0</v>
      </c>
      <c r="N936">
        <v>0</v>
      </c>
      <c r="O936">
        <v>0</v>
      </c>
      <c r="Q936">
        <v>0</v>
      </c>
      <c r="R936">
        <v>0</v>
      </c>
      <c r="S936">
        <v>0</v>
      </c>
      <c r="T936">
        <v>5</v>
      </c>
      <c r="U936">
        <v>1</v>
      </c>
      <c r="V936">
        <v>0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</row>
    <row r="937" spans="1:29" x14ac:dyDescent="0.35">
      <c r="A937">
        <v>3159</v>
      </c>
      <c r="B937">
        <v>3159</v>
      </c>
      <c r="C937">
        <v>54</v>
      </c>
      <c r="D937">
        <v>28</v>
      </c>
      <c r="E937">
        <v>64</v>
      </c>
      <c r="F937">
        <v>2</v>
      </c>
      <c r="G937">
        <v>0.8</v>
      </c>
      <c r="H937">
        <v>3</v>
      </c>
      <c r="I937">
        <v>0</v>
      </c>
      <c r="J937">
        <v>1</v>
      </c>
      <c r="K937">
        <v>0</v>
      </c>
      <c r="L937">
        <v>90095</v>
      </c>
      <c r="M937">
        <v>0</v>
      </c>
      <c r="N937">
        <v>1</v>
      </c>
      <c r="O937">
        <v>0</v>
      </c>
      <c r="Q937">
        <v>0</v>
      </c>
      <c r="R937">
        <v>0</v>
      </c>
      <c r="S937">
        <v>0</v>
      </c>
      <c r="T937">
        <v>5</v>
      </c>
      <c r="U937">
        <v>1</v>
      </c>
      <c r="V937">
        <v>0</v>
      </c>
      <c r="W937">
        <v>1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</row>
    <row r="938" spans="1:29" x14ac:dyDescent="0.35">
      <c r="A938">
        <v>3162</v>
      </c>
      <c r="B938">
        <v>3162</v>
      </c>
      <c r="C938">
        <v>28</v>
      </c>
      <c r="D938">
        <v>4</v>
      </c>
      <c r="E938">
        <v>88</v>
      </c>
      <c r="F938">
        <v>1</v>
      </c>
      <c r="G938">
        <v>5.4</v>
      </c>
      <c r="H938">
        <v>1</v>
      </c>
      <c r="I938">
        <v>0</v>
      </c>
      <c r="J938">
        <v>1</v>
      </c>
      <c r="K938">
        <v>0</v>
      </c>
      <c r="L938">
        <v>94024</v>
      </c>
      <c r="M938">
        <v>0</v>
      </c>
      <c r="N938">
        <v>0</v>
      </c>
      <c r="O938">
        <v>0</v>
      </c>
      <c r="Q938">
        <v>1</v>
      </c>
      <c r="R938">
        <v>0</v>
      </c>
      <c r="S938">
        <v>0</v>
      </c>
      <c r="T938">
        <v>15</v>
      </c>
      <c r="U938">
        <v>0.91935483870967005</v>
      </c>
      <c r="V938">
        <v>8.0645161290319997E-2</v>
      </c>
      <c r="W938">
        <v>0.91935483870967005</v>
      </c>
      <c r="X938">
        <v>8.0645161290319997E-2</v>
      </c>
      <c r="Y938">
        <v>0.86</v>
      </c>
      <c r="Z938">
        <v>0.14000000000000001</v>
      </c>
      <c r="AA938">
        <v>8.0645161290329906E-2</v>
      </c>
      <c r="AB938">
        <v>-8.0645161290319997E-2</v>
      </c>
      <c r="AC938">
        <v>0</v>
      </c>
    </row>
    <row r="939" spans="1:29" x14ac:dyDescent="0.35">
      <c r="A939">
        <v>3170</v>
      </c>
      <c r="B939">
        <v>3170</v>
      </c>
      <c r="C939">
        <v>52</v>
      </c>
      <c r="D939">
        <v>28</v>
      </c>
      <c r="E939">
        <v>55</v>
      </c>
      <c r="F939">
        <v>1</v>
      </c>
      <c r="G939">
        <v>1.6</v>
      </c>
      <c r="H939">
        <v>2</v>
      </c>
      <c r="I939">
        <v>227</v>
      </c>
      <c r="J939">
        <v>0</v>
      </c>
      <c r="K939">
        <v>0</v>
      </c>
      <c r="L939">
        <v>94608</v>
      </c>
      <c r="M939">
        <v>0</v>
      </c>
      <c r="N939">
        <v>0</v>
      </c>
      <c r="O939">
        <v>0</v>
      </c>
      <c r="Q939">
        <v>0</v>
      </c>
      <c r="R939">
        <v>0</v>
      </c>
      <c r="S939">
        <v>0</v>
      </c>
      <c r="T939">
        <v>5</v>
      </c>
      <c r="U939">
        <v>1</v>
      </c>
      <c r="V939">
        <v>0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</row>
    <row r="940" spans="1:29" x14ac:dyDescent="0.35">
      <c r="A940">
        <v>3171</v>
      </c>
      <c r="B940">
        <v>3171</v>
      </c>
      <c r="C940">
        <v>43</v>
      </c>
      <c r="D940">
        <v>16</v>
      </c>
      <c r="E940">
        <v>65</v>
      </c>
      <c r="F940">
        <v>3</v>
      </c>
      <c r="G940">
        <v>2.67</v>
      </c>
      <c r="H940">
        <v>2</v>
      </c>
      <c r="I940">
        <v>100</v>
      </c>
      <c r="J940">
        <v>0</v>
      </c>
      <c r="K940">
        <v>0</v>
      </c>
      <c r="L940">
        <v>94110</v>
      </c>
      <c r="M940">
        <v>0</v>
      </c>
      <c r="N940">
        <v>0</v>
      </c>
      <c r="O940">
        <v>0</v>
      </c>
      <c r="Q940">
        <v>0</v>
      </c>
      <c r="R940">
        <v>0</v>
      </c>
      <c r="S940">
        <v>0</v>
      </c>
      <c r="T940">
        <v>5</v>
      </c>
      <c r="U940">
        <v>1</v>
      </c>
      <c r="V940">
        <v>0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</row>
    <row r="941" spans="1:29" x14ac:dyDescent="0.35">
      <c r="A941">
        <v>3174</v>
      </c>
      <c r="B941">
        <v>3174</v>
      </c>
      <c r="C941">
        <v>34</v>
      </c>
      <c r="D941">
        <v>10</v>
      </c>
      <c r="E941">
        <v>35</v>
      </c>
      <c r="F941">
        <v>1</v>
      </c>
      <c r="G941">
        <v>1.7</v>
      </c>
      <c r="H941">
        <v>1</v>
      </c>
      <c r="I941">
        <v>0</v>
      </c>
      <c r="J941">
        <v>1</v>
      </c>
      <c r="K941">
        <v>0</v>
      </c>
      <c r="L941">
        <v>94309</v>
      </c>
      <c r="M941">
        <v>0</v>
      </c>
      <c r="N941">
        <v>0</v>
      </c>
      <c r="O941">
        <v>0</v>
      </c>
      <c r="Q941">
        <v>1</v>
      </c>
      <c r="R941">
        <v>0</v>
      </c>
      <c r="S941">
        <v>0</v>
      </c>
      <c r="T941">
        <v>5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</row>
    <row r="942" spans="1:29" x14ac:dyDescent="0.35">
      <c r="A942">
        <v>3175</v>
      </c>
      <c r="B942">
        <v>3175</v>
      </c>
      <c r="C942">
        <v>49</v>
      </c>
      <c r="D942">
        <v>24</v>
      </c>
      <c r="E942">
        <v>35</v>
      </c>
      <c r="F942">
        <v>4</v>
      </c>
      <c r="G942">
        <v>0.2</v>
      </c>
      <c r="H942">
        <v>2</v>
      </c>
      <c r="I942">
        <v>0</v>
      </c>
      <c r="J942">
        <v>0</v>
      </c>
      <c r="K942">
        <v>1</v>
      </c>
      <c r="L942">
        <v>94701</v>
      </c>
      <c r="M942">
        <v>0</v>
      </c>
      <c r="N942">
        <v>0</v>
      </c>
      <c r="O942">
        <v>0</v>
      </c>
      <c r="Q942">
        <v>0</v>
      </c>
      <c r="R942">
        <v>0</v>
      </c>
      <c r="S942">
        <v>0</v>
      </c>
      <c r="T942">
        <v>5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</row>
    <row r="943" spans="1:29" x14ac:dyDescent="0.35">
      <c r="A943">
        <v>3179</v>
      </c>
      <c r="B943">
        <v>3179</v>
      </c>
      <c r="C943">
        <v>46</v>
      </c>
      <c r="D943">
        <v>21</v>
      </c>
      <c r="E943">
        <v>71</v>
      </c>
      <c r="F943">
        <v>4</v>
      </c>
      <c r="G943">
        <v>1.9</v>
      </c>
      <c r="H943">
        <v>3</v>
      </c>
      <c r="I943">
        <v>0</v>
      </c>
      <c r="J943">
        <v>0</v>
      </c>
      <c r="K943">
        <v>0</v>
      </c>
      <c r="L943">
        <v>95814</v>
      </c>
      <c r="M943">
        <v>0</v>
      </c>
      <c r="N943">
        <v>0</v>
      </c>
      <c r="O943">
        <v>0</v>
      </c>
      <c r="Q943">
        <v>0</v>
      </c>
      <c r="R943">
        <v>0</v>
      </c>
      <c r="S943">
        <v>0</v>
      </c>
      <c r="T943">
        <v>5</v>
      </c>
      <c r="U943">
        <v>1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</row>
    <row r="944" spans="1:29" x14ac:dyDescent="0.35">
      <c r="A944">
        <v>3189</v>
      </c>
      <c r="B944">
        <v>3189</v>
      </c>
      <c r="C944">
        <v>55</v>
      </c>
      <c r="D944">
        <v>25</v>
      </c>
      <c r="E944">
        <v>90</v>
      </c>
      <c r="F944">
        <v>2</v>
      </c>
      <c r="G944">
        <v>4.5</v>
      </c>
      <c r="H944">
        <v>3</v>
      </c>
      <c r="I944">
        <v>0</v>
      </c>
      <c r="J944">
        <v>0</v>
      </c>
      <c r="K944">
        <v>1</v>
      </c>
      <c r="L944">
        <v>90717</v>
      </c>
      <c r="M944">
        <v>0</v>
      </c>
      <c r="N944">
        <v>0</v>
      </c>
      <c r="O944">
        <v>0</v>
      </c>
      <c r="Q944">
        <v>0</v>
      </c>
      <c r="R944">
        <v>0</v>
      </c>
      <c r="S944">
        <v>0</v>
      </c>
      <c r="T944">
        <v>15</v>
      </c>
      <c r="U944">
        <v>0.91935483870967005</v>
      </c>
      <c r="V944">
        <v>8.0645161290319997E-2</v>
      </c>
      <c r="W944">
        <v>0.91935483870967005</v>
      </c>
      <c r="X944">
        <v>8.0645161290319997E-2</v>
      </c>
      <c r="Y944">
        <v>0.86</v>
      </c>
      <c r="Z944">
        <v>0.14000000000000001</v>
      </c>
      <c r="AA944">
        <v>8.0645161290329906E-2</v>
      </c>
      <c r="AB944">
        <v>-8.0645161290319997E-2</v>
      </c>
      <c r="AC944">
        <v>0</v>
      </c>
    </row>
    <row r="945" spans="1:29" x14ac:dyDescent="0.35">
      <c r="A945">
        <v>3190</v>
      </c>
      <c r="B945">
        <v>3190</v>
      </c>
      <c r="C945">
        <v>32</v>
      </c>
      <c r="D945">
        <v>6</v>
      </c>
      <c r="E945">
        <v>31</v>
      </c>
      <c r="F945">
        <v>1</v>
      </c>
      <c r="G945">
        <v>0.3</v>
      </c>
      <c r="H945">
        <v>1</v>
      </c>
      <c r="I945">
        <v>0</v>
      </c>
      <c r="J945">
        <v>0</v>
      </c>
      <c r="K945">
        <v>0</v>
      </c>
      <c r="L945">
        <v>92675</v>
      </c>
      <c r="M945">
        <v>0</v>
      </c>
      <c r="N945">
        <v>0</v>
      </c>
      <c r="O945">
        <v>0</v>
      </c>
      <c r="Q945">
        <v>1</v>
      </c>
      <c r="R945">
        <v>0</v>
      </c>
      <c r="S945">
        <v>0</v>
      </c>
      <c r="T945">
        <v>5</v>
      </c>
      <c r="U945">
        <v>1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</row>
    <row r="946" spans="1:29" x14ac:dyDescent="0.35">
      <c r="A946">
        <v>3197</v>
      </c>
      <c r="B946">
        <v>3197</v>
      </c>
      <c r="C946">
        <v>37</v>
      </c>
      <c r="D946">
        <v>7</v>
      </c>
      <c r="E946">
        <v>73</v>
      </c>
      <c r="F946">
        <v>4</v>
      </c>
      <c r="G946">
        <v>1.8</v>
      </c>
      <c r="H946">
        <v>3</v>
      </c>
      <c r="I946">
        <v>0</v>
      </c>
      <c r="J946">
        <v>1</v>
      </c>
      <c r="K946">
        <v>1</v>
      </c>
      <c r="L946">
        <v>94043</v>
      </c>
      <c r="M946">
        <v>0</v>
      </c>
      <c r="N946">
        <v>0</v>
      </c>
      <c r="O946">
        <v>0</v>
      </c>
      <c r="Q946">
        <v>0</v>
      </c>
      <c r="R946">
        <v>0</v>
      </c>
      <c r="S946">
        <v>0</v>
      </c>
      <c r="T946">
        <v>5</v>
      </c>
      <c r="U946">
        <v>1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</row>
    <row r="947" spans="1:29" x14ac:dyDescent="0.35">
      <c r="A947">
        <v>3202</v>
      </c>
      <c r="B947">
        <v>3202</v>
      </c>
      <c r="C947">
        <v>28</v>
      </c>
      <c r="D947">
        <v>3</v>
      </c>
      <c r="E947">
        <v>81</v>
      </c>
      <c r="F947">
        <v>4</v>
      </c>
      <c r="G947">
        <v>0.2</v>
      </c>
      <c r="H947">
        <v>1</v>
      </c>
      <c r="I947">
        <v>0</v>
      </c>
      <c r="J947">
        <v>0</v>
      </c>
      <c r="K947">
        <v>0</v>
      </c>
      <c r="L947">
        <v>92121</v>
      </c>
      <c r="M947">
        <v>0</v>
      </c>
      <c r="N947">
        <v>0</v>
      </c>
      <c r="O947">
        <v>0</v>
      </c>
      <c r="Q947">
        <v>1</v>
      </c>
      <c r="R947">
        <v>0</v>
      </c>
      <c r="S947">
        <v>0</v>
      </c>
      <c r="T947">
        <v>5</v>
      </c>
      <c r="U947">
        <v>1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</row>
    <row r="948" spans="1:29" x14ac:dyDescent="0.35">
      <c r="A948">
        <v>3204</v>
      </c>
      <c r="B948">
        <v>3204</v>
      </c>
      <c r="C948">
        <v>44</v>
      </c>
      <c r="D948">
        <v>20</v>
      </c>
      <c r="E948">
        <v>119</v>
      </c>
      <c r="F948">
        <v>2</v>
      </c>
      <c r="G948">
        <v>7.5</v>
      </c>
      <c r="H948">
        <v>1</v>
      </c>
      <c r="I948">
        <v>239</v>
      </c>
      <c r="J948">
        <v>1</v>
      </c>
      <c r="K948">
        <v>0</v>
      </c>
      <c r="L948">
        <v>92677</v>
      </c>
      <c r="M948">
        <v>0</v>
      </c>
      <c r="N948">
        <v>0</v>
      </c>
      <c r="O948">
        <v>0</v>
      </c>
      <c r="Q948">
        <v>1</v>
      </c>
      <c r="R948">
        <v>0</v>
      </c>
      <c r="S948">
        <v>0</v>
      </c>
      <c r="T948">
        <v>22</v>
      </c>
      <c r="U948">
        <v>1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</row>
    <row r="949" spans="1:29" x14ac:dyDescent="0.35">
      <c r="A949">
        <v>3207</v>
      </c>
      <c r="B949">
        <v>3207</v>
      </c>
      <c r="C949">
        <v>33</v>
      </c>
      <c r="D949">
        <v>7</v>
      </c>
      <c r="E949">
        <v>80</v>
      </c>
      <c r="F949">
        <v>2</v>
      </c>
      <c r="G949">
        <v>1.5</v>
      </c>
      <c r="H949">
        <v>3</v>
      </c>
      <c r="I949">
        <v>0</v>
      </c>
      <c r="J949">
        <v>1</v>
      </c>
      <c r="K949">
        <v>1</v>
      </c>
      <c r="L949">
        <v>91103</v>
      </c>
      <c r="M949">
        <v>0</v>
      </c>
      <c r="N949">
        <v>0</v>
      </c>
      <c r="O949">
        <v>0</v>
      </c>
      <c r="Q949">
        <v>0</v>
      </c>
      <c r="R949">
        <v>0</v>
      </c>
      <c r="S949">
        <v>0</v>
      </c>
      <c r="T949">
        <v>5</v>
      </c>
      <c r="U949">
        <v>1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</row>
    <row r="950" spans="1:29" x14ac:dyDescent="0.35">
      <c r="A950">
        <v>3209</v>
      </c>
      <c r="B950">
        <v>3209</v>
      </c>
      <c r="C950">
        <v>53</v>
      </c>
      <c r="D950">
        <v>29</v>
      </c>
      <c r="E950">
        <v>61</v>
      </c>
      <c r="F950">
        <v>4</v>
      </c>
      <c r="G950">
        <v>1.6</v>
      </c>
      <c r="H950">
        <v>2</v>
      </c>
      <c r="I950">
        <v>0</v>
      </c>
      <c r="J950">
        <v>1</v>
      </c>
      <c r="K950">
        <v>0</v>
      </c>
      <c r="L950">
        <v>95032</v>
      </c>
      <c r="M950">
        <v>0</v>
      </c>
      <c r="N950">
        <v>0</v>
      </c>
      <c r="O950">
        <v>0</v>
      </c>
      <c r="Q950">
        <v>0</v>
      </c>
      <c r="R950">
        <v>0</v>
      </c>
      <c r="S950">
        <v>0</v>
      </c>
      <c r="T950">
        <v>5</v>
      </c>
      <c r="U950">
        <v>1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</row>
    <row r="951" spans="1:29" x14ac:dyDescent="0.35">
      <c r="A951">
        <v>3210</v>
      </c>
      <c r="B951">
        <v>3210</v>
      </c>
      <c r="C951">
        <v>42</v>
      </c>
      <c r="D951">
        <v>16</v>
      </c>
      <c r="E951">
        <v>173</v>
      </c>
      <c r="F951">
        <v>2</v>
      </c>
      <c r="G951">
        <v>1.5</v>
      </c>
      <c r="H951">
        <v>2</v>
      </c>
      <c r="I951">
        <v>373</v>
      </c>
      <c r="J951">
        <v>1</v>
      </c>
      <c r="K951">
        <v>1</v>
      </c>
      <c r="L951">
        <v>91355</v>
      </c>
      <c r="M951">
        <v>1</v>
      </c>
      <c r="N951">
        <v>0</v>
      </c>
      <c r="O951">
        <v>1</v>
      </c>
      <c r="Q951">
        <v>0</v>
      </c>
      <c r="R951">
        <v>1</v>
      </c>
      <c r="S951">
        <v>1</v>
      </c>
      <c r="T951">
        <v>10</v>
      </c>
      <c r="U951">
        <v>0</v>
      </c>
      <c r="V951">
        <v>1</v>
      </c>
      <c r="W951">
        <v>0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1</v>
      </c>
    </row>
    <row r="952" spans="1:29" x14ac:dyDescent="0.35">
      <c r="A952">
        <v>3212</v>
      </c>
      <c r="B952">
        <v>3212</v>
      </c>
      <c r="C952">
        <v>35</v>
      </c>
      <c r="D952">
        <v>9</v>
      </c>
      <c r="E952">
        <v>83</v>
      </c>
      <c r="F952">
        <v>2</v>
      </c>
      <c r="G952">
        <v>4.5</v>
      </c>
      <c r="H952">
        <v>3</v>
      </c>
      <c r="I952">
        <v>0</v>
      </c>
      <c r="J952">
        <v>1</v>
      </c>
      <c r="K952">
        <v>0</v>
      </c>
      <c r="L952">
        <v>90277</v>
      </c>
      <c r="M952">
        <v>0</v>
      </c>
      <c r="N952">
        <v>0</v>
      </c>
      <c r="O952">
        <v>0</v>
      </c>
      <c r="Q952">
        <v>0</v>
      </c>
      <c r="R952">
        <v>0</v>
      </c>
      <c r="S952">
        <v>0</v>
      </c>
      <c r="T952">
        <v>15</v>
      </c>
      <c r="U952">
        <v>0.91935483870967005</v>
      </c>
      <c r="V952">
        <v>8.0645161290319997E-2</v>
      </c>
      <c r="W952">
        <v>0.91935483870967005</v>
      </c>
      <c r="X952">
        <v>8.0645161290319997E-2</v>
      </c>
      <c r="Y952">
        <v>0.86</v>
      </c>
      <c r="Z952">
        <v>0.14000000000000001</v>
      </c>
      <c r="AA952">
        <v>8.0645161290329906E-2</v>
      </c>
      <c r="AB952">
        <v>-8.0645161290319997E-2</v>
      </c>
      <c r="AC952">
        <v>0</v>
      </c>
    </row>
    <row r="953" spans="1:29" x14ac:dyDescent="0.35">
      <c r="A953">
        <v>3215</v>
      </c>
      <c r="B953">
        <v>3215</v>
      </c>
      <c r="C953">
        <v>61</v>
      </c>
      <c r="D953">
        <v>37</v>
      </c>
      <c r="E953">
        <v>33</v>
      </c>
      <c r="F953">
        <v>3</v>
      </c>
      <c r="G953">
        <v>0.1</v>
      </c>
      <c r="H953">
        <v>3</v>
      </c>
      <c r="I953">
        <v>0</v>
      </c>
      <c r="J953">
        <v>1</v>
      </c>
      <c r="K953">
        <v>0</v>
      </c>
      <c r="L953">
        <v>91775</v>
      </c>
      <c r="M953">
        <v>0</v>
      </c>
      <c r="N953">
        <v>0</v>
      </c>
      <c r="O953">
        <v>0</v>
      </c>
      <c r="Q953">
        <v>0</v>
      </c>
      <c r="R953">
        <v>0</v>
      </c>
      <c r="S953">
        <v>0</v>
      </c>
      <c r="T953">
        <v>5</v>
      </c>
      <c r="U953">
        <v>1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</row>
    <row r="954" spans="1:29" x14ac:dyDescent="0.35">
      <c r="A954">
        <v>3222</v>
      </c>
      <c r="B954">
        <v>3222</v>
      </c>
      <c r="C954">
        <v>40</v>
      </c>
      <c r="D954">
        <v>16</v>
      </c>
      <c r="E954">
        <v>44</v>
      </c>
      <c r="F954">
        <v>1</v>
      </c>
      <c r="G954">
        <v>1.8</v>
      </c>
      <c r="H954">
        <v>1</v>
      </c>
      <c r="I954">
        <v>0</v>
      </c>
      <c r="J954">
        <v>1</v>
      </c>
      <c r="K954">
        <v>0</v>
      </c>
      <c r="L954">
        <v>93407</v>
      </c>
      <c r="M954">
        <v>0</v>
      </c>
      <c r="N954">
        <v>1</v>
      </c>
      <c r="O954">
        <v>0</v>
      </c>
      <c r="Q954">
        <v>1</v>
      </c>
      <c r="R954">
        <v>0</v>
      </c>
      <c r="S954">
        <v>0</v>
      </c>
      <c r="T954">
        <v>5</v>
      </c>
      <c r="U954">
        <v>1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</row>
    <row r="955" spans="1:29" x14ac:dyDescent="0.35">
      <c r="A955">
        <v>3226</v>
      </c>
      <c r="B955">
        <v>3226</v>
      </c>
      <c r="C955">
        <v>52</v>
      </c>
      <c r="D955">
        <v>28</v>
      </c>
      <c r="E955">
        <v>38</v>
      </c>
      <c r="F955">
        <v>4</v>
      </c>
      <c r="G955">
        <v>0.9</v>
      </c>
      <c r="H955">
        <v>2</v>
      </c>
      <c r="I955">
        <v>0</v>
      </c>
      <c r="J955">
        <v>0</v>
      </c>
      <c r="K955">
        <v>1</v>
      </c>
      <c r="L955">
        <v>95064</v>
      </c>
      <c r="M955">
        <v>0</v>
      </c>
      <c r="N955">
        <v>0</v>
      </c>
      <c r="O955">
        <v>0</v>
      </c>
      <c r="Q955">
        <v>0</v>
      </c>
      <c r="R955">
        <v>0</v>
      </c>
      <c r="S955">
        <v>0</v>
      </c>
      <c r="T955">
        <v>5</v>
      </c>
      <c r="U955">
        <v>1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</row>
    <row r="956" spans="1:29" x14ac:dyDescent="0.35">
      <c r="A956">
        <v>3235</v>
      </c>
      <c r="B956">
        <v>3235</v>
      </c>
      <c r="C956">
        <v>37</v>
      </c>
      <c r="D956">
        <v>12</v>
      </c>
      <c r="E956">
        <v>114</v>
      </c>
      <c r="F956">
        <v>3</v>
      </c>
      <c r="G956">
        <v>0.6</v>
      </c>
      <c r="H956">
        <v>2</v>
      </c>
      <c r="I956">
        <v>0</v>
      </c>
      <c r="J956">
        <v>1</v>
      </c>
      <c r="K956">
        <v>0</v>
      </c>
      <c r="L956">
        <v>91107</v>
      </c>
      <c r="M956">
        <v>0</v>
      </c>
      <c r="N956">
        <v>0</v>
      </c>
      <c r="O956">
        <v>0</v>
      </c>
      <c r="Q956">
        <v>0</v>
      </c>
      <c r="R956">
        <v>0</v>
      </c>
      <c r="S956">
        <v>0</v>
      </c>
      <c r="T956">
        <v>13</v>
      </c>
      <c r="U956">
        <v>0.88607594936708001</v>
      </c>
      <c r="V956">
        <v>0.11392405063291</v>
      </c>
      <c r="W956">
        <v>0.88607594936708001</v>
      </c>
      <c r="X956">
        <v>0.11392405063291</v>
      </c>
      <c r="Y956">
        <v>0.86842105263156999</v>
      </c>
      <c r="Z956">
        <v>0.13157894736841999</v>
      </c>
      <c r="AA956">
        <v>0.11392405063291999</v>
      </c>
      <c r="AB956">
        <v>-0.11392405063291</v>
      </c>
      <c r="AC956">
        <v>0</v>
      </c>
    </row>
    <row r="957" spans="1:29" x14ac:dyDescent="0.35">
      <c r="A957">
        <v>3239</v>
      </c>
      <c r="B957">
        <v>3239</v>
      </c>
      <c r="C957">
        <v>52</v>
      </c>
      <c r="D957">
        <v>28</v>
      </c>
      <c r="E957">
        <v>49</v>
      </c>
      <c r="F957">
        <v>4</v>
      </c>
      <c r="G957">
        <v>1.1000000000000001</v>
      </c>
      <c r="H957">
        <v>2</v>
      </c>
      <c r="I957">
        <v>0</v>
      </c>
      <c r="J957">
        <v>1</v>
      </c>
      <c r="K957">
        <v>0</v>
      </c>
      <c r="L957">
        <v>94928</v>
      </c>
      <c r="M957">
        <v>0</v>
      </c>
      <c r="N957">
        <v>0</v>
      </c>
      <c r="O957">
        <v>0</v>
      </c>
      <c r="Q957">
        <v>0</v>
      </c>
      <c r="R957">
        <v>0</v>
      </c>
      <c r="S957">
        <v>0</v>
      </c>
      <c r="T957">
        <v>5</v>
      </c>
      <c r="U957">
        <v>1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</row>
    <row r="958" spans="1:29" x14ac:dyDescent="0.35">
      <c r="A958">
        <v>3246</v>
      </c>
      <c r="B958">
        <v>3246</v>
      </c>
      <c r="C958">
        <v>47</v>
      </c>
      <c r="D958">
        <v>22</v>
      </c>
      <c r="E958">
        <v>81</v>
      </c>
      <c r="F958">
        <v>4</v>
      </c>
      <c r="G958">
        <v>3.6</v>
      </c>
      <c r="H958">
        <v>3</v>
      </c>
      <c r="I958">
        <v>0</v>
      </c>
      <c r="J958">
        <v>1</v>
      </c>
      <c r="K958">
        <v>1</v>
      </c>
      <c r="L958">
        <v>90009</v>
      </c>
      <c r="M958">
        <v>0</v>
      </c>
      <c r="N958">
        <v>0</v>
      </c>
      <c r="O958">
        <v>0</v>
      </c>
      <c r="Q958">
        <v>0</v>
      </c>
      <c r="R958">
        <v>0</v>
      </c>
      <c r="S958">
        <v>0</v>
      </c>
      <c r="T958">
        <v>15</v>
      </c>
      <c r="U958">
        <v>0.91935483870967005</v>
      </c>
      <c r="V958">
        <v>8.0645161290319997E-2</v>
      </c>
      <c r="W958">
        <v>0.91935483870967005</v>
      </c>
      <c r="X958">
        <v>8.0645161290319997E-2</v>
      </c>
      <c r="Y958">
        <v>0.86</v>
      </c>
      <c r="Z958">
        <v>0.14000000000000001</v>
      </c>
      <c r="AA958">
        <v>8.0645161290329906E-2</v>
      </c>
      <c r="AB958">
        <v>-8.0645161290319997E-2</v>
      </c>
      <c r="AC958">
        <v>0</v>
      </c>
    </row>
    <row r="959" spans="1:29" x14ac:dyDescent="0.35">
      <c r="A959">
        <v>3250</v>
      </c>
      <c r="B959">
        <v>3250</v>
      </c>
      <c r="C959">
        <v>50</v>
      </c>
      <c r="D959">
        <v>25</v>
      </c>
      <c r="E959">
        <v>81</v>
      </c>
      <c r="F959">
        <v>1</v>
      </c>
      <c r="G959">
        <v>1.2</v>
      </c>
      <c r="H959">
        <v>1</v>
      </c>
      <c r="I959">
        <v>0</v>
      </c>
      <c r="J959">
        <v>0</v>
      </c>
      <c r="K959">
        <v>0</v>
      </c>
      <c r="L959">
        <v>92806</v>
      </c>
      <c r="M959">
        <v>0</v>
      </c>
      <c r="N959">
        <v>0</v>
      </c>
      <c r="O959">
        <v>0</v>
      </c>
      <c r="Q959">
        <v>1</v>
      </c>
      <c r="R959">
        <v>0</v>
      </c>
      <c r="S959">
        <v>0</v>
      </c>
      <c r="T959">
        <v>5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</row>
    <row r="960" spans="1:29" x14ac:dyDescent="0.35">
      <c r="A960">
        <v>3255</v>
      </c>
      <c r="B960">
        <v>3255</v>
      </c>
      <c r="C960">
        <v>61</v>
      </c>
      <c r="D960">
        <v>37</v>
      </c>
      <c r="E960">
        <v>9</v>
      </c>
      <c r="F960">
        <v>2</v>
      </c>
      <c r="G960">
        <v>0.3</v>
      </c>
      <c r="H960">
        <v>3</v>
      </c>
      <c r="I960">
        <v>0</v>
      </c>
      <c r="J960">
        <v>1</v>
      </c>
      <c r="K960">
        <v>0</v>
      </c>
      <c r="L960">
        <v>93907</v>
      </c>
      <c r="M960">
        <v>0</v>
      </c>
      <c r="N960">
        <v>0</v>
      </c>
      <c r="O960">
        <v>0</v>
      </c>
      <c r="Q960">
        <v>0</v>
      </c>
      <c r="R960">
        <v>0</v>
      </c>
      <c r="S960">
        <v>0</v>
      </c>
      <c r="T960">
        <v>5</v>
      </c>
      <c r="U960">
        <v>1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</row>
    <row r="961" spans="1:29" x14ac:dyDescent="0.35">
      <c r="A961">
        <v>3259</v>
      </c>
      <c r="B961">
        <v>3259</v>
      </c>
      <c r="C961">
        <v>41</v>
      </c>
      <c r="D961">
        <v>17</v>
      </c>
      <c r="E961">
        <v>42</v>
      </c>
      <c r="F961">
        <v>4</v>
      </c>
      <c r="G961">
        <v>2.2000000000000002</v>
      </c>
      <c r="H961">
        <v>2</v>
      </c>
      <c r="I961">
        <v>185</v>
      </c>
      <c r="J961">
        <v>1</v>
      </c>
      <c r="K961">
        <v>0</v>
      </c>
      <c r="L961">
        <v>91910</v>
      </c>
      <c r="M961">
        <v>0</v>
      </c>
      <c r="N961">
        <v>1</v>
      </c>
      <c r="O961">
        <v>0</v>
      </c>
      <c r="Q961">
        <v>0</v>
      </c>
      <c r="R961">
        <v>0</v>
      </c>
      <c r="S961">
        <v>0</v>
      </c>
      <c r="T961">
        <v>5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</row>
    <row r="962" spans="1:29" x14ac:dyDescent="0.35">
      <c r="A962">
        <v>3263</v>
      </c>
      <c r="B962">
        <v>3263</v>
      </c>
      <c r="C962">
        <v>44</v>
      </c>
      <c r="D962">
        <v>19</v>
      </c>
      <c r="E962">
        <v>85</v>
      </c>
      <c r="F962">
        <v>2</v>
      </c>
      <c r="G962">
        <v>3.8</v>
      </c>
      <c r="H962">
        <v>3</v>
      </c>
      <c r="I962">
        <v>0</v>
      </c>
      <c r="J962">
        <v>1</v>
      </c>
      <c r="K962">
        <v>0</v>
      </c>
      <c r="L962">
        <v>90024</v>
      </c>
      <c r="M962">
        <v>0</v>
      </c>
      <c r="N962">
        <v>0</v>
      </c>
      <c r="O962">
        <v>0</v>
      </c>
      <c r="Q962">
        <v>0</v>
      </c>
      <c r="R962">
        <v>0</v>
      </c>
      <c r="S962">
        <v>0</v>
      </c>
      <c r="T962">
        <v>15</v>
      </c>
      <c r="U962">
        <v>0.91935483870967005</v>
      </c>
      <c r="V962">
        <v>8.0645161290319997E-2</v>
      </c>
      <c r="W962">
        <v>0.91935483870967005</v>
      </c>
      <c r="X962">
        <v>8.0645161290319997E-2</v>
      </c>
      <c r="Y962">
        <v>0.86</v>
      </c>
      <c r="Z962">
        <v>0.14000000000000001</v>
      </c>
      <c r="AA962">
        <v>8.0645161290329906E-2</v>
      </c>
      <c r="AB962">
        <v>-8.0645161290319997E-2</v>
      </c>
      <c r="AC962">
        <v>0</v>
      </c>
    </row>
    <row r="963" spans="1:29" x14ac:dyDescent="0.35">
      <c r="A963">
        <v>3265</v>
      </c>
      <c r="B963">
        <v>3265</v>
      </c>
      <c r="C963">
        <v>67</v>
      </c>
      <c r="D963">
        <v>41</v>
      </c>
      <c r="E963">
        <v>114</v>
      </c>
      <c r="F963">
        <v>4</v>
      </c>
      <c r="G963">
        <v>2.4</v>
      </c>
      <c r="H963">
        <v>3</v>
      </c>
      <c r="I963">
        <v>0</v>
      </c>
      <c r="J963">
        <v>1</v>
      </c>
      <c r="K963">
        <v>0</v>
      </c>
      <c r="L963">
        <v>95616</v>
      </c>
      <c r="M963">
        <v>0</v>
      </c>
      <c r="N963">
        <v>0</v>
      </c>
      <c r="O963">
        <v>0</v>
      </c>
      <c r="Q963">
        <v>0</v>
      </c>
      <c r="R963">
        <v>0</v>
      </c>
      <c r="S963">
        <v>0</v>
      </c>
      <c r="T963">
        <v>13</v>
      </c>
      <c r="U963">
        <v>0.88607594936708001</v>
      </c>
      <c r="V963">
        <v>0.11392405063291</v>
      </c>
      <c r="W963">
        <v>0.88607594936708001</v>
      </c>
      <c r="X963">
        <v>0.11392405063291</v>
      </c>
      <c r="Y963">
        <v>0.86842105263156999</v>
      </c>
      <c r="Z963">
        <v>0.13157894736841999</v>
      </c>
      <c r="AA963">
        <v>0.11392405063291999</v>
      </c>
      <c r="AB963">
        <v>-0.11392405063291</v>
      </c>
      <c r="AC963">
        <v>0</v>
      </c>
    </row>
    <row r="964" spans="1:29" x14ac:dyDescent="0.35">
      <c r="A964">
        <v>3267</v>
      </c>
      <c r="B964">
        <v>3267</v>
      </c>
      <c r="C964">
        <v>57</v>
      </c>
      <c r="D964">
        <v>31</v>
      </c>
      <c r="E964">
        <v>39</v>
      </c>
      <c r="F964">
        <v>1</v>
      </c>
      <c r="G964">
        <v>2.2000000000000002</v>
      </c>
      <c r="H964">
        <v>3</v>
      </c>
      <c r="I964">
        <v>0</v>
      </c>
      <c r="J964">
        <v>1</v>
      </c>
      <c r="K964">
        <v>1</v>
      </c>
      <c r="L964">
        <v>92821</v>
      </c>
      <c r="M964">
        <v>0</v>
      </c>
      <c r="N964">
        <v>0</v>
      </c>
      <c r="O964">
        <v>0</v>
      </c>
      <c r="Q964">
        <v>0</v>
      </c>
      <c r="R964">
        <v>0</v>
      </c>
      <c r="S964">
        <v>0</v>
      </c>
      <c r="T964">
        <v>5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</row>
    <row r="965" spans="1:29" x14ac:dyDescent="0.35">
      <c r="A965">
        <v>3269</v>
      </c>
      <c r="B965">
        <v>3269</v>
      </c>
      <c r="C965">
        <v>43</v>
      </c>
      <c r="D965">
        <v>17</v>
      </c>
      <c r="E965">
        <v>111</v>
      </c>
      <c r="F965">
        <v>4</v>
      </c>
      <c r="G965">
        <v>5.4</v>
      </c>
      <c r="H965">
        <v>3</v>
      </c>
      <c r="I965">
        <v>0</v>
      </c>
      <c r="J965">
        <v>1</v>
      </c>
      <c r="K965">
        <v>0</v>
      </c>
      <c r="L965">
        <v>91423</v>
      </c>
      <c r="M965">
        <v>1</v>
      </c>
      <c r="N965">
        <v>0</v>
      </c>
      <c r="O965">
        <v>0</v>
      </c>
      <c r="Q965">
        <v>0</v>
      </c>
      <c r="R965">
        <v>1</v>
      </c>
      <c r="S965">
        <v>1</v>
      </c>
      <c r="T965">
        <v>14</v>
      </c>
      <c r="U965">
        <v>0.24242424242423999</v>
      </c>
      <c r="V965">
        <v>0.75757575757575002</v>
      </c>
      <c r="W965">
        <v>0.24242424242423999</v>
      </c>
      <c r="X965">
        <v>0.75757575757575002</v>
      </c>
      <c r="Y965">
        <v>0.44444444444443998</v>
      </c>
      <c r="Z965">
        <v>0.55555555555555003</v>
      </c>
      <c r="AA965">
        <v>-0.24242424242423999</v>
      </c>
      <c r="AB965">
        <v>0.24242424242424901</v>
      </c>
      <c r="AC965">
        <v>1</v>
      </c>
    </row>
    <row r="966" spans="1:29" x14ac:dyDescent="0.35">
      <c r="A966">
        <v>3270</v>
      </c>
      <c r="B966">
        <v>3270</v>
      </c>
      <c r="C966">
        <v>58</v>
      </c>
      <c r="D966">
        <v>34</v>
      </c>
      <c r="E966">
        <v>68</v>
      </c>
      <c r="F966">
        <v>2</v>
      </c>
      <c r="G966">
        <v>2.8</v>
      </c>
      <c r="H966">
        <v>1</v>
      </c>
      <c r="I966">
        <v>113</v>
      </c>
      <c r="J966">
        <v>0</v>
      </c>
      <c r="K966">
        <v>0</v>
      </c>
      <c r="L966">
        <v>94305</v>
      </c>
      <c r="M966">
        <v>0</v>
      </c>
      <c r="N966">
        <v>0</v>
      </c>
      <c r="O966">
        <v>0</v>
      </c>
      <c r="Q966">
        <v>1</v>
      </c>
      <c r="R966">
        <v>0</v>
      </c>
      <c r="S966">
        <v>0</v>
      </c>
      <c r="T966">
        <v>5</v>
      </c>
      <c r="U966">
        <v>1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</row>
    <row r="967" spans="1:29" x14ac:dyDescent="0.35">
      <c r="A967">
        <v>3271</v>
      </c>
      <c r="B967">
        <v>3271</v>
      </c>
      <c r="C967">
        <v>50</v>
      </c>
      <c r="D967">
        <v>23</v>
      </c>
      <c r="E967">
        <v>179</v>
      </c>
      <c r="F967">
        <v>4</v>
      </c>
      <c r="G967">
        <v>3.6</v>
      </c>
      <c r="H967">
        <v>2</v>
      </c>
      <c r="I967">
        <v>0</v>
      </c>
      <c r="J967">
        <v>1</v>
      </c>
      <c r="K967">
        <v>0</v>
      </c>
      <c r="L967">
        <v>94609</v>
      </c>
      <c r="M967">
        <v>1</v>
      </c>
      <c r="N967">
        <v>0</v>
      </c>
      <c r="O967">
        <v>0</v>
      </c>
      <c r="Q967">
        <v>0</v>
      </c>
      <c r="R967">
        <v>1</v>
      </c>
      <c r="S967">
        <v>1</v>
      </c>
      <c r="T967">
        <v>10</v>
      </c>
      <c r="U967">
        <v>0</v>
      </c>
      <c r="V967">
        <v>1</v>
      </c>
      <c r="W967">
        <v>0</v>
      </c>
      <c r="X967">
        <v>1</v>
      </c>
      <c r="Y967">
        <v>0</v>
      </c>
      <c r="Z967">
        <v>1</v>
      </c>
      <c r="AA967">
        <v>0</v>
      </c>
      <c r="AB967">
        <v>0</v>
      </c>
      <c r="AC967">
        <v>1</v>
      </c>
    </row>
    <row r="968" spans="1:29" x14ac:dyDescent="0.35">
      <c r="A968">
        <v>3272</v>
      </c>
      <c r="B968">
        <v>3272</v>
      </c>
      <c r="C968">
        <v>52</v>
      </c>
      <c r="D968">
        <v>27</v>
      </c>
      <c r="E968">
        <v>93</v>
      </c>
      <c r="F968">
        <v>4</v>
      </c>
      <c r="G968">
        <v>4.0999999999999996</v>
      </c>
      <c r="H968">
        <v>2</v>
      </c>
      <c r="I968">
        <v>0</v>
      </c>
      <c r="J968">
        <v>0</v>
      </c>
      <c r="K968">
        <v>1</v>
      </c>
      <c r="L968">
        <v>90291</v>
      </c>
      <c r="M968">
        <v>1</v>
      </c>
      <c r="N968">
        <v>0</v>
      </c>
      <c r="O968">
        <v>0</v>
      </c>
      <c r="Q968">
        <v>0</v>
      </c>
      <c r="R968">
        <v>1</v>
      </c>
      <c r="S968">
        <v>0</v>
      </c>
      <c r="T968">
        <v>16</v>
      </c>
      <c r="U968">
        <v>0.58333333333333004</v>
      </c>
      <c r="V968">
        <v>0.41666666666666002</v>
      </c>
      <c r="W968">
        <v>0.58333333333333004</v>
      </c>
      <c r="X968">
        <v>0.41666666666666002</v>
      </c>
      <c r="Y968">
        <v>0.77777777777777002</v>
      </c>
      <c r="Z968">
        <v>0.22222222222221999</v>
      </c>
      <c r="AA968">
        <v>-0.58333333333333004</v>
      </c>
      <c r="AB968">
        <v>0.58333333333333903</v>
      </c>
      <c r="AC968">
        <v>0</v>
      </c>
    </row>
    <row r="969" spans="1:29" x14ac:dyDescent="0.35">
      <c r="A969">
        <v>3276</v>
      </c>
      <c r="B969">
        <v>3276</v>
      </c>
      <c r="C969">
        <v>32</v>
      </c>
      <c r="D969">
        <v>8</v>
      </c>
      <c r="E969">
        <v>65</v>
      </c>
      <c r="F969">
        <v>1</v>
      </c>
      <c r="G969">
        <v>1.2</v>
      </c>
      <c r="H969">
        <v>1</v>
      </c>
      <c r="I969">
        <v>268</v>
      </c>
      <c r="J969">
        <v>1</v>
      </c>
      <c r="K969">
        <v>0</v>
      </c>
      <c r="L969">
        <v>95134</v>
      </c>
      <c r="M969">
        <v>0</v>
      </c>
      <c r="N969">
        <v>0</v>
      </c>
      <c r="O969">
        <v>0</v>
      </c>
      <c r="Q969">
        <v>1</v>
      </c>
      <c r="R969">
        <v>0</v>
      </c>
      <c r="S969">
        <v>0</v>
      </c>
      <c r="T969">
        <v>5</v>
      </c>
      <c r="U969">
        <v>1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</row>
    <row r="970" spans="1:29" x14ac:dyDescent="0.35">
      <c r="A970">
        <v>3277</v>
      </c>
      <c r="B970">
        <v>3277</v>
      </c>
      <c r="C970">
        <v>55</v>
      </c>
      <c r="D970">
        <v>31</v>
      </c>
      <c r="E970">
        <v>159</v>
      </c>
      <c r="F970">
        <v>1</v>
      </c>
      <c r="G970">
        <v>3.9</v>
      </c>
      <c r="H970">
        <v>3</v>
      </c>
      <c r="I970">
        <v>0</v>
      </c>
      <c r="J970">
        <v>0</v>
      </c>
      <c r="K970">
        <v>0</v>
      </c>
      <c r="L970">
        <v>92123</v>
      </c>
      <c r="M970">
        <v>1</v>
      </c>
      <c r="N970">
        <v>0</v>
      </c>
      <c r="O970">
        <v>0</v>
      </c>
      <c r="Q970">
        <v>0</v>
      </c>
      <c r="R970">
        <v>1</v>
      </c>
      <c r="S970">
        <v>1</v>
      </c>
      <c r="T970">
        <v>10</v>
      </c>
      <c r="U970">
        <v>0</v>
      </c>
      <c r="V970">
        <v>1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1</v>
      </c>
    </row>
    <row r="971" spans="1:29" x14ac:dyDescent="0.35">
      <c r="A971">
        <v>3283</v>
      </c>
      <c r="B971">
        <v>3283</v>
      </c>
      <c r="C971">
        <v>45</v>
      </c>
      <c r="D971">
        <v>21</v>
      </c>
      <c r="E971">
        <v>91</v>
      </c>
      <c r="F971">
        <v>1</v>
      </c>
      <c r="G971">
        <v>4.7</v>
      </c>
      <c r="H971">
        <v>1</v>
      </c>
      <c r="I971">
        <v>0</v>
      </c>
      <c r="J971">
        <v>1</v>
      </c>
      <c r="K971">
        <v>0</v>
      </c>
      <c r="L971">
        <v>95054</v>
      </c>
      <c r="M971">
        <v>0</v>
      </c>
      <c r="N971">
        <v>0</v>
      </c>
      <c r="O971">
        <v>0</v>
      </c>
      <c r="Q971">
        <v>1</v>
      </c>
      <c r="R971">
        <v>0</v>
      </c>
      <c r="S971">
        <v>0</v>
      </c>
      <c r="T971">
        <v>15</v>
      </c>
      <c r="U971">
        <v>0.91935483870967005</v>
      </c>
      <c r="V971">
        <v>8.0645161290319997E-2</v>
      </c>
      <c r="W971">
        <v>0.91935483870967005</v>
      </c>
      <c r="X971">
        <v>8.0645161290319997E-2</v>
      </c>
      <c r="Y971">
        <v>0.86</v>
      </c>
      <c r="Z971">
        <v>0.14000000000000001</v>
      </c>
      <c r="AA971">
        <v>8.0645161290329906E-2</v>
      </c>
      <c r="AB971">
        <v>-8.0645161290319997E-2</v>
      </c>
      <c r="AC971">
        <v>0</v>
      </c>
    </row>
    <row r="972" spans="1:29" x14ac:dyDescent="0.35">
      <c r="A972">
        <v>3285</v>
      </c>
      <c r="B972">
        <v>3285</v>
      </c>
      <c r="C972">
        <v>25</v>
      </c>
      <c r="D972">
        <v>-1</v>
      </c>
      <c r="E972">
        <v>101</v>
      </c>
      <c r="F972">
        <v>4</v>
      </c>
      <c r="G972">
        <v>2.1</v>
      </c>
      <c r="H972">
        <v>3</v>
      </c>
      <c r="I972">
        <v>0</v>
      </c>
      <c r="J972">
        <v>0</v>
      </c>
      <c r="K972">
        <v>1</v>
      </c>
      <c r="L972">
        <v>95819</v>
      </c>
      <c r="M972">
        <v>0</v>
      </c>
      <c r="N972">
        <v>0</v>
      </c>
      <c r="O972">
        <v>0</v>
      </c>
      <c r="Q972">
        <v>0</v>
      </c>
      <c r="R972">
        <v>0</v>
      </c>
      <c r="S972">
        <v>0</v>
      </c>
      <c r="T972">
        <v>13</v>
      </c>
      <c r="U972">
        <v>0.88607594936708001</v>
      </c>
      <c r="V972">
        <v>0.11392405063291</v>
      </c>
      <c r="W972">
        <v>0.88607594936708001</v>
      </c>
      <c r="X972">
        <v>0.11392405063291</v>
      </c>
      <c r="Y972">
        <v>0.86842105263156999</v>
      </c>
      <c r="Z972">
        <v>0.13157894736841999</v>
      </c>
      <c r="AA972">
        <v>0.11392405063291999</v>
      </c>
      <c r="AB972">
        <v>-0.11392405063291</v>
      </c>
      <c r="AC972">
        <v>0</v>
      </c>
    </row>
    <row r="973" spans="1:29" x14ac:dyDescent="0.35">
      <c r="A973">
        <v>3287</v>
      </c>
      <c r="B973">
        <v>3287</v>
      </c>
      <c r="C973">
        <v>62</v>
      </c>
      <c r="D973">
        <v>36</v>
      </c>
      <c r="E973">
        <v>58</v>
      </c>
      <c r="F973">
        <v>1</v>
      </c>
      <c r="G973">
        <v>2.8</v>
      </c>
      <c r="H973">
        <v>2</v>
      </c>
      <c r="I973">
        <v>0</v>
      </c>
      <c r="J973">
        <v>0</v>
      </c>
      <c r="K973">
        <v>1</v>
      </c>
      <c r="L973">
        <v>95020</v>
      </c>
      <c r="M973">
        <v>0</v>
      </c>
      <c r="N973">
        <v>0</v>
      </c>
      <c r="O973">
        <v>0</v>
      </c>
      <c r="Q973">
        <v>0</v>
      </c>
      <c r="R973">
        <v>0</v>
      </c>
      <c r="S973">
        <v>0</v>
      </c>
      <c r="T973">
        <v>5</v>
      </c>
      <c r="U973">
        <v>1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</row>
    <row r="974" spans="1:29" x14ac:dyDescent="0.35">
      <c r="A974">
        <v>3292</v>
      </c>
      <c r="B974">
        <v>3292</v>
      </c>
      <c r="C974">
        <v>53</v>
      </c>
      <c r="D974">
        <v>28</v>
      </c>
      <c r="E974">
        <v>38</v>
      </c>
      <c r="F974">
        <v>1</v>
      </c>
      <c r="G974">
        <v>1.3</v>
      </c>
      <c r="H974">
        <v>2</v>
      </c>
      <c r="I974">
        <v>0</v>
      </c>
      <c r="J974">
        <v>1</v>
      </c>
      <c r="K974">
        <v>0</v>
      </c>
      <c r="L974">
        <v>94998</v>
      </c>
      <c r="M974">
        <v>0</v>
      </c>
      <c r="N974">
        <v>0</v>
      </c>
      <c r="O974">
        <v>0</v>
      </c>
      <c r="Q974">
        <v>0</v>
      </c>
      <c r="R974">
        <v>0</v>
      </c>
      <c r="S974">
        <v>0</v>
      </c>
      <c r="T974">
        <v>5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</row>
    <row r="975" spans="1:29" x14ac:dyDescent="0.35">
      <c r="A975">
        <v>3295</v>
      </c>
      <c r="B975">
        <v>3295</v>
      </c>
      <c r="C975">
        <v>42</v>
      </c>
      <c r="D975">
        <v>12</v>
      </c>
      <c r="E975">
        <v>29</v>
      </c>
      <c r="F975">
        <v>3</v>
      </c>
      <c r="G975">
        <v>2</v>
      </c>
      <c r="H975">
        <v>3</v>
      </c>
      <c r="I975">
        <v>0</v>
      </c>
      <c r="J975">
        <v>0</v>
      </c>
      <c r="K975">
        <v>0</v>
      </c>
      <c r="L975">
        <v>93611</v>
      </c>
      <c r="M975">
        <v>0</v>
      </c>
      <c r="N975">
        <v>0</v>
      </c>
      <c r="O975">
        <v>0</v>
      </c>
      <c r="Q975">
        <v>0</v>
      </c>
      <c r="R975">
        <v>0</v>
      </c>
      <c r="S975">
        <v>0</v>
      </c>
      <c r="T975">
        <v>5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</row>
    <row r="976" spans="1:29" x14ac:dyDescent="0.35">
      <c r="A976">
        <v>3300</v>
      </c>
      <c r="B976">
        <v>3300</v>
      </c>
      <c r="C976">
        <v>60</v>
      </c>
      <c r="D976">
        <v>34</v>
      </c>
      <c r="E976">
        <v>90</v>
      </c>
      <c r="F976">
        <v>4</v>
      </c>
      <c r="G976">
        <v>1.9</v>
      </c>
      <c r="H976">
        <v>2</v>
      </c>
      <c r="I976">
        <v>0</v>
      </c>
      <c r="J976">
        <v>1</v>
      </c>
      <c r="K976">
        <v>0</v>
      </c>
      <c r="L976">
        <v>92192</v>
      </c>
      <c r="M976">
        <v>0</v>
      </c>
      <c r="N976">
        <v>0</v>
      </c>
      <c r="O976">
        <v>0</v>
      </c>
      <c r="Q976">
        <v>0</v>
      </c>
      <c r="R976">
        <v>0</v>
      </c>
      <c r="S976">
        <v>0</v>
      </c>
      <c r="T976">
        <v>5</v>
      </c>
      <c r="U976">
        <v>1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</row>
    <row r="977" spans="1:29" x14ac:dyDescent="0.35">
      <c r="A977">
        <v>3304</v>
      </c>
      <c r="B977">
        <v>3304</v>
      </c>
      <c r="C977">
        <v>55</v>
      </c>
      <c r="D977">
        <v>29</v>
      </c>
      <c r="E977">
        <v>28</v>
      </c>
      <c r="F977">
        <v>2</v>
      </c>
      <c r="G977">
        <v>0.7</v>
      </c>
      <c r="H977">
        <v>2</v>
      </c>
      <c r="I977">
        <v>82</v>
      </c>
      <c r="J977">
        <v>1</v>
      </c>
      <c r="K977">
        <v>1</v>
      </c>
      <c r="L977">
        <v>94539</v>
      </c>
      <c r="M977">
        <v>0</v>
      </c>
      <c r="N977">
        <v>0</v>
      </c>
      <c r="O977">
        <v>0</v>
      </c>
      <c r="Q977">
        <v>0</v>
      </c>
      <c r="R977">
        <v>0</v>
      </c>
      <c r="S977">
        <v>0</v>
      </c>
      <c r="T977">
        <v>5</v>
      </c>
      <c r="U977">
        <v>1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</row>
    <row r="978" spans="1:29" x14ac:dyDescent="0.35">
      <c r="A978">
        <v>3306</v>
      </c>
      <c r="B978">
        <v>3306</v>
      </c>
      <c r="C978">
        <v>39</v>
      </c>
      <c r="D978">
        <v>13</v>
      </c>
      <c r="E978">
        <v>78</v>
      </c>
      <c r="F978">
        <v>1</v>
      </c>
      <c r="G978">
        <v>2.8</v>
      </c>
      <c r="H978">
        <v>3</v>
      </c>
      <c r="I978">
        <v>0</v>
      </c>
      <c r="J978">
        <v>0</v>
      </c>
      <c r="K978">
        <v>0</v>
      </c>
      <c r="L978">
        <v>95616</v>
      </c>
      <c r="M978">
        <v>0</v>
      </c>
      <c r="N978">
        <v>0</v>
      </c>
      <c r="O978">
        <v>0</v>
      </c>
      <c r="Q978">
        <v>0</v>
      </c>
      <c r="R978">
        <v>0</v>
      </c>
      <c r="S978">
        <v>0</v>
      </c>
      <c r="T978">
        <v>5</v>
      </c>
      <c r="U978">
        <v>1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</row>
    <row r="979" spans="1:29" x14ac:dyDescent="0.35">
      <c r="A979">
        <v>3311</v>
      </c>
      <c r="B979">
        <v>3311</v>
      </c>
      <c r="C979">
        <v>53</v>
      </c>
      <c r="D979">
        <v>29</v>
      </c>
      <c r="E979">
        <v>95</v>
      </c>
      <c r="F979">
        <v>4</v>
      </c>
      <c r="G979">
        <v>1</v>
      </c>
      <c r="H979">
        <v>2</v>
      </c>
      <c r="I979">
        <v>0</v>
      </c>
      <c r="J979">
        <v>1</v>
      </c>
      <c r="K979">
        <v>1</v>
      </c>
      <c r="L979">
        <v>94720</v>
      </c>
      <c r="M979">
        <v>0</v>
      </c>
      <c r="N979">
        <v>0</v>
      </c>
      <c r="O979">
        <v>0</v>
      </c>
      <c r="Q979">
        <v>0</v>
      </c>
      <c r="R979">
        <v>0</v>
      </c>
      <c r="S979">
        <v>0</v>
      </c>
      <c r="T979">
        <v>5</v>
      </c>
      <c r="U979">
        <v>1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</row>
    <row r="980" spans="1:29" x14ac:dyDescent="0.35">
      <c r="A980">
        <v>3313</v>
      </c>
      <c r="B980">
        <v>3313</v>
      </c>
      <c r="C980">
        <v>47</v>
      </c>
      <c r="D980">
        <v>22</v>
      </c>
      <c r="E980">
        <v>190</v>
      </c>
      <c r="F980">
        <v>2</v>
      </c>
      <c r="G980">
        <v>8.8000000000000007</v>
      </c>
      <c r="H980">
        <v>1</v>
      </c>
      <c r="I980">
        <v>0</v>
      </c>
      <c r="J980">
        <v>0</v>
      </c>
      <c r="K980">
        <v>0</v>
      </c>
      <c r="L980">
        <v>94550</v>
      </c>
      <c r="M980">
        <v>0</v>
      </c>
      <c r="N980">
        <v>0</v>
      </c>
      <c r="O980">
        <v>0</v>
      </c>
      <c r="Q980">
        <v>1</v>
      </c>
      <c r="R980">
        <v>0</v>
      </c>
      <c r="S980">
        <v>0</v>
      </c>
      <c r="T980">
        <v>22</v>
      </c>
      <c r="U980">
        <v>1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</row>
    <row r="981" spans="1:29" x14ac:dyDescent="0.35">
      <c r="A981">
        <v>3314</v>
      </c>
      <c r="B981">
        <v>3314</v>
      </c>
      <c r="C981">
        <v>48</v>
      </c>
      <c r="D981">
        <v>24</v>
      </c>
      <c r="E981">
        <v>24</v>
      </c>
      <c r="F981">
        <v>1</v>
      </c>
      <c r="G981">
        <v>0.9</v>
      </c>
      <c r="H981">
        <v>3</v>
      </c>
      <c r="I981">
        <v>0</v>
      </c>
      <c r="J981">
        <v>0</v>
      </c>
      <c r="K981">
        <v>0</v>
      </c>
      <c r="L981">
        <v>91950</v>
      </c>
      <c r="M981">
        <v>0</v>
      </c>
      <c r="N981">
        <v>0</v>
      </c>
      <c r="O981">
        <v>0</v>
      </c>
      <c r="Q981">
        <v>0</v>
      </c>
      <c r="R981">
        <v>0</v>
      </c>
      <c r="S981">
        <v>0</v>
      </c>
      <c r="T981">
        <v>5</v>
      </c>
      <c r="U981">
        <v>1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</row>
    <row r="982" spans="1:29" x14ac:dyDescent="0.35">
      <c r="A982">
        <v>3316</v>
      </c>
      <c r="B982">
        <v>3316</v>
      </c>
      <c r="C982">
        <v>48</v>
      </c>
      <c r="D982">
        <v>22</v>
      </c>
      <c r="E982">
        <v>80</v>
      </c>
      <c r="F982">
        <v>3</v>
      </c>
      <c r="G982">
        <v>1.1000000000000001</v>
      </c>
      <c r="H982">
        <v>1</v>
      </c>
      <c r="I982">
        <v>0</v>
      </c>
      <c r="J982">
        <v>0</v>
      </c>
      <c r="K982">
        <v>0</v>
      </c>
      <c r="L982">
        <v>94720</v>
      </c>
      <c r="M982">
        <v>0</v>
      </c>
      <c r="N982">
        <v>0</v>
      </c>
      <c r="O982">
        <v>0</v>
      </c>
      <c r="Q982">
        <v>1</v>
      </c>
      <c r="R982">
        <v>0</v>
      </c>
      <c r="S982">
        <v>0</v>
      </c>
      <c r="T982">
        <v>5</v>
      </c>
      <c r="U982">
        <v>1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</row>
    <row r="983" spans="1:29" x14ac:dyDescent="0.35">
      <c r="A983">
        <v>3318</v>
      </c>
      <c r="B983">
        <v>3318</v>
      </c>
      <c r="C983">
        <v>65</v>
      </c>
      <c r="D983">
        <v>41</v>
      </c>
      <c r="E983">
        <v>79</v>
      </c>
      <c r="F983">
        <v>3</v>
      </c>
      <c r="G983">
        <v>2</v>
      </c>
      <c r="H983">
        <v>3</v>
      </c>
      <c r="I983">
        <v>0</v>
      </c>
      <c r="J983">
        <v>0</v>
      </c>
      <c r="K983">
        <v>0</v>
      </c>
      <c r="L983">
        <v>90035</v>
      </c>
      <c r="M983">
        <v>0</v>
      </c>
      <c r="N983">
        <v>0</v>
      </c>
      <c r="O983">
        <v>0</v>
      </c>
      <c r="Q983">
        <v>0</v>
      </c>
      <c r="R983">
        <v>0</v>
      </c>
      <c r="S983">
        <v>0</v>
      </c>
      <c r="T983">
        <v>5</v>
      </c>
      <c r="U983">
        <v>1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</row>
    <row r="984" spans="1:29" x14ac:dyDescent="0.35">
      <c r="A984">
        <v>3320</v>
      </c>
      <c r="B984">
        <v>3320</v>
      </c>
      <c r="C984">
        <v>60</v>
      </c>
      <c r="D984">
        <v>35</v>
      </c>
      <c r="E984">
        <v>153</v>
      </c>
      <c r="F984">
        <v>3</v>
      </c>
      <c r="G984">
        <v>2</v>
      </c>
      <c r="H984">
        <v>3</v>
      </c>
      <c r="I984">
        <v>0</v>
      </c>
      <c r="J984">
        <v>0</v>
      </c>
      <c r="K984">
        <v>1</v>
      </c>
      <c r="L984">
        <v>95136</v>
      </c>
      <c r="M984">
        <v>1</v>
      </c>
      <c r="N984">
        <v>0</v>
      </c>
      <c r="O984">
        <v>0</v>
      </c>
      <c r="Q984">
        <v>0</v>
      </c>
      <c r="R984">
        <v>1</v>
      </c>
      <c r="S984">
        <v>1</v>
      </c>
      <c r="T984">
        <v>10</v>
      </c>
      <c r="U984">
        <v>0</v>
      </c>
      <c r="V984">
        <v>1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1</v>
      </c>
    </row>
    <row r="985" spans="1:29" x14ac:dyDescent="0.35">
      <c r="A985">
        <v>3321</v>
      </c>
      <c r="B985">
        <v>3321</v>
      </c>
      <c r="C985">
        <v>50</v>
      </c>
      <c r="D985">
        <v>25</v>
      </c>
      <c r="E985">
        <v>114</v>
      </c>
      <c r="F985">
        <v>1</v>
      </c>
      <c r="G985">
        <v>0.6</v>
      </c>
      <c r="H985">
        <v>1</v>
      </c>
      <c r="I985">
        <v>0</v>
      </c>
      <c r="J985">
        <v>0</v>
      </c>
      <c r="K985">
        <v>1</v>
      </c>
      <c r="L985">
        <v>92104</v>
      </c>
      <c r="M985">
        <v>0</v>
      </c>
      <c r="N985">
        <v>0</v>
      </c>
      <c r="O985">
        <v>0</v>
      </c>
      <c r="Q985">
        <v>1</v>
      </c>
      <c r="R985">
        <v>0</v>
      </c>
      <c r="S985">
        <v>0</v>
      </c>
      <c r="T985">
        <v>22</v>
      </c>
      <c r="U985">
        <v>1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</row>
    <row r="986" spans="1:29" x14ac:dyDescent="0.35">
      <c r="A986">
        <v>3326</v>
      </c>
      <c r="B986">
        <v>3326</v>
      </c>
      <c r="C986">
        <v>48</v>
      </c>
      <c r="D986">
        <v>23</v>
      </c>
      <c r="E986">
        <v>35</v>
      </c>
      <c r="F986">
        <v>2</v>
      </c>
      <c r="G986">
        <v>1.3</v>
      </c>
      <c r="H986">
        <v>1</v>
      </c>
      <c r="I986">
        <v>0</v>
      </c>
      <c r="J986">
        <v>0</v>
      </c>
      <c r="K986">
        <v>0</v>
      </c>
      <c r="L986">
        <v>93302</v>
      </c>
      <c r="M986">
        <v>0</v>
      </c>
      <c r="N986">
        <v>0</v>
      </c>
      <c r="O986">
        <v>0</v>
      </c>
      <c r="Q986">
        <v>1</v>
      </c>
      <c r="R986">
        <v>0</v>
      </c>
      <c r="S986">
        <v>0</v>
      </c>
      <c r="T986">
        <v>5</v>
      </c>
      <c r="U986">
        <v>1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</row>
    <row r="987" spans="1:29" x14ac:dyDescent="0.35">
      <c r="A987">
        <v>3329</v>
      </c>
      <c r="B987">
        <v>3329</v>
      </c>
      <c r="C987">
        <v>45</v>
      </c>
      <c r="D987">
        <v>20</v>
      </c>
      <c r="E987">
        <v>22</v>
      </c>
      <c r="F987">
        <v>1</v>
      </c>
      <c r="G987">
        <v>0.1</v>
      </c>
      <c r="H987">
        <v>1</v>
      </c>
      <c r="I987">
        <v>0</v>
      </c>
      <c r="J987">
        <v>0</v>
      </c>
      <c r="K987">
        <v>0</v>
      </c>
      <c r="L987">
        <v>90230</v>
      </c>
      <c r="M987">
        <v>0</v>
      </c>
      <c r="N987">
        <v>0</v>
      </c>
      <c r="O987">
        <v>0</v>
      </c>
      <c r="Q987">
        <v>1</v>
      </c>
      <c r="R987">
        <v>0</v>
      </c>
      <c r="S987">
        <v>0</v>
      </c>
      <c r="T987">
        <v>5</v>
      </c>
      <c r="U987">
        <v>1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</row>
    <row r="988" spans="1:29" x14ac:dyDescent="0.35">
      <c r="A988">
        <v>3333</v>
      </c>
      <c r="B988">
        <v>3333</v>
      </c>
      <c r="C988">
        <v>36</v>
      </c>
      <c r="D988">
        <v>9</v>
      </c>
      <c r="E988">
        <v>49</v>
      </c>
      <c r="F988">
        <v>2</v>
      </c>
      <c r="G988">
        <v>1.67</v>
      </c>
      <c r="H988">
        <v>2</v>
      </c>
      <c r="I988">
        <v>0</v>
      </c>
      <c r="J988">
        <v>0</v>
      </c>
      <c r="K988">
        <v>1</v>
      </c>
      <c r="L988">
        <v>94402</v>
      </c>
      <c r="M988">
        <v>0</v>
      </c>
      <c r="N988">
        <v>0</v>
      </c>
      <c r="O988">
        <v>0</v>
      </c>
      <c r="Q988">
        <v>0</v>
      </c>
      <c r="R988">
        <v>0</v>
      </c>
      <c r="S988">
        <v>0</v>
      </c>
      <c r="T988">
        <v>5</v>
      </c>
      <c r="U988">
        <v>1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</row>
    <row r="989" spans="1:29" x14ac:dyDescent="0.35">
      <c r="A989">
        <v>3336</v>
      </c>
      <c r="B989">
        <v>3336</v>
      </c>
      <c r="C989">
        <v>35</v>
      </c>
      <c r="D989">
        <v>10</v>
      </c>
      <c r="E989">
        <v>118</v>
      </c>
      <c r="F989">
        <v>2</v>
      </c>
      <c r="G989">
        <v>7.8</v>
      </c>
      <c r="H989">
        <v>1</v>
      </c>
      <c r="I989">
        <v>358</v>
      </c>
      <c r="J989">
        <v>0</v>
      </c>
      <c r="K989">
        <v>0</v>
      </c>
      <c r="L989">
        <v>92069</v>
      </c>
      <c r="M989">
        <v>0</v>
      </c>
      <c r="N989">
        <v>0</v>
      </c>
      <c r="O989">
        <v>0</v>
      </c>
      <c r="Q989">
        <v>1</v>
      </c>
      <c r="R989">
        <v>0</v>
      </c>
      <c r="S989">
        <v>0</v>
      </c>
      <c r="T989">
        <v>22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</row>
    <row r="990" spans="1:29" x14ac:dyDescent="0.35">
      <c r="A990">
        <v>3337</v>
      </c>
      <c r="B990">
        <v>3337</v>
      </c>
      <c r="C990">
        <v>60</v>
      </c>
      <c r="D990">
        <v>34</v>
      </c>
      <c r="E990">
        <v>11</v>
      </c>
      <c r="F990">
        <v>4</v>
      </c>
      <c r="G990">
        <v>0.7</v>
      </c>
      <c r="H990">
        <v>3</v>
      </c>
      <c r="I990">
        <v>0</v>
      </c>
      <c r="J990">
        <v>1</v>
      </c>
      <c r="K990">
        <v>0</v>
      </c>
      <c r="L990">
        <v>94305</v>
      </c>
      <c r="M990">
        <v>0</v>
      </c>
      <c r="N990">
        <v>0</v>
      </c>
      <c r="O990">
        <v>0</v>
      </c>
      <c r="Q990">
        <v>0</v>
      </c>
      <c r="R990">
        <v>0</v>
      </c>
      <c r="S990">
        <v>0</v>
      </c>
      <c r="T990">
        <v>5</v>
      </c>
      <c r="U990">
        <v>1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</row>
    <row r="991" spans="1:29" x14ac:dyDescent="0.35">
      <c r="A991">
        <v>3338</v>
      </c>
      <c r="B991">
        <v>3338</v>
      </c>
      <c r="C991">
        <v>59</v>
      </c>
      <c r="D991">
        <v>29</v>
      </c>
      <c r="E991">
        <v>61</v>
      </c>
      <c r="F991">
        <v>3</v>
      </c>
      <c r="G991">
        <v>2</v>
      </c>
      <c r="H991">
        <v>3</v>
      </c>
      <c r="I991">
        <v>0</v>
      </c>
      <c r="J991">
        <v>1</v>
      </c>
      <c r="K991">
        <v>0</v>
      </c>
      <c r="L991">
        <v>92008</v>
      </c>
      <c r="M991">
        <v>0</v>
      </c>
      <c r="N991">
        <v>0</v>
      </c>
      <c r="O991">
        <v>0</v>
      </c>
      <c r="Q991">
        <v>0</v>
      </c>
      <c r="R991">
        <v>0</v>
      </c>
      <c r="S991">
        <v>0</v>
      </c>
      <c r="T991">
        <v>5</v>
      </c>
      <c r="U991">
        <v>1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</row>
    <row r="992" spans="1:29" x14ac:dyDescent="0.35">
      <c r="A992">
        <v>3345</v>
      </c>
      <c r="B992">
        <v>3345</v>
      </c>
      <c r="C992">
        <v>43</v>
      </c>
      <c r="D992">
        <v>19</v>
      </c>
      <c r="E992">
        <v>110</v>
      </c>
      <c r="F992">
        <v>1</v>
      </c>
      <c r="G992">
        <v>3.4</v>
      </c>
      <c r="H992">
        <v>1</v>
      </c>
      <c r="I992">
        <v>0</v>
      </c>
      <c r="J992">
        <v>0</v>
      </c>
      <c r="K992">
        <v>1</v>
      </c>
      <c r="L992">
        <v>90639</v>
      </c>
      <c r="M992">
        <v>0</v>
      </c>
      <c r="N992">
        <v>0</v>
      </c>
      <c r="O992">
        <v>0</v>
      </c>
      <c r="Q992">
        <v>1</v>
      </c>
      <c r="R992">
        <v>0</v>
      </c>
      <c r="S992">
        <v>0</v>
      </c>
      <c r="T992">
        <v>22</v>
      </c>
      <c r="U992">
        <v>1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</row>
    <row r="993" spans="1:29" x14ac:dyDescent="0.35">
      <c r="A993">
        <v>3347</v>
      </c>
      <c r="B993">
        <v>3347</v>
      </c>
      <c r="C993">
        <v>41</v>
      </c>
      <c r="D993">
        <v>15</v>
      </c>
      <c r="E993">
        <v>65</v>
      </c>
      <c r="F993">
        <v>2</v>
      </c>
      <c r="G993">
        <v>2.8</v>
      </c>
      <c r="H993">
        <v>1</v>
      </c>
      <c r="I993">
        <v>0</v>
      </c>
      <c r="J993">
        <v>1</v>
      </c>
      <c r="K993">
        <v>1</v>
      </c>
      <c r="L993">
        <v>92037</v>
      </c>
      <c r="M993">
        <v>0</v>
      </c>
      <c r="N993">
        <v>0</v>
      </c>
      <c r="O993">
        <v>0</v>
      </c>
      <c r="Q993">
        <v>1</v>
      </c>
      <c r="R993">
        <v>0</v>
      </c>
      <c r="S993">
        <v>0</v>
      </c>
      <c r="T993">
        <v>5</v>
      </c>
      <c r="U993">
        <v>1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</row>
    <row r="994" spans="1:29" x14ac:dyDescent="0.35">
      <c r="A994">
        <v>3352</v>
      </c>
      <c r="B994">
        <v>3352</v>
      </c>
      <c r="C994">
        <v>52</v>
      </c>
      <c r="D994">
        <v>26</v>
      </c>
      <c r="E994">
        <v>191</v>
      </c>
      <c r="F994">
        <v>1</v>
      </c>
      <c r="G994">
        <v>1.7</v>
      </c>
      <c r="H994">
        <v>1</v>
      </c>
      <c r="I994">
        <v>0</v>
      </c>
      <c r="J994">
        <v>1</v>
      </c>
      <c r="K994">
        <v>0</v>
      </c>
      <c r="L994">
        <v>92121</v>
      </c>
      <c r="M994">
        <v>0</v>
      </c>
      <c r="N994">
        <v>0</v>
      </c>
      <c r="O994">
        <v>0</v>
      </c>
      <c r="Q994">
        <v>1</v>
      </c>
      <c r="R994">
        <v>0</v>
      </c>
      <c r="S994">
        <v>0</v>
      </c>
      <c r="T994">
        <v>22</v>
      </c>
      <c r="U994">
        <v>1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</row>
    <row r="995" spans="1:29" x14ac:dyDescent="0.35">
      <c r="A995">
        <v>3361</v>
      </c>
      <c r="B995">
        <v>3361</v>
      </c>
      <c r="C995">
        <v>48</v>
      </c>
      <c r="D995">
        <v>24</v>
      </c>
      <c r="E995">
        <v>133</v>
      </c>
      <c r="F995">
        <v>1</v>
      </c>
      <c r="G995">
        <v>5</v>
      </c>
      <c r="H995">
        <v>1</v>
      </c>
      <c r="I995">
        <v>0</v>
      </c>
      <c r="J995">
        <v>0</v>
      </c>
      <c r="K995">
        <v>0</v>
      </c>
      <c r="L995">
        <v>90740</v>
      </c>
      <c r="M995">
        <v>0</v>
      </c>
      <c r="N995">
        <v>0</v>
      </c>
      <c r="O995">
        <v>0</v>
      </c>
      <c r="Q995">
        <v>1</v>
      </c>
      <c r="R995">
        <v>0</v>
      </c>
      <c r="S995">
        <v>0</v>
      </c>
      <c r="T995">
        <v>22</v>
      </c>
      <c r="U995">
        <v>1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</row>
    <row r="996" spans="1:29" x14ac:dyDescent="0.35">
      <c r="A996">
        <v>3362</v>
      </c>
      <c r="B996">
        <v>3362</v>
      </c>
      <c r="C996">
        <v>31</v>
      </c>
      <c r="D996">
        <v>5</v>
      </c>
      <c r="E996">
        <v>85</v>
      </c>
      <c r="F996">
        <v>3</v>
      </c>
      <c r="G996">
        <v>1.6</v>
      </c>
      <c r="H996">
        <v>1</v>
      </c>
      <c r="I996">
        <v>87</v>
      </c>
      <c r="J996">
        <v>1</v>
      </c>
      <c r="K996">
        <v>1</v>
      </c>
      <c r="L996">
        <v>94117</v>
      </c>
      <c r="M996">
        <v>0</v>
      </c>
      <c r="N996">
        <v>0</v>
      </c>
      <c r="O996">
        <v>0</v>
      </c>
      <c r="Q996">
        <v>1</v>
      </c>
      <c r="R996">
        <v>0</v>
      </c>
      <c r="S996">
        <v>0</v>
      </c>
      <c r="T996">
        <v>5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</row>
    <row r="997" spans="1:29" x14ac:dyDescent="0.35">
      <c r="A997">
        <v>3363</v>
      </c>
      <c r="B997">
        <v>3363</v>
      </c>
      <c r="C997">
        <v>30</v>
      </c>
      <c r="D997">
        <v>4</v>
      </c>
      <c r="E997">
        <v>18</v>
      </c>
      <c r="F997">
        <v>2</v>
      </c>
      <c r="G997">
        <v>0.3</v>
      </c>
      <c r="H997">
        <v>2</v>
      </c>
      <c r="I997">
        <v>0</v>
      </c>
      <c r="J997">
        <v>1</v>
      </c>
      <c r="K997">
        <v>0</v>
      </c>
      <c r="L997">
        <v>90277</v>
      </c>
      <c r="M997">
        <v>0</v>
      </c>
      <c r="N997">
        <v>0</v>
      </c>
      <c r="O997">
        <v>0</v>
      </c>
      <c r="Q997">
        <v>0</v>
      </c>
      <c r="R997">
        <v>0</v>
      </c>
      <c r="S997">
        <v>0</v>
      </c>
      <c r="T997">
        <v>5</v>
      </c>
      <c r="U997">
        <v>1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</row>
    <row r="998" spans="1:29" x14ac:dyDescent="0.35">
      <c r="A998">
        <v>3367</v>
      </c>
      <c r="B998">
        <v>3367</v>
      </c>
      <c r="C998">
        <v>33</v>
      </c>
      <c r="D998">
        <v>9</v>
      </c>
      <c r="E998">
        <v>152</v>
      </c>
      <c r="F998">
        <v>1</v>
      </c>
      <c r="G998">
        <v>6</v>
      </c>
      <c r="H998">
        <v>1</v>
      </c>
      <c r="I998">
        <v>0</v>
      </c>
      <c r="J998">
        <v>1</v>
      </c>
      <c r="K998">
        <v>1</v>
      </c>
      <c r="L998">
        <v>90024</v>
      </c>
      <c r="M998">
        <v>0</v>
      </c>
      <c r="N998">
        <v>0</v>
      </c>
      <c r="O998">
        <v>0</v>
      </c>
      <c r="Q998">
        <v>1</v>
      </c>
      <c r="R998">
        <v>0</v>
      </c>
      <c r="S998">
        <v>0</v>
      </c>
      <c r="T998">
        <v>22</v>
      </c>
      <c r="U998">
        <v>1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</row>
    <row r="999" spans="1:29" x14ac:dyDescent="0.35">
      <c r="A999">
        <v>3369</v>
      </c>
      <c r="B999">
        <v>3369</v>
      </c>
      <c r="C999">
        <v>45</v>
      </c>
      <c r="D999">
        <v>18</v>
      </c>
      <c r="E999">
        <v>163</v>
      </c>
      <c r="F999">
        <v>3</v>
      </c>
      <c r="G999">
        <v>5.33</v>
      </c>
      <c r="H999">
        <v>2</v>
      </c>
      <c r="I999">
        <v>0</v>
      </c>
      <c r="J999">
        <v>0</v>
      </c>
      <c r="K999">
        <v>1</v>
      </c>
      <c r="L999">
        <v>94720</v>
      </c>
      <c r="M999">
        <v>1</v>
      </c>
      <c r="N999">
        <v>0</v>
      </c>
      <c r="O999">
        <v>1</v>
      </c>
      <c r="Q999">
        <v>0</v>
      </c>
      <c r="R999">
        <v>1</v>
      </c>
      <c r="S999">
        <v>1</v>
      </c>
      <c r="T999">
        <v>10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  <c r="AC999">
        <v>1</v>
      </c>
    </row>
    <row r="1000" spans="1:29" x14ac:dyDescent="0.35">
      <c r="A1000">
        <v>3380</v>
      </c>
      <c r="B1000">
        <v>3380</v>
      </c>
      <c r="C1000">
        <v>65</v>
      </c>
      <c r="D1000">
        <v>41</v>
      </c>
      <c r="E1000">
        <v>83</v>
      </c>
      <c r="F1000">
        <v>3</v>
      </c>
      <c r="G1000">
        <v>2</v>
      </c>
      <c r="H1000">
        <v>3</v>
      </c>
      <c r="I1000">
        <v>0</v>
      </c>
      <c r="J1000">
        <v>1</v>
      </c>
      <c r="K1000">
        <v>0</v>
      </c>
      <c r="L1000">
        <v>94305</v>
      </c>
      <c r="M1000">
        <v>0</v>
      </c>
      <c r="N1000">
        <v>0</v>
      </c>
      <c r="O1000">
        <v>0</v>
      </c>
      <c r="Q1000">
        <v>0</v>
      </c>
      <c r="R1000">
        <v>0</v>
      </c>
      <c r="S1000">
        <v>0</v>
      </c>
      <c r="T1000">
        <v>5</v>
      </c>
      <c r="U1000">
        <v>1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</row>
    <row r="1001" spans="1:29" x14ac:dyDescent="0.35">
      <c r="A1001">
        <v>3382</v>
      </c>
      <c r="B1001">
        <v>3382</v>
      </c>
      <c r="C1001">
        <v>39</v>
      </c>
      <c r="D1001">
        <v>15</v>
      </c>
      <c r="E1001">
        <v>143</v>
      </c>
      <c r="F1001">
        <v>1</v>
      </c>
      <c r="G1001">
        <v>3.5</v>
      </c>
      <c r="H1001">
        <v>1</v>
      </c>
      <c r="I1001">
        <v>0</v>
      </c>
      <c r="J1001">
        <v>1</v>
      </c>
      <c r="K1001">
        <v>1</v>
      </c>
      <c r="L1001">
        <v>91711</v>
      </c>
      <c r="M1001">
        <v>0</v>
      </c>
      <c r="N1001">
        <v>0</v>
      </c>
      <c r="O1001">
        <v>0</v>
      </c>
      <c r="Q1001">
        <v>1</v>
      </c>
      <c r="R1001">
        <v>0</v>
      </c>
      <c r="S1001">
        <v>0</v>
      </c>
      <c r="T1001">
        <v>22</v>
      </c>
      <c r="U1001">
        <v>1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1:29" x14ac:dyDescent="0.35">
      <c r="A1002">
        <v>3383</v>
      </c>
      <c r="B1002">
        <v>3383</v>
      </c>
      <c r="C1002">
        <v>62</v>
      </c>
      <c r="D1002">
        <v>36</v>
      </c>
      <c r="E1002">
        <v>103</v>
      </c>
      <c r="F1002">
        <v>2</v>
      </c>
      <c r="G1002">
        <v>2.8</v>
      </c>
      <c r="H1002">
        <v>1</v>
      </c>
      <c r="I1002">
        <v>0</v>
      </c>
      <c r="J1002">
        <v>1</v>
      </c>
      <c r="K1002">
        <v>0</v>
      </c>
      <c r="L1002">
        <v>92182</v>
      </c>
      <c r="M1002">
        <v>0</v>
      </c>
      <c r="N1002">
        <v>1</v>
      </c>
      <c r="O1002">
        <v>1</v>
      </c>
      <c r="Q1002">
        <v>1</v>
      </c>
      <c r="R1002">
        <v>0</v>
      </c>
      <c r="S1002">
        <v>0</v>
      </c>
      <c r="T1002">
        <v>25</v>
      </c>
      <c r="U1002">
        <v>1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</row>
    <row r="1003" spans="1:29" x14ac:dyDescent="0.35">
      <c r="A1003">
        <v>3386</v>
      </c>
      <c r="B1003">
        <v>3386</v>
      </c>
      <c r="C1003">
        <v>42</v>
      </c>
      <c r="D1003">
        <v>17</v>
      </c>
      <c r="E1003">
        <v>73</v>
      </c>
      <c r="F1003">
        <v>4</v>
      </c>
      <c r="G1003">
        <v>0.4</v>
      </c>
      <c r="H1003">
        <v>1</v>
      </c>
      <c r="I1003">
        <v>0</v>
      </c>
      <c r="J1003">
        <v>0</v>
      </c>
      <c r="K1003">
        <v>0</v>
      </c>
      <c r="L1003">
        <v>90089</v>
      </c>
      <c r="M1003">
        <v>0</v>
      </c>
      <c r="N1003">
        <v>1</v>
      </c>
      <c r="O1003">
        <v>0</v>
      </c>
      <c r="Q1003">
        <v>1</v>
      </c>
      <c r="R1003">
        <v>0</v>
      </c>
      <c r="S1003">
        <v>0</v>
      </c>
      <c r="T1003">
        <v>5</v>
      </c>
      <c r="U1003">
        <v>1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</row>
    <row r="1004" spans="1:29" x14ac:dyDescent="0.35">
      <c r="A1004">
        <v>3393</v>
      </c>
      <c r="B1004">
        <v>3393</v>
      </c>
      <c r="C1004">
        <v>32</v>
      </c>
      <c r="D1004">
        <v>7</v>
      </c>
      <c r="E1004">
        <v>58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0</v>
      </c>
      <c r="L1004">
        <v>92612</v>
      </c>
      <c r="M1004">
        <v>0</v>
      </c>
      <c r="N1004">
        <v>0</v>
      </c>
      <c r="O1004">
        <v>0</v>
      </c>
      <c r="Q1004">
        <v>1</v>
      </c>
      <c r="R1004">
        <v>0</v>
      </c>
      <c r="S1004">
        <v>0</v>
      </c>
      <c r="T1004">
        <v>5</v>
      </c>
      <c r="U1004">
        <v>1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</row>
    <row r="1005" spans="1:29" x14ac:dyDescent="0.35">
      <c r="A1005">
        <v>3395</v>
      </c>
      <c r="B1005">
        <v>3395</v>
      </c>
      <c r="C1005">
        <v>25</v>
      </c>
      <c r="D1005">
        <v>-1</v>
      </c>
      <c r="E1005">
        <v>113</v>
      </c>
      <c r="F1005">
        <v>4</v>
      </c>
      <c r="G1005">
        <v>2.1</v>
      </c>
      <c r="H1005">
        <v>3</v>
      </c>
      <c r="I1005">
        <v>0</v>
      </c>
      <c r="J1005">
        <v>1</v>
      </c>
      <c r="K1005">
        <v>0</v>
      </c>
      <c r="L1005">
        <v>90089</v>
      </c>
      <c r="M1005">
        <v>0</v>
      </c>
      <c r="N1005">
        <v>0</v>
      </c>
      <c r="O1005">
        <v>0</v>
      </c>
      <c r="Q1005">
        <v>0</v>
      </c>
      <c r="R1005">
        <v>0</v>
      </c>
      <c r="S1005">
        <v>0</v>
      </c>
      <c r="T1005">
        <v>13</v>
      </c>
      <c r="U1005">
        <v>0.88607594936708001</v>
      </c>
      <c r="V1005">
        <v>0.11392405063291</v>
      </c>
      <c r="W1005">
        <v>0.88607594936708001</v>
      </c>
      <c r="X1005">
        <v>0.11392405063291</v>
      </c>
      <c r="Y1005">
        <v>0.86842105263156999</v>
      </c>
      <c r="Z1005">
        <v>0.13157894736841999</v>
      </c>
      <c r="AA1005">
        <v>0.11392405063291999</v>
      </c>
      <c r="AB1005">
        <v>-0.11392405063291</v>
      </c>
      <c r="AC1005">
        <v>0</v>
      </c>
    </row>
    <row r="1006" spans="1:29" x14ac:dyDescent="0.35">
      <c r="A1006">
        <v>3396</v>
      </c>
      <c r="B1006">
        <v>3396</v>
      </c>
      <c r="C1006">
        <v>41</v>
      </c>
      <c r="D1006">
        <v>16</v>
      </c>
      <c r="E1006">
        <v>35</v>
      </c>
      <c r="F1006">
        <v>2</v>
      </c>
      <c r="G1006">
        <v>1.4</v>
      </c>
      <c r="H1006">
        <v>2</v>
      </c>
      <c r="I1006">
        <v>135</v>
      </c>
      <c r="J1006">
        <v>0</v>
      </c>
      <c r="K1006">
        <v>0</v>
      </c>
      <c r="L1006">
        <v>94061</v>
      </c>
      <c r="M1006">
        <v>0</v>
      </c>
      <c r="N1006">
        <v>0</v>
      </c>
      <c r="O1006">
        <v>0</v>
      </c>
      <c r="Q1006">
        <v>0</v>
      </c>
      <c r="R1006">
        <v>0</v>
      </c>
      <c r="S1006">
        <v>0</v>
      </c>
      <c r="T1006">
        <v>5</v>
      </c>
      <c r="U1006">
        <v>1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</row>
    <row r="1007" spans="1:29" x14ac:dyDescent="0.35">
      <c r="A1007">
        <v>3398</v>
      </c>
      <c r="B1007">
        <v>3398</v>
      </c>
      <c r="C1007">
        <v>31</v>
      </c>
      <c r="D1007">
        <v>6</v>
      </c>
      <c r="E1007">
        <v>170</v>
      </c>
      <c r="F1007">
        <v>2</v>
      </c>
      <c r="G1007">
        <v>6.7</v>
      </c>
      <c r="H1007">
        <v>1</v>
      </c>
      <c r="I1007">
        <v>137</v>
      </c>
      <c r="J1007">
        <v>1</v>
      </c>
      <c r="K1007">
        <v>0</v>
      </c>
      <c r="L1007">
        <v>94010</v>
      </c>
      <c r="M1007">
        <v>0</v>
      </c>
      <c r="N1007">
        <v>0</v>
      </c>
      <c r="O1007">
        <v>0</v>
      </c>
      <c r="Q1007">
        <v>1</v>
      </c>
      <c r="R1007">
        <v>0</v>
      </c>
      <c r="S1007">
        <v>0</v>
      </c>
      <c r="T1007">
        <v>22</v>
      </c>
      <c r="U1007">
        <v>1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</row>
    <row r="1008" spans="1:29" x14ac:dyDescent="0.35">
      <c r="A1008">
        <v>3400</v>
      </c>
      <c r="B1008">
        <v>3400</v>
      </c>
      <c r="C1008">
        <v>54</v>
      </c>
      <c r="D1008">
        <v>29</v>
      </c>
      <c r="E1008">
        <v>54</v>
      </c>
      <c r="F1008">
        <v>2</v>
      </c>
      <c r="G1008">
        <v>2.1</v>
      </c>
      <c r="H1008">
        <v>3</v>
      </c>
      <c r="I1008">
        <v>97</v>
      </c>
      <c r="J1008">
        <v>0</v>
      </c>
      <c r="K1008">
        <v>0</v>
      </c>
      <c r="L1008">
        <v>94720</v>
      </c>
      <c r="M1008">
        <v>0</v>
      </c>
      <c r="N1008">
        <v>0</v>
      </c>
      <c r="O1008">
        <v>0</v>
      </c>
      <c r="Q1008">
        <v>0</v>
      </c>
      <c r="R1008">
        <v>0</v>
      </c>
      <c r="S1008">
        <v>0</v>
      </c>
      <c r="T1008">
        <v>5</v>
      </c>
      <c r="U1008">
        <v>1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</row>
    <row r="1009" spans="1:29" x14ac:dyDescent="0.35">
      <c r="A1009">
        <v>3401</v>
      </c>
      <c r="B1009">
        <v>3401</v>
      </c>
      <c r="C1009">
        <v>48</v>
      </c>
      <c r="D1009">
        <v>22</v>
      </c>
      <c r="E1009">
        <v>39</v>
      </c>
      <c r="F1009">
        <v>1</v>
      </c>
      <c r="G1009">
        <v>1.2</v>
      </c>
      <c r="H1009">
        <v>2</v>
      </c>
      <c r="I1009">
        <v>0</v>
      </c>
      <c r="J1009">
        <v>0</v>
      </c>
      <c r="K1009">
        <v>0</v>
      </c>
      <c r="L1009">
        <v>94065</v>
      </c>
      <c r="M1009">
        <v>0</v>
      </c>
      <c r="N1009">
        <v>0</v>
      </c>
      <c r="O1009">
        <v>0</v>
      </c>
      <c r="Q1009">
        <v>0</v>
      </c>
      <c r="R1009">
        <v>0</v>
      </c>
      <c r="S1009">
        <v>0</v>
      </c>
      <c r="T1009">
        <v>5</v>
      </c>
      <c r="U1009">
        <v>1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</row>
    <row r="1010" spans="1:29" x14ac:dyDescent="0.35">
      <c r="A1010">
        <v>3402</v>
      </c>
      <c r="B1010">
        <v>3402</v>
      </c>
      <c r="C1010">
        <v>39</v>
      </c>
      <c r="D1010">
        <v>15</v>
      </c>
      <c r="E1010">
        <v>28</v>
      </c>
      <c r="F1010">
        <v>1</v>
      </c>
      <c r="G1010">
        <v>1.4</v>
      </c>
      <c r="H1010">
        <v>3</v>
      </c>
      <c r="I1010">
        <v>118</v>
      </c>
      <c r="J1010">
        <v>1</v>
      </c>
      <c r="K1010">
        <v>1</v>
      </c>
      <c r="L1010">
        <v>95818</v>
      </c>
      <c r="M1010">
        <v>0</v>
      </c>
      <c r="N1010">
        <v>0</v>
      </c>
      <c r="O1010">
        <v>0</v>
      </c>
      <c r="Q1010">
        <v>0</v>
      </c>
      <c r="R1010">
        <v>0</v>
      </c>
      <c r="S1010">
        <v>0</v>
      </c>
      <c r="T1010">
        <v>5</v>
      </c>
      <c r="U1010">
        <v>1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</row>
    <row r="1011" spans="1:29" x14ac:dyDescent="0.35">
      <c r="A1011">
        <v>3410</v>
      </c>
      <c r="B1011">
        <v>3410</v>
      </c>
      <c r="C1011">
        <v>29</v>
      </c>
      <c r="D1011">
        <v>5</v>
      </c>
      <c r="E1011">
        <v>113</v>
      </c>
      <c r="F1011">
        <v>2</v>
      </c>
      <c r="G1011">
        <v>2</v>
      </c>
      <c r="H1011">
        <v>2</v>
      </c>
      <c r="I1011">
        <v>84</v>
      </c>
      <c r="J1011">
        <v>1</v>
      </c>
      <c r="K1011">
        <v>1</v>
      </c>
      <c r="L1011">
        <v>95351</v>
      </c>
      <c r="M1011">
        <v>0</v>
      </c>
      <c r="N1011">
        <v>0</v>
      </c>
      <c r="O1011">
        <v>0</v>
      </c>
      <c r="Q1011">
        <v>0</v>
      </c>
      <c r="R1011">
        <v>0</v>
      </c>
      <c r="S1011">
        <v>0</v>
      </c>
      <c r="T1011">
        <v>13</v>
      </c>
      <c r="U1011">
        <v>0.88607594936708001</v>
      </c>
      <c r="V1011">
        <v>0.11392405063291</v>
      </c>
      <c r="W1011">
        <v>0.88607594936708001</v>
      </c>
      <c r="X1011">
        <v>0.11392405063291</v>
      </c>
      <c r="Y1011">
        <v>0.86842105263156999</v>
      </c>
      <c r="Z1011">
        <v>0.13157894736841999</v>
      </c>
      <c r="AA1011">
        <v>0.11392405063291999</v>
      </c>
      <c r="AB1011">
        <v>-0.11392405063291</v>
      </c>
      <c r="AC1011">
        <v>0</v>
      </c>
    </row>
    <row r="1012" spans="1:29" x14ac:dyDescent="0.35">
      <c r="A1012">
        <v>3411</v>
      </c>
      <c r="B1012">
        <v>3411</v>
      </c>
      <c r="C1012">
        <v>36</v>
      </c>
      <c r="D1012">
        <v>11</v>
      </c>
      <c r="E1012">
        <v>9</v>
      </c>
      <c r="F1012">
        <v>4</v>
      </c>
      <c r="G1012">
        <v>0.2</v>
      </c>
      <c r="H1012">
        <v>3</v>
      </c>
      <c r="I1012">
        <v>0</v>
      </c>
      <c r="J1012">
        <v>1</v>
      </c>
      <c r="K1012">
        <v>0</v>
      </c>
      <c r="L1012">
        <v>90230</v>
      </c>
      <c r="M1012">
        <v>0</v>
      </c>
      <c r="N1012">
        <v>0</v>
      </c>
      <c r="O1012">
        <v>0</v>
      </c>
      <c r="Q1012">
        <v>0</v>
      </c>
      <c r="R1012">
        <v>0</v>
      </c>
      <c r="S1012">
        <v>0</v>
      </c>
      <c r="T1012">
        <v>5</v>
      </c>
      <c r="U1012">
        <v>1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</row>
    <row r="1013" spans="1:29" x14ac:dyDescent="0.35">
      <c r="A1013">
        <v>3414</v>
      </c>
      <c r="B1013">
        <v>3414</v>
      </c>
      <c r="C1013">
        <v>54</v>
      </c>
      <c r="D1013">
        <v>24</v>
      </c>
      <c r="E1013">
        <v>72</v>
      </c>
      <c r="F1013">
        <v>3</v>
      </c>
      <c r="G1013">
        <v>1.4</v>
      </c>
      <c r="H1013">
        <v>3</v>
      </c>
      <c r="I1013">
        <v>0</v>
      </c>
      <c r="J1013">
        <v>0</v>
      </c>
      <c r="K1013">
        <v>1</v>
      </c>
      <c r="L1013">
        <v>95123</v>
      </c>
      <c r="M1013">
        <v>0</v>
      </c>
      <c r="N1013">
        <v>0</v>
      </c>
      <c r="O1013">
        <v>0</v>
      </c>
      <c r="Q1013">
        <v>0</v>
      </c>
      <c r="R1013">
        <v>0</v>
      </c>
      <c r="S1013">
        <v>0</v>
      </c>
      <c r="T1013">
        <v>5</v>
      </c>
      <c r="U1013">
        <v>1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</row>
    <row r="1014" spans="1:29" x14ac:dyDescent="0.35">
      <c r="A1014">
        <v>3423</v>
      </c>
      <c r="B1014">
        <v>3423</v>
      </c>
      <c r="C1014">
        <v>48</v>
      </c>
      <c r="D1014">
        <v>23</v>
      </c>
      <c r="E1014">
        <v>41</v>
      </c>
      <c r="F1014">
        <v>1</v>
      </c>
      <c r="G1014">
        <v>1.4</v>
      </c>
      <c r="H1014">
        <v>3</v>
      </c>
      <c r="I1014">
        <v>0</v>
      </c>
      <c r="J1014">
        <v>0</v>
      </c>
      <c r="K1014">
        <v>1</v>
      </c>
      <c r="L1014">
        <v>92677</v>
      </c>
      <c r="M1014">
        <v>0</v>
      </c>
      <c r="N1014">
        <v>0</v>
      </c>
      <c r="O1014">
        <v>0</v>
      </c>
      <c r="Q1014">
        <v>0</v>
      </c>
      <c r="R1014">
        <v>0</v>
      </c>
      <c r="S1014">
        <v>0</v>
      </c>
      <c r="T1014">
        <v>5</v>
      </c>
      <c r="U1014">
        <v>1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</row>
    <row r="1015" spans="1:29" x14ac:dyDescent="0.35">
      <c r="A1015">
        <v>3424</v>
      </c>
      <c r="B1015">
        <v>3424</v>
      </c>
      <c r="C1015">
        <v>61</v>
      </c>
      <c r="D1015">
        <v>35</v>
      </c>
      <c r="E1015">
        <v>38</v>
      </c>
      <c r="F1015">
        <v>2</v>
      </c>
      <c r="G1015">
        <v>1</v>
      </c>
      <c r="H1015">
        <v>3</v>
      </c>
      <c r="I1015">
        <v>0</v>
      </c>
      <c r="J1015">
        <v>0</v>
      </c>
      <c r="K1015">
        <v>0</v>
      </c>
      <c r="L1015">
        <v>93009</v>
      </c>
      <c r="M1015">
        <v>0</v>
      </c>
      <c r="N1015">
        <v>0</v>
      </c>
      <c r="O1015">
        <v>0</v>
      </c>
      <c r="Q1015">
        <v>0</v>
      </c>
      <c r="R1015">
        <v>0</v>
      </c>
      <c r="S1015">
        <v>0</v>
      </c>
      <c r="T1015">
        <v>5</v>
      </c>
      <c r="U1015">
        <v>1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</row>
    <row r="1016" spans="1:29" x14ac:dyDescent="0.35">
      <c r="A1016">
        <v>3425</v>
      </c>
      <c r="B1016">
        <v>3425</v>
      </c>
      <c r="C1016">
        <v>44</v>
      </c>
      <c r="D1016">
        <v>19</v>
      </c>
      <c r="E1016">
        <v>45</v>
      </c>
      <c r="F1016">
        <v>4</v>
      </c>
      <c r="G1016">
        <v>0</v>
      </c>
      <c r="H1016">
        <v>2</v>
      </c>
      <c r="I1016">
        <v>0</v>
      </c>
      <c r="J1016">
        <v>1</v>
      </c>
      <c r="K1016">
        <v>1</v>
      </c>
      <c r="L1016">
        <v>94539</v>
      </c>
      <c r="M1016">
        <v>0</v>
      </c>
      <c r="N1016">
        <v>0</v>
      </c>
      <c r="O1016">
        <v>0</v>
      </c>
      <c r="Q1016">
        <v>0</v>
      </c>
      <c r="R1016">
        <v>0</v>
      </c>
      <c r="S1016">
        <v>0</v>
      </c>
      <c r="T1016">
        <v>5</v>
      </c>
      <c r="U1016">
        <v>1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</row>
    <row r="1017" spans="1:29" x14ac:dyDescent="0.35">
      <c r="A1017">
        <v>3427</v>
      </c>
      <c r="B1017">
        <v>3427</v>
      </c>
      <c r="C1017">
        <v>31</v>
      </c>
      <c r="D1017">
        <v>5</v>
      </c>
      <c r="E1017">
        <v>115</v>
      </c>
      <c r="F1017">
        <v>2</v>
      </c>
      <c r="G1017">
        <v>1.5</v>
      </c>
      <c r="H1017">
        <v>3</v>
      </c>
      <c r="I1017">
        <v>189</v>
      </c>
      <c r="J1017">
        <v>1</v>
      </c>
      <c r="K1017">
        <v>0</v>
      </c>
      <c r="L1017">
        <v>90025</v>
      </c>
      <c r="M1017">
        <v>0</v>
      </c>
      <c r="N1017">
        <v>0</v>
      </c>
      <c r="O1017">
        <v>0</v>
      </c>
      <c r="Q1017">
        <v>0</v>
      </c>
      <c r="R1017">
        <v>0</v>
      </c>
      <c r="S1017">
        <v>0</v>
      </c>
      <c r="T1017">
        <v>13</v>
      </c>
      <c r="U1017">
        <v>0.88607594936708001</v>
      </c>
      <c r="V1017">
        <v>0.11392405063291</v>
      </c>
      <c r="W1017">
        <v>0.88607594936708001</v>
      </c>
      <c r="X1017">
        <v>0.11392405063291</v>
      </c>
      <c r="Y1017">
        <v>0.86842105263156999</v>
      </c>
      <c r="Z1017">
        <v>0.13157894736841999</v>
      </c>
      <c r="AA1017">
        <v>0.11392405063291999</v>
      </c>
      <c r="AB1017">
        <v>-0.11392405063291</v>
      </c>
      <c r="AC1017">
        <v>0</v>
      </c>
    </row>
    <row r="1018" spans="1:29" x14ac:dyDescent="0.35">
      <c r="A1018">
        <v>3429</v>
      </c>
      <c r="B1018">
        <v>3429</v>
      </c>
      <c r="C1018">
        <v>45</v>
      </c>
      <c r="D1018">
        <v>21</v>
      </c>
      <c r="E1018">
        <v>24</v>
      </c>
      <c r="F1018">
        <v>1</v>
      </c>
      <c r="G1018">
        <v>0.9</v>
      </c>
      <c r="H1018">
        <v>3</v>
      </c>
      <c r="I1018">
        <v>0</v>
      </c>
      <c r="J1018">
        <v>0</v>
      </c>
      <c r="K1018">
        <v>0</v>
      </c>
      <c r="L1018">
        <v>93106</v>
      </c>
      <c r="M1018">
        <v>0</v>
      </c>
      <c r="N1018">
        <v>0</v>
      </c>
      <c r="O1018">
        <v>0</v>
      </c>
      <c r="Q1018">
        <v>0</v>
      </c>
      <c r="R1018">
        <v>0</v>
      </c>
      <c r="S1018">
        <v>0</v>
      </c>
      <c r="T1018">
        <v>5</v>
      </c>
      <c r="U1018">
        <v>1</v>
      </c>
      <c r="V1018">
        <v>0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</row>
    <row r="1019" spans="1:29" x14ac:dyDescent="0.35">
      <c r="A1019">
        <v>3431</v>
      </c>
      <c r="B1019">
        <v>3431</v>
      </c>
      <c r="C1019">
        <v>64</v>
      </c>
      <c r="D1019">
        <v>38</v>
      </c>
      <c r="E1019">
        <v>32</v>
      </c>
      <c r="F1019">
        <v>2</v>
      </c>
      <c r="G1019">
        <v>0.3</v>
      </c>
      <c r="H1019">
        <v>1</v>
      </c>
      <c r="I1019">
        <v>0</v>
      </c>
      <c r="J1019">
        <v>1</v>
      </c>
      <c r="K1019">
        <v>1</v>
      </c>
      <c r="L1019">
        <v>90291</v>
      </c>
      <c r="M1019">
        <v>0</v>
      </c>
      <c r="N1019">
        <v>0</v>
      </c>
      <c r="O1019">
        <v>0</v>
      </c>
      <c r="Q1019">
        <v>1</v>
      </c>
      <c r="R1019">
        <v>0</v>
      </c>
      <c r="S1019">
        <v>0</v>
      </c>
      <c r="T1019">
        <v>5</v>
      </c>
      <c r="U1019">
        <v>1</v>
      </c>
      <c r="V1019">
        <v>0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</row>
    <row r="1020" spans="1:29" x14ac:dyDescent="0.35">
      <c r="A1020">
        <v>3433</v>
      </c>
      <c r="B1020">
        <v>3433</v>
      </c>
      <c r="C1020">
        <v>47</v>
      </c>
      <c r="D1020">
        <v>23</v>
      </c>
      <c r="E1020">
        <v>32</v>
      </c>
      <c r="F1020">
        <v>1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95370</v>
      </c>
      <c r="M1020">
        <v>0</v>
      </c>
      <c r="N1020">
        <v>0</v>
      </c>
      <c r="O1020">
        <v>0</v>
      </c>
      <c r="Q1020">
        <v>1</v>
      </c>
      <c r="R1020">
        <v>0</v>
      </c>
      <c r="S1020">
        <v>0</v>
      </c>
      <c r="T1020">
        <v>5</v>
      </c>
      <c r="U1020">
        <v>1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</row>
    <row r="1021" spans="1:29" x14ac:dyDescent="0.35">
      <c r="A1021">
        <v>3434</v>
      </c>
      <c r="B1021">
        <v>3434</v>
      </c>
      <c r="C1021">
        <v>34</v>
      </c>
      <c r="D1021">
        <v>9</v>
      </c>
      <c r="E1021">
        <v>60</v>
      </c>
      <c r="F1021">
        <v>4</v>
      </c>
      <c r="G1021">
        <v>1.3</v>
      </c>
      <c r="H1021">
        <v>1</v>
      </c>
      <c r="I1021">
        <v>0</v>
      </c>
      <c r="J1021">
        <v>0</v>
      </c>
      <c r="K1021">
        <v>0</v>
      </c>
      <c r="L1021">
        <v>94306</v>
      </c>
      <c r="M1021">
        <v>0</v>
      </c>
      <c r="N1021">
        <v>1</v>
      </c>
      <c r="O1021">
        <v>0</v>
      </c>
      <c r="Q1021">
        <v>1</v>
      </c>
      <c r="R1021">
        <v>0</v>
      </c>
      <c r="S1021">
        <v>0</v>
      </c>
      <c r="T1021">
        <v>5</v>
      </c>
      <c r="U1021">
        <v>1</v>
      </c>
      <c r="V1021">
        <v>0</v>
      </c>
      <c r="W1021">
        <v>1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</row>
    <row r="1022" spans="1:29" x14ac:dyDescent="0.35">
      <c r="A1022">
        <v>3435</v>
      </c>
      <c r="B1022">
        <v>3435</v>
      </c>
      <c r="C1022">
        <v>56</v>
      </c>
      <c r="D1022">
        <v>31</v>
      </c>
      <c r="E1022">
        <v>53</v>
      </c>
      <c r="F1022">
        <v>2</v>
      </c>
      <c r="G1022">
        <v>1.6</v>
      </c>
      <c r="H1022">
        <v>3</v>
      </c>
      <c r="I1022">
        <v>78</v>
      </c>
      <c r="J1022">
        <v>0</v>
      </c>
      <c r="K1022">
        <v>0</v>
      </c>
      <c r="L1022">
        <v>95521</v>
      </c>
      <c r="M1022">
        <v>0</v>
      </c>
      <c r="N1022">
        <v>0</v>
      </c>
      <c r="O1022">
        <v>0</v>
      </c>
      <c r="Q1022">
        <v>0</v>
      </c>
      <c r="R1022">
        <v>0</v>
      </c>
      <c r="S1022">
        <v>0</v>
      </c>
      <c r="T1022">
        <v>5</v>
      </c>
      <c r="U1022">
        <v>1</v>
      </c>
      <c r="V1022">
        <v>0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</row>
    <row r="1023" spans="1:29" x14ac:dyDescent="0.35">
      <c r="A1023">
        <v>3440</v>
      </c>
      <c r="B1023">
        <v>3440</v>
      </c>
      <c r="C1023">
        <v>43</v>
      </c>
      <c r="D1023">
        <v>17</v>
      </c>
      <c r="E1023">
        <v>80</v>
      </c>
      <c r="F1023">
        <v>3</v>
      </c>
      <c r="G1023">
        <v>0.1</v>
      </c>
      <c r="H1023">
        <v>1</v>
      </c>
      <c r="I1023">
        <v>0</v>
      </c>
      <c r="J1023">
        <v>1</v>
      </c>
      <c r="K1023">
        <v>1</v>
      </c>
      <c r="L1023">
        <v>95020</v>
      </c>
      <c r="M1023">
        <v>0</v>
      </c>
      <c r="N1023">
        <v>0</v>
      </c>
      <c r="O1023">
        <v>1</v>
      </c>
      <c r="Q1023">
        <v>1</v>
      </c>
      <c r="R1023">
        <v>0</v>
      </c>
      <c r="S1023">
        <v>0</v>
      </c>
      <c r="T1023">
        <v>5</v>
      </c>
      <c r="U1023">
        <v>1</v>
      </c>
      <c r="V1023">
        <v>0</v>
      </c>
      <c r="W1023">
        <v>1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</row>
    <row r="1024" spans="1:29" x14ac:dyDescent="0.35">
      <c r="A1024">
        <v>3442</v>
      </c>
      <c r="B1024">
        <v>3442</v>
      </c>
      <c r="C1024">
        <v>64</v>
      </c>
      <c r="D1024">
        <v>40</v>
      </c>
      <c r="E1024">
        <v>18</v>
      </c>
      <c r="F1024">
        <v>2</v>
      </c>
      <c r="G1024">
        <v>0.3</v>
      </c>
      <c r="H1024">
        <v>3</v>
      </c>
      <c r="I1024">
        <v>0</v>
      </c>
      <c r="J1024">
        <v>1</v>
      </c>
      <c r="K1024">
        <v>1</v>
      </c>
      <c r="L1024">
        <v>94309</v>
      </c>
      <c r="M1024">
        <v>0</v>
      </c>
      <c r="N1024">
        <v>1</v>
      </c>
      <c r="O1024">
        <v>1</v>
      </c>
      <c r="Q1024">
        <v>0</v>
      </c>
      <c r="R1024">
        <v>0</v>
      </c>
      <c r="S1024">
        <v>0</v>
      </c>
      <c r="T1024">
        <v>5</v>
      </c>
      <c r="U1024">
        <v>1</v>
      </c>
      <c r="V1024">
        <v>0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</row>
    <row r="1025" spans="1:29" x14ac:dyDescent="0.35">
      <c r="A1025">
        <v>3446</v>
      </c>
      <c r="B1025">
        <v>3446</v>
      </c>
      <c r="C1025">
        <v>37</v>
      </c>
      <c r="D1025">
        <v>13</v>
      </c>
      <c r="E1025">
        <v>38</v>
      </c>
      <c r="F1025">
        <v>1</v>
      </c>
      <c r="G1025">
        <v>1.5</v>
      </c>
      <c r="H1025">
        <v>2</v>
      </c>
      <c r="I1025">
        <v>116</v>
      </c>
      <c r="J1025">
        <v>0</v>
      </c>
      <c r="K1025">
        <v>1</v>
      </c>
      <c r="L1025">
        <v>94701</v>
      </c>
      <c r="M1025">
        <v>0</v>
      </c>
      <c r="N1025">
        <v>0</v>
      </c>
      <c r="O1025">
        <v>0</v>
      </c>
      <c r="Q1025">
        <v>0</v>
      </c>
      <c r="R1025">
        <v>0</v>
      </c>
      <c r="S1025">
        <v>0</v>
      </c>
      <c r="T1025">
        <v>5</v>
      </c>
      <c r="U1025">
        <v>1</v>
      </c>
      <c r="V1025">
        <v>0</v>
      </c>
      <c r="W1025">
        <v>1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</row>
    <row r="1026" spans="1:29" x14ac:dyDescent="0.35">
      <c r="A1026">
        <v>3455</v>
      </c>
      <c r="B1026">
        <v>3455</v>
      </c>
      <c r="C1026">
        <v>47</v>
      </c>
      <c r="D1026">
        <v>21</v>
      </c>
      <c r="E1026">
        <v>132</v>
      </c>
      <c r="F1026">
        <v>1</v>
      </c>
      <c r="G1026">
        <v>0.3</v>
      </c>
      <c r="H1026">
        <v>1</v>
      </c>
      <c r="I1026">
        <v>0</v>
      </c>
      <c r="J1026">
        <v>1</v>
      </c>
      <c r="K1026">
        <v>0</v>
      </c>
      <c r="L1026">
        <v>92120</v>
      </c>
      <c r="M1026">
        <v>0</v>
      </c>
      <c r="N1026">
        <v>0</v>
      </c>
      <c r="O1026">
        <v>0</v>
      </c>
      <c r="Q1026">
        <v>1</v>
      </c>
      <c r="R1026">
        <v>0</v>
      </c>
      <c r="S1026">
        <v>0</v>
      </c>
      <c r="T1026">
        <v>22</v>
      </c>
      <c r="U1026">
        <v>1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</row>
    <row r="1027" spans="1:29" x14ac:dyDescent="0.35">
      <c r="A1027">
        <v>3457</v>
      </c>
      <c r="B1027">
        <v>3457</v>
      </c>
      <c r="C1027">
        <v>46</v>
      </c>
      <c r="D1027">
        <v>22</v>
      </c>
      <c r="E1027">
        <v>125</v>
      </c>
      <c r="F1027">
        <v>2</v>
      </c>
      <c r="G1027">
        <v>4.7</v>
      </c>
      <c r="H1027">
        <v>3</v>
      </c>
      <c r="I1027">
        <v>0</v>
      </c>
      <c r="J1027">
        <v>1</v>
      </c>
      <c r="K1027">
        <v>0</v>
      </c>
      <c r="L1027">
        <v>94536</v>
      </c>
      <c r="M1027">
        <v>1</v>
      </c>
      <c r="N1027">
        <v>0</v>
      </c>
      <c r="O1027">
        <v>0</v>
      </c>
      <c r="Q1027">
        <v>0</v>
      </c>
      <c r="R1027">
        <v>1</v>
      </c>
      <c r="S1027">
        <v>1</v>
      </c>
      <c r="T1027">
        <v>10</v>
      </c>
      <c r="U1027">
        <v>0</v>
      </c>
      <c r="V1027">
        <v>1</v>
      </c>
      <c r="W1027">
        <v>0</v>
      </c>
      <c r="X1027">
        <v>1</v>
      </c>
      <c r="Y1027">
        <v>0</v>
      </c>
      <c r="Z1027">
        <v>1</v>
      </c>
      <c r="AA1027">
        <v>0</v>
      </c>
      <c r="AB1027">
        <v>0</v>
      </c>
      <c r="AC1027">
        <v>1</v>
      </c>
    </row>
    <row r="1028" spans="1:29" x14ac:dyDescent="0.35">
      <c r="A1028">
        <v>3459</v>
      </c>
      <c r="B1028">
        <v>3459</v>
      </c>
      <c r="C1028">
        <v>48</v>
      </c>
      <c r="D1028">
        <v>23</v>
      </c>
      <c r="E1028">
        <v>191</v>
      </c>
      <c r="F1028">
        <v>2</v>
      </c>
      <c r="G1028">
        <v>2.8</v>
      </c>
      <c r="H1028">
        <v>1</v>
      </c>
      <c r="I1028">
        <v>231</v>
      </c>
      <c r="J1028">
        <v>0</v>
      </c>
      <c r="K1028">
        <v>1</v>
      </c>
      <c r="L1028">
        <v>95053</v>
      </c>
      <c r="M1028">
        <v>0</v>
      </c>
      <c r="N1028">
        <v>0</v>
      </c>
      <c r="O1028">
        <v>0</v>
      </c>
      <c r="Q1028">
        <v>1</v>
      </c>
      <c r="R1028">
        <v>0</v>
      </c>
      <c r="S1028">
        <v>0</v>
      </c>
      <c r="T1028">
        <v>22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</row>
    <row r="1029" spans="1:29" x14ac:dyDescent="0.35">
      <c r="A1029">
        <v>3460</v>
      </c>
      <c r="B1029">
        <v>3460</v>
      </c>
      <c r="C1029">
        <v>26</v>
      </c>
      <c r="D1029">
        <v>1</v>
      </c>
      <c r="E1029">
        <v>88</v>
      </c>
      <c r="F1029">
        <v>2</v>
      </c>
      <c r="G1029">
        <v>1.8</v>
      </c>
      <c r="H1029">
        <v>2</v>
      </c>
      <c r="I1029">
        <v>0</v>
      </c>
      <c r="J1029">
        <v>0</v>
      </c>
      <c r="K1029">
        <v>0</v>
      </c>
      <c r="L1029">
        <v>94025</v>
      </c>
      <c r="M1029">
        <v>0</v>
      </c>
      <c r="N1029">
        <v>0</v>
      </c>
      <c r="O1029">
        <v>0</v>
      </c>
      <c r="Q1029">
        <v>0</v>
      </c>
      <c r="R1029">
        <v>0</v>
      </c>
      <c r="S1029">
        <v>0</v>
      </c>
      <c r="T1029">
        <v>5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</row>
    <row r="1030" spans="1:29" x14ac:dyDescent="0.35">
      <c r="A1030">
        <v>3471</v>
      </c>
      <c r="B1030">
        <v>3471</v>
      </c>
      <c r="C1030">
        <v>57</v>
      </c>
      <c r="D1030">
        <v>31</v>
      </c>
      <c r="E1030">
        <v>175</v>
      </c>
      <c r="F1030">
        <v>2</v>
      </c>
      <c r="G1030">
        <v>0.5</v>
      </c>
      <c r="H1030">
        <v>1</v>
      </c>
      <c r="I1030">
        <v>429</v>
      </c>
      <c r="J1030">
        <v>1</v>
      </c>
      <c r="K1030">
        <v>1</v>
      </c>
      <c r="L1030">
        <v>90503</v>
      </c>
      <c r="M1030">
        <v>0</v>
      </c>
      <c r="N1030">
        <v>0</v>
      </c>
      <c r="O1030">
        <v>0</v>
      </c>
      <c r="Q1030">
        <v>1</v>
      </c>
      <c r="R1030">
        <v>0</v>
      </c>
      <c r="S1030">
        <v>0</v>
      </c>
      <c r="T1030">
        <v>22</v>
      </c>
      <c r="U1030">
        <v>1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</row>
    <row r="1031" spans="1:29" x14ac:dyDescent="0.35">
      <c r="A1031">
        <v>3472</v>
      </c>
      <c r="B1031">
        <v>3472</v>
      </c>
      <c r="C1031">
        <v>50</v>
      </c>
      <c r="D1031">
        <v>25</v>
      </c>
      <c r="E1031">
        <v>38</v>
      </c>
      <c r="F1031">
        <v>1</v>
      </c>
      <c r="G1031">
        <v>1.4</v>
      </c>
      <c r="H1031">
        <v>3</v>
      </c>
      <c r="I1031">
        <v>0</v>
      </c>
      <c r="J1031">
        <v>1</v>
      </c>
      <c r="K1031">
        <v>0</v>
      </c>
      <c r="L1031">
        <v>95503</v>
      </c>
      <c r="M1031">
        <v>0</v>
      </c>
      <c r="N1031">
        <v>0</v>
      </c>
      <c r="O1031">
        <v>0</v>
      </c>
      <c r="Q1031">
        <v>0</v>
      </c>
      <c r="R1031">
        <v>0</v>
      </c>
      <c r="S1031">
        <v>0</v>
      </c>
      <c r="T1031">
        <v>5</v>
      </c>
      <c r="U1031">
        <v>1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</row>
    <row r="1032" spans="1:29" x14ac:dyDescent="0.35">
      <c r="A1032">
        <v>3473</v>
      </c>
      <c r="B1032">
        <v>3473</v>
      </c>
      <c r="C1032">
        <v>54</v>
      </c>
      <c r="D1032">
        <v>27</v>
      </c>
      <c r="E1032">
        <v>120</v>
      </c>
      <c r="F1032">
        <v>4</v>
      </c>
      <c r="G1032">
        <v>3</v>
      </c>
      <c r="H1032">
        <v>2</v>
      </c>
      <c r="I1032">
        <v>431</v>
      </c>
      <c r="J1032">
        <v>1</v>
      </c>
      <c r="K1032">
        <v>0</v>
      </c>
      <c r="L1032">
        <v>92672</v>
      </c>
      <c r="M1032">
        <v>1</v>
      </c>
      <c r="N1032">
        <v>0</v>
      </c>
      <c r="O1032">
        <v>0</v>
      </c>
      <c r="Q1032">
        <v>0</v>
      </c>
      <c r="R1032">
        <v>1</v>
      </c>
      <c r="S1032">
        <v>1</v>
      </c>
      <c r="T1032">
        <v>10</v>
      </c>
      <c r="U1032">
        <v>0</v>
      </c>
      <c r="V1032">
        <v>1</v>
      </c>
      <c r="W1032">
        <v>0</v>
      </c>
      <c r="X1032">
        <v>1</v>
      </c>
      <c r="Y1032">
        <v>0</v>
      </c>
      <c r="Z1032">
        <v>1</v>
      </c>
      <c r="AA1032">
        <v>0</v>
      </c>
      <c r="AB1032">
        <v>0</v>
      </c>
      <c r="AC1032">
        <v>1</v>
      </c>
    </row>
    <row r="1033" spans="1:29" x14ac:dyDescent="0.35">
      <c r="A1033">
        <v>3478</v>
      </c>
      <c r="B1033">
        <v>3478</v>
      </c>
      <c r="C1033">
        <v>34</v>
      </c>
      <c r="D1033">
        <v>10</v>
      </c>
      <c r="E1033">
        <v>131</v>
      </c>
      <c r="F1033">
        <v>2</v>
      </c>
      <c r="G1033">
        <v>4.33</v>
      </c>
      <c r="H1033">
        <v>1</v>
      </c>
      <c r="I1033">
        <v>156</v>
      </c>
      <c r="J1033">
        <v>1</v>
      </c>
      <c r="K1033">
        <v>1</v>
      </c>
      <c r="L1033">
        <v>94024</v>
      </c>
      <c r="M1033">
        <v>0</v>
      </c>
      <c r="N1033">
        <v>0</v>
      </c>
      <c r="O1033">
        <v>0</v>
      </c>
      <c r="Q1033">
        <v>1</v>
      </c>
      <c r="R1033">
        <v>0</v>
      </c>
      <c r="S1033">
        <v>0</v>
      </c>
      <c r="T1033">
        <v>22</v>
      </c>
      <c r="U1033">
        <v>1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</row>
    <row r="1034" spans="1:29" x14ac:dyDescent="0.35">
      <c r="A1034">
        <v>3479</v>
      </c>
      <c r="B1034">
        <v>3479</v>
      </c>
      <c r="C1034">
        <v>31</v>
      </c>
      <c r="D1034">
        <v>6</v>
      </c>
      <c r="E1034">
        <v>133</v>
      </c>
      <c r="F1034">
        <v>1</v>
      </c>
      <c r="G1034">
        <v>1.5</v>
      </c>
      <c r="H1034">
        <v>3</v>
      </c>
      <c r="I1034">
        <v>0</v>
      </c>
      <c r="J1034">
        <v>0</v>
      </c>
      <c r="K1034">
        <v>0</v>
      </c>
      <c r="L1034">
        <v>95747</v>
      </c>
      <c r="M1034">
        <v>1</v>
      </c>
      <c r="N1034">
        <v>0</v>
      </c>
      <c r="O1034">
        <v>0</v>
      </c>
      <c r="Q1034">
        <v>0</v>
      </c>
      <c r="R1034">
        <v>1</v>
      </c>
      <c r="S1034">
        <v>1</v>
      </c>
      <c r="T1034">
        <v>10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1</v>
      </c>
      <c r="AA1034">
        <v>0</v>
      </c>
      <c r="AB1034">
        <v>0</v>
      </c>
      <c r="AC1034">
        <v>1</v>
      </c>
    </row>
    <row r="1035" spans="1:29" x14ac:dyDescent="0.35">
      <c r="A1035">
        <v>3481</v>
      </c>
      <c r="B1035">
        <v>3481</v>
      </c>
      <c r="C1035">
        <v>64</v>
      </c>
      <c r="D1035">
        <v>39</v>
      </c>
      <c r="E1035">
        <v>49</v>
      </c>
      <c r="F1035">
        <v>2</v>
      </c>
      <c r="G1035">
        <v>1.5</v>
      </c>
      <c r="H1035">
        <v>1</v>
      </c>
      <c r="I1035">
        <v>0</v>
      </c>
      <c r="J1035">
        <v>1</v>
      </c>
      <c r="K1035">
        <v>0</v>
      </c>
      <c r="L1035">
        <v>94591</v>
      </c>
      <c r="M1035">
        <v>0</v>
      </c>
      <c r="N1035">
        <v>1</v>
      </c>
      <c r="O1035">
        <v>0</v>
      </c>
      <c r="Q1035">
        <v>1</v>
      </c>
      <c r="R1035">
        <v>0</v>
      </c>
      <c r="S1035">
        <v>0</v>
      </c>
      <c r="T1035">
        <v>5</v>
      </c>
      <c r="U1035">
        <v>1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</row>
    <row r="1036" spans="1:29" x14ac:dyDescent="0.35">
      <c r="A1036">
        <v>3483</v>
      </c>
      <c r="B1036">
        <v>3483</v>
      </c>
      <c r="C1036">
        <v>57</v>
      </c>
      <c r="D1036">
        <v>33</v>
      </c>
      <c r="E1036">
        <v>91</v>
      </c>
      <c r="F1036">
        <v>1</v>
      </c>
      <c r="G1036">
        <v>4.3</v>
      </c>
      <c r="H1036">
        <v>1</v>
      </c>
      <c r="I1036">
        <v>81</v>
      </c>
      <c r="J1036">
        <v>0</v>
      </c>
      <c r="K1036">
        <v>0</v>
      </c>
      <c r="L1036">
        <v>95133</v>
      </c>
      <c r="M1036">
        <v>0</v>
      </c>
      <c r="N1036">
        <v>1</v>
      </c>
      <c r="O1036">
        <v>0</v>
      </c>
      <c r="Q1036">
        <v>1</v>
      </c>
      <c r="R1036">
        <v>0</v>
      </c>
      <c r="S1036">
        <v>0</v>
      </c>
      <c r="T1036">
        <v>15</v>
      </c>
      <c r="U1036">
        <v>0.91935483870967005</v>
      </c>
      <c r="V1036">
        <v>8.0645161290319997E-2</v>
      </c>
      <c r="W1036">
        <v>0.91935483870967005</v>
      </c>
      <c r="X1036">
        <v>8.0645161290319997E-2</v>
      </c>
      <c r="Y1036">
        <v>0.86</v>
      </c>
      <c r="Z1036">
        <v>0.14000000000000001</v>
      </c>
      <c r="AA1036">
        <v>8.0645161290329906E-2</v>
      </c>
      <c r="AB1036">
        <v>-8.0645161290319997E-2</v>
      </c>
      <c r="AC1036">
        <v>0</v>
      </c>
    </row>
    <row r="1037" spans="1:29" x14ac:dyDescent="0.35">
      <c r="A1037">
        <v>3486</v>
      </c>
      <c r="B1037">
        <v>3486</v>
      </c>
      <c r="C1037">
        <v>39</v>
      </c>
      <c r="D1037">
        <v>13</v>
      </c>
      <c r="E1037">
        <v>39</v>
      </c>
      <c r="F1037">
        <v>2</v>
      </c>
      <c r="G1037">
        <v>0.8</v>
      </c>
      <c r="H1037">
        <v>3</v>
      </c>
      <c r="I1037">
        <v>0</v>
      </c>
      <c r="J1037">
        <v>0</v>
      </c>
      <c r="K1037">
        <v>0</v>
      </c>
      <c r="L1037">
        <v>92103</v>
      </c>
      <c r="M1037">
        <v>0</v>
      </c>
      <c r="N1037">
        <v>0</v>
      </c>
      <c r="O1037">
        <v>0</v>
      </c>
      <c r="Q1037">
        <v>0</v>
      </c>
      <c r="R1037">
        <v>0</v>
      </c>
      <c r="S1037">
        <v>0</v>
      </c>
      <c r="T1037">
        <v>5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</row>
    <row r="1038" spans="1:29" x14ac:dyDescent="0.35">
      <c r="A1038">
        <v>3491</v>
      </c>
      <c r="B1038">
        <v>3491</v>
      </c>
      <c r="C1038">
        <v>33</v>
      </c>
      <c r="D1038">
        <v>9</v>
      </c>
      <c r="E1038">
        <v>38</v>
      </c>
      <c r="F1038">
        <v>1</v>
      </c>
      <c r="G1038">
        <v>1.33</v>
      </c>
      <c r="H1038">
        <v>1</v>
      </c>
      <c r="I1038">
        <v>115</v>
      </c>
      <c r="J1038">
        <v>0</v>
      </c>
      <c r="K1038">
        <v>0</v>
      </c>
      <c r="L1038">
        <v>95814</v>
      </c>
      <c r="M1038">
        <v>0</v>
      </c>
      <c r="N1038">
        <v>0</v>
      </c>
      <c r="O1038">
        <v>0</v>
      </c>
      <c r="Q1038">
        <v>1</v>
      </c>
      <c r="R1038">
        <v>0</v>
      </c>
      <c r="S1038">
        <v>0</v>
      </c>
      <c r="T1038">
        <v>5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</row>
    <row r="1039" spans="1:29" x14ac:dyDescent="0.35">
      <c r="A1039">
        <v>3494</v>
      </c>
      <c r="B1039">
        <v>3494</v>
      </c>
      <c r="C1039">
        <v>54</v>
      </c>
      <c r="D1039">
        <v>28</v>
      </c>
      <c r="E1039">
        <v>33</v>
      </c>
      <c r="F1039">
        <v>2</v>
      </c>
      <c r="G1039">
        <v>0.4</v>
      </c>
      <c r="H1039">
        <v>3</v>
      </c>
      <c r="I1039">
        <v>0</v>
      </c>
      <c r="J1039">
        <v>1</v>
      </c>
      <c r="K1039">
        <v>0</v>
      </c>
      <c r="L1039">
        <v>94710</v>
      </c>
      <c r="M1039">
        <v>0</v>
      </c>
      <c r="N1039">
        <v>0</v>
      </c>
      <c r="O1039">
        <v>0</v>
      </c>
      <c r="Q1039">
        <v>0</v>
      </c>
      <c r="R1039">
        <v>0</v>
      </c>
      <c r="S1039">
        <v>0</v>
      </c>
      <c r="T1039">
        <v>5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</row>
    <row r="1040" spans="1:29" x14ac:dyDescent="0.35">
      <c r="A1040">
        <v>3498</v>
      </c>
      <c r="B1040">
        <v>3498</v>
      </c>
      <c r="C1040">
        <v>55</v>
      </c>
      <c r="D1040">
        <v>31</v>
      </c>
      <c r="E1040">
        <v>134</v>
      </c>
      <c r="F1040">
        <v>2</v>
      </c>
      <c r="G1040">
        <v>0.3</v>
      </c>
      <c r="H1040">
        <v>1</v>
      </c>
      <c r="I1040">
        <v>0</v>
      </c>
      <c r="J1040">
        <v>0</v>
      </c>
      <c r="K1040">
        <v>0</v>
      </c>
      <c r="L1040">
        <v>92130</v>
      </c>
      <c r="M1040">
        <v>0</v>
      </c>
      <c r="N1040">
        <v>0</v>
      </c>
      <c r="O1040">
        <v>0</v>
      </c>
      <c r="Q1040">
        <v>1</v>
      </c>
      <c r="R1040">
        <v>0</v>
      </c>
      <c r="S1040">
        <v>0</v>
      </c>
      <c r="T1040">
        <v>22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</row>
    <row r="1041" spans="1:29" x14ac:dyDescent="0.35">
      <c r="A1041">
        <v>3502</v>
      </c>
      <c r="B1041">
        <v>3502</v>
      </c>
      <c r="C1041">
        <v>65</v>
      </c>
      <c r="D1041">
        <v>39</v>
      </c>
      <c r="E1041">
        <v>105</v>
      </c>
      <c r="F1041">
        <v>4</v>
      </c>
      <c r="G1041">
        <v>1.7</v>
      </c>
      <c r="H1041">
        <v>3</v>
      </c>
      <c r="I1041">
        <v>0</v>
      </c>
      <c r="J1041">
        <v>1</v>
      </c>
      <c r="K1041">
        <v>0</v>
      </c>
      <c r="L1041">
        <v>91380</v>
      </c>
      <c r="M1041">
        <v>0</v>
      </c>
      <c r="N1041">
        <v>1</v>
      </c>
      <c r="O1041">
        <v>0</v>
      </c>
      <c r="Q1041">
        <v>0</v>
      </c>
      <c r="R1041">
        <v>0</v>
      </c>
      <c r="S1041">
        <v>0</v>
      </c>
      <c r="T1041">
        <v>13</v>
      </c>
      <c r="U1041">
        <v>0.88607594936708001</v>
      </c>
      <c r="V1041">
        <v>0.11392405063291</v>
      </c>
      <c r="W1041">
        <v>0.88607594936708001</v>
      </c>
      <c r="X1041">
        <v>0.11392405063291</v>
      </c>
      <c r="Y1041">
        <v>0.86842105263156999</v>
      </c>
      <c r="Z1041">
        <v>0.13157894736841999</v>
      </c>
      <c r="AA1041">
        <v>0.11392405063291999</v>
      </c>
      <c r="AB1041">
        <v>-0.11392405063291</v>
      </c>
      <c r="AC1041">
        <v>0</v>
      </c>
    </row>
    <row r="1042" spans="1:29" x14ac:dyDescent="0.35">
      <c r="A1042">
        <v>3504</v>
      </c>
      <c r="B1042">
        <v>3504</v>
      </c>
      <c r="C1042">
        <v>29</v>
      </c>
      <c r="D1042">
        <v>3</v>
      </c>
      <c r="E1042">
        <v>53</v>
      </c>
      <c r="F1042">
        <v>4</v>
      </c>
      <c r="G1042">
        <v>2.1</v>
      </c>
      <c r="H1042">
        <v>3</v>
      </c>
      <c r="I1042">
        <v>0</v>
      </c>
      <c r="J1042">
        <v>1</v>
      </c>
      <c r="K1042">
        <v>0</v>
      </c>
      <c r="L1042">
        <v>95814</v>
      </c>
      <c r="M1042">
        <v>0</v>
      </c>
      <c r="N1042">
        <v>0</v>
      </c>
      <c r="O1042">
        <v>0</v>
      </c>
      <c r="Q1042">
        <v>0</v>
      </c>
      <c r="R1042">
        <v>0</v>
      </c>
      <c r="S1042">
        <v>0</v>
      </c>
      <c r="T1042">
        <v>5</v>
      </c>
      <c r="U1042">
        <v>1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</row>
    <row r="1043" spans="1:29" x14ac:dyDescent="0.35">
      <c r="A1043">
        <v>3513</v>
      </c>
      <c r="B1043">
        <v>3513</v>
      </c>
      <c r="C1043">
        <v>46</v>
      </c>
      <c r="D1043">
        <v>20</v>
      </c>
      <c r="E1043">
        <v>70</v>
      </c>
      <c r="F1043">
        <v>4</v>
      </c>
      <c r="G1043">
        <v>2.9</v>
      </c>
      <c r="H1043">
        <v>1</v>
      </c>
      <c r="I1043">
        <v>0</v>
      </c>
      <c r="J1043">
        <v>0</v>
      </c>
      <c r="K1043">
        <v>1</v>
      </c>
      <c r="L1043">
        <v>90405</v>
      </c>
      <c r="M1043">
        <v>0</v>
      </c>
      <c r="N1043">
        <v>0</v>
      </c>
      <c r="O1043">
        <v>0</v>
      </c>
      <c r="Q1043">
        <v>1</v>
      </c>
      <c r="R1043">
        <v>0</v>
      </c>
      <c r="S1043">
        <v>0</v>
      </c>
      <c r="T1043">
        <v>5</v>
      </c>
      <c r="U1043">
        <v>1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</row>
    <row r="1044" spans="1:29" x14ac:dyDescent="0.35">
      <c r="A1044">
        <v>3524</v>
      </c>
      <c r="B1044">
        <v>3524</v>
      </c>
      <c r="C1044">
        <v>29</v>
      </c>
      <c r="D1044">
        <v>4</v>
      </c>
      <c r="E1044">
        <v>150</v>
      </c>
      <c r="F1044">
        <v>1</v>
      </c>
      <c r="G1044">
        <v>0.8</v>
      </c>
      <c r="H1044">
        <v>1</v>
      </c>
      <c r="I1044">
        <v>0</v>
      </c>
      <c r="J1044">
        <v>0</v>
      </c>
      <c r="K1044">
        <v>1</v>
      </c>
      <c r="L1044">
        <v>91302</v>
      </c>
      <c r="M1044">
        <v>0</v>
      </c>
      <c r="N1044">
        <v>0</v>
      </c>
      <c r="O1044">
        <v>0</v>
      </c>
      <c r="Q1044">
        <v>1</v>
      </c>
      <c r="R1044">
        <v>0</v>
      </c>
      <c r="S1044">
        <v>0</v>
      </c>
      <c r="T1044">
        <v>22</v>
      </c>
      <c r="U1044">
        <v>1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</row>
    <row r="1045" spans="1:29" x14ac:dyDescent="0.35">
      <c r="A1045">
        <v>3535</v>
      </c>
      <c r="B1045">
        <v>3535</v>
      </c>
      <c r="C1045">
        <v>34</v>
      </c>
      <c r="D1045">
        <v>10</v>
      </c>
      <c r="E1045">
        <v>61</v>
      </c>
      <c r="F1045">
        <v>3</v>
      </c>
      <c r="G1045">
        <v>2</v>
      </c>
      <c r="H1045">
        <v>1</v>
      </c>
      <c r="I1045">
        <v>0</v>
      </c>
      <c r="J1045">
        <v>0</v>
      </c>
      <c r="K1045">
        <v>1</v>
      </c>
      <c r="L1045">
        <v>95006</v>
      </c>
      <c r="M1045">
        <v>0</v>
      </c>
      <c r="N1045">
        <v>0</v>
      </c>
      <c r="O1045">
        <v>0</v>
      </c>
      <c r="Q1045">
        <v>1</v>
      </c>
      <c r="R1045">
        <v>0</v>
      </c>
      <c r="S1045">
        <v>0</v>
      </c>
      <c r="T1045">
        <v>5</v>
      </c>
      <c r="U1045">
        <v>1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</row>
    <row r="1046" spans="1:29" x14ac:dyDescent="0.35">
      <c r="A1046">
        <v>3536</v>
      </c>
      <c r="B1046">
        <v>3536</v>
      </c>
      <c r="C1046">
        <v>52</v>
      </c>
      <c r="D1046">
        <v>27</v>
      </c>
      <c r="E1046">
        <v>65</v>
      </c>
      <c r="F1046">
        <v>1</v>
      </c>
      <c r="G1046">
        <v>1.2</v>
      </c>
      <c r="H1046">
        <v>1</v>
      </c>
      <c r="I1046">
        <v>0</v>
      </c>
      <c r="J1046">
        <v>1</v>
      </c>
      <c r="K1046">
        <v>1</v>
      </c>
      <c r="L1046">
        <v>92104</v>
      </c>
      <c r="M1046">
        <v>0</v>
      </c>
      <c r="N1046">
        <v>0</v>
      </c>
      <c r="O1046">
        <v>0</v>
      </c>
      <c r="Q1046">
        <v>1</v>
      </c>
      <c r="R1046">
        <v>0</v>
      </c>
      <c r="S1046">
        <v>0</v>
      </c>
      <c r="T1046">
        <v>5</v>
      </c>
      <c r="U1046">
        <v>1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</row>
    <row r="1047" spans="1:29" x14ac:dyDescent="0.35">
      <c r="A1047">
        <v>3545</v>
      </c>
      <c r="B1047">
        <v>3545</v>
      </c>
      <c r="C1047">
        <v>45</v>
      </c>
      <c r="D1047">
        <v>19</v>
      </c>
      <c r="E1047">
        <v>109</v>
      </c>
      <c r="F1047">
        <v>3</v>
      </c>
      <c r="G1047">
        <v>1.1000000000000001</v>
      </c>
      <c r="H1047">
        <v>1</v>
      </c>
      <c r="I1047">
        <v>0</v>
      </c>
      <c r="J1047">
        <v>0</v>
      </c>
      <c r="K1047">
        <v>0</v>
      </c>
      <c r="L1047">
        <v>92037</v>
      </c>
      <c r="M1047">
        <v>0</v>
      </c>
      <c r="N1047">
        <v>0</v>
      </c>
      <c r="O1047">
        <v>0</v>
      </c>
      <c r="Q1047">
        <v>1</v>
      </c>
      <c r="R1047">
        <v>0</v>
      </c>
      <c r="S1047">
        <v>0</v>
      </c>
      <c r="T1047">
        <v>24</v>
      </c>
      <c r="U1047">
        <v>0.92857142857142005</v>
      </c>
      <c r="V1047">
        <v>7.1428571428569995E-2</v>
      </c>
      <c r="W1047">
        <v>0.92857142857142005</v>
      </c>
      <c r="X1047">
        <v>7.1428571428569995E-2</v>
      </c>
      <c r="Y1047">
        <v>0.85714285714284999</v>
      </c>
      <c r="Z1047">
        <v>0.14285714285713999</v>
      </c>
      <c r="AA1047">
        <v>7.1428571428579904E-2</v>
      </c>
      <c r="AB1047">
        <v>-7.1428571428569995E-2</v>
      </c>
      <c r="AC1047">
        <v>0</v>
      </c>
    </row>
    <row r="1048" spans="1:29" x14ac:dyDescent="0.35">
      <c r="A1048">
        <v>3551</v>
      </c>
      <c r="B1048">
        <v>3551</v>
      </c>
      <c r="C1048">
        <v>40</v>
      </c>
      <c r="D1048">
        <v>10</v>
      </c>
      <c r="E1048">
        <v>19</v>
      </c>
      <c r="F1048">
        <v>1</v>
      </c>
      <c r="G1048">
        <v>0.75</v>
      </c>
      <c r="H1048">
        <v>3</v>
      </c>
      <c r="I1048">
        <v>116</v>
      </c>
      <c r="J1048">
        <v>0</v>
      </c>
      <c r="K1048">
        <v>0</v>
      </c>
      <c r="L1048">
        <v>94609</v>
      </c>
      <c r="M1048">
        <v>0</v>
      </c>
      <c r="N1048">
        <v>0</v>
      </c>
      <c r="O1048">
        <v>0</v>
      </c>
      <c r="Q1048">
        <v>0</v>
      </c>
      <c r="R1048">
        <v>0</v>
      </c>
      <c r="S1048">
        <v>0</v>
      </c>
      <c r="T1048">
        <v>5</v>
      </c>
      <c r="U1048">
        <v>1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</row>
    <row r="1049" spans="1:29" x14ac:dyDescent="0.35">
      <c r="A1049">
        <v>3552</v>
      </c>
      <c r="B1049">
        <v>3552</v>
      </c>
      <c r="C1049">
        <v>60</v>
      </c>
      <c r="D1049">
        <v>35</v>
      </c>
      <c r="E1049">
        <v>55</v>
      </c>
      <c r="F1049">
        <v>3</v>
      </c>
      <c r="G1049">
        <v>0.5</v>
      </c>
      <c r="H1049">
        <v>2</v>
      </c>
      <c r="I1049">
        <v>172</v>
      </c>
      <c r="J1049">
        <v>0</v>
      </c>
      <c r="K1049">
        <v>0</v>
      </c>
      <c r="L1049">
        <v>92807</v>
      </c>
      <c r="M1049">
        <v>0</v>
      </c>
      <c r="N1049">
        <v>0</v>
      </c>
      <c r="O1049">
        <v>0</v>
      </c>
      <c r="Q1049">
        <v>0</v>
      </c>
      <c r="R1049">
        <v>0</v>
      </c>
      <c r="S1049">
        <v>0</v>
      </c>
      <c r="T1049">
        <v>5</v>
      </c>
      <c r="U1049">
        <v>1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</row>
    <row r="1050" spans="1:29" x14ac:dyDescent="0.35">
      <c r="A1050">
        <v>3553</v>
      </c>
      <c r="B1050">
        <v>3553</v>
      </c>
      <c r="C1050">
        <v>51</v>
      </c>
      <c r="D1050">
        <v>27</v>
      </c>
      <c r="E1050">
        <v>22</v>
      </c>
      <c r="F1050">
        <v>4</v>
      </c>
      <c r="G1050">
        <v>0.5</v>
      </c>
      <c r="H1050">
        <v>2</v>
      </c>
      <c r="I1050">
        <v>0</v>
      </c>
      <c r="J1050">
        <v>1</v>
      </c>
      <c r="K1050">
        <v>1</v>
      </c>
      <c r="L1050">
        <v>93106</v>
      </c>
      <c r="M1050">
        <v>0</v>
      </c>
      <c r="N1050">
        <v>0</v>
      </c>
      <c r="O1050">
        <v>0</v>
      </c>
      <c r="Q1050">
        <v>0</v>
      </c>
      <c r="R1050">
        <v>0</v>
      </c>
      <c r="S1050">
        <v>0</v>
      </c>
      <c r="T1050">
        <v>5</v>
      </c>
      <c r="U1050">
        <v>1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</row>
    <row r="1051" spans="1:29" x14ac:dyDescent="0.35">
      <c r="A1051">
        <v>3554</v>
      </c>
      <c r="B1051">
        <v>3554</v>
      </c>
      <c r="C1051">
        <v>41</v>
      </c>
      <c r="D1051">
        <v>16</v>
      </c>
      <c r="E1051">
        <v>155</v>
      </c>
      <c r="F1051">
        <v>1</v>
      </c>
      <c r="G1051">
        <v>7</v>
      </c>
      <c r="H1051">
        <v>1</v>
      </c>
      <c r="I1051">
        <v>0</v>
      </c>
      <c r="J1051">
        <v>0</v>
      </c>
      <c r="K1051">
        <v>0</v>
      </c>
      <c r="L1051">
        <v>95070</v>
      </c>
      <c r="M1051">
        <v>0</v>
      </c>
      <c r="N1051">
        <v>0</v>
      </c>
      <c r="O1051">
        <v>0</v>
      </c>
      <c r="Q1051">
        <v>1</v>
      </c>
      <c r="R1051">
        <v>0</v>
      </c>
      <c r="S1051">
        <v>0</v>
      </c>
      <c r="T1051">
        <v>22</v>
      </c>
      <c r="U1051">
        <v>1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</row>
    <row r="1052" spans="1:29" x14ac:dyDescent="0.35">
      <c r="A1052">
        <v>3557</v>
      </c>
      <c r="B1052">
        <v>3557</v>
      </c>
      <c r="C1052">
        <v>35</v>
      </c>
      <c r="D1052">
        <v>11</v>
      </c>
      <c r="E1052">
        <v>30</v>
      </c>
      <c r="F1052">
        <v>1</v>
      </c>
      <c r="G1052">
        <v>1.7</v>
      </c>
      <c r="H1052">
        <v>1</v>
      </c>
      <c r="I1052">
        <v>0</v>
      </c>
      <c r="J1052">
        <v>0</v>
      </c>
      <c r="K1052">
        <v>1</v>
      </c>
      <c r="L1052">
        <v>94303</v>
      </c>
      <c r="M1052">
        <v>0</v>
      </c>
      <c r="N1052">
        <v>1</v>
      </c>
      <c r="O1052">
        <v>0</v>
      </c>
      <c r="Q1052">
        <v>1</v>
      </c>
      <c r="R1052">
        <v>0</v>
      </c>
      <c r="S1052">
        <v>0</v>
      </c>
      <c r="T1052">
        <v>5</v>
      </c>
      <c r="U1052">
        <v>1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</row>
    <row r="1053" spans="1:29" x14ac:dyDescent="0.35">
      <c r="A1053">
        <v>3564</v>
      </c>
      <c r="B1053">
        <v>3564</v>
      </c>
      <c r="C1053">
        <v>53</v>
      </c>
      <c r="D1053">
        <v>27</v>
      </c>
      <c r="E1053">
        <v>139</v>
      </c>
      <c r="F1053">
        <v>1</v>
      </c>
      <c r="G1053">
        <v>0.9</v>
      </c>
      <c r="H1053">
        <v>3</v>
      </c>
      <c r="I1053">
        <v>0</v>
      </c>
      <c r="J1053">
        <v>0</v>
      </c>
      <c r="K1053">
        <v>0</v>
      </c>
      <c r="L1053">
        <v>94998</v>
      </c>
      <c r="M1053">
        <v>1</v>
      </c>
      <c r="N1053">
        <v>0</v>
      </c>
      <c r="O1053">
        <v>0</v>
      </c>
      <c r="Q1053">
        <v>0</v>
      </c>
      <c r="R1053">
        <v>1</v>
      </c>
      <c r="S1053">
        <v>1</v>
      </c>
      <c r="T1053">
        <v>10</v>
      </c>
      <c r="U1053">
        <v>0</v>
      </c>
      <c r="V1053">
        <v>1</v>
      </c>
      <c r="W1053">
        <v>0</v>
      </c>
      <c r="X1053">
        <v>1</v>
      </c>
      <c r="Y1053">
        <v>0</v>
      </c>
      <c r="Z1053">
        <v>1</v>
      </c>
      <c r="AA1053">
        <v>0</v>
      </c>
      <c r="AB1053">
        <v>0</v>
      </c>
      <c r="AC1053">
        <v>1</v>
      </c>
    </row>
    <row r="1054" spans="1:29" x14ac:dyDescent="0.35">
      <c r="A1054">
        <v>3567</v>
      </c>
      <c r="B1054">
        <v>3567</v>
      </c>
      <c r="C1054">
        <v>57</v>
      </c>
      <c r="D1054">
        <v>33</v>
      </c>
      <c r="E1054">
        <v>80</v>
      </c>
      <c r="F1054">
        <v>2</v>
      </c>
      <c r="G1054">
        <v>2.8</v>
      </c>
      <c r="H1054">
        <v>1</v>
      </c>
      <c r="I1054">
        <v>0</v>
      </c>
      <c r="J1054">
        <v>1</v>
      </c>
      <c r="K1054">
        <v>1</v>
      </c>
      <c r="L1054">
        <v>92064</v>
      </c>
      <c r="M1054">
        <v>0</v>
      </c>
      <c r="N1054">
        <v>0</v>
      </c>
      <c r="O1054">
        <v>0</v>
      </c>
      <c r="Q1054">
        <v>1</v>
      </c>
      <c r="R1054">
        <v>0</v>
      </c>
      <c r="S1054">
        <v>0</v>
      </c>
      <c r="T1054">
        <v>5</v>
      </c>
      <c r="U1054">
        <v>1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</row>
    <row r="1055" spans="1:29" x14ac:dyDescent="0.35">
      <c r="A1055">
        <v>3569</v>
      </c>
      <c r="B1055">
        <v>3569</v>
      </c>
      <c r="C1055">
        <v>30</v>
      </c>
      <c r="D1055">
        <v>4</v>
      </c>
      <c r="E1055">
        <v>194</v>
      </c>
      <c r="F1055">
        <v>2</v>
      </c>
      <c r="G1055">
        <v>4.5</v>
      </c>
      <c r="H1055">
        <v>1</v>
      </c>
      <c r="I1055">
        <v>0</v>
      </c>
      <c r="J1055">
        <v>0</v>
      </c>
      <c r="K1055">
        <v>1</v>
      </c>
      <c r="L1055">
        <v>93407</v>
      </c>
      <c r="M1055">
        <v>0</v>
      </c>
      <c r="N1055">
        <v>0</v>
      </c>
      <c r="O1055">
        <v>0</v>
      </c>
      <c r="Q1055">
        <v>1</v>
      </c>
      <c r="R1055">
        <v>0</v>
      </c>
      <c r="S1055">
        <v>0</v>
      </c>
      <c r="T1055">
        <v>22</v>
      </c>
      <c r="U1055">
        <v>1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</row>
    <row r="1056" spans="1:29" x14ac:dyDescent="0.35">
      <c r="A1056">
        <v>3573</v>
      </c>
      <c r="B1056">
        <v>3573</v>
      </c>
      <c r="C1056">
        <v>30</v>
      </c>
      <c r="D1056">
        <v>6</v>
      </c>
      <c r="E1056">
        <v>30</v>
      </c>
      <c r="F1056">
        <v>1</v>
      </c>
      <c r="G1056">
        <v>0.4</v>
      </c>
      <c r="H1056">
        <v>3</v>
      </c>
      <c r="I1056">
        <v>0</v>
      </c>
      <c r="J1056">
        <v>1</v>
      </c>
      <c r="K1056">
        <v>1</v>
      </c>
      <c r="L1056">
        <v>90245</v>
      </c>
      <c r="M1056">
        <v>0</v>
      </c>
      <c r="N1056">
        <v>0</v>
      </c>
      <c r="O1056">
        <v>0</v>
      </c>
      <c r="Q1056">
        <v>0</v>
      </c>
      <c r="R1056">
        <v>0</v>
      </c>
      <c r="S1056">
        <v>0</v>
      </c>
      <c r="T1056">
        <v>5</v>
      </c>
      <c r="U1056">
        <v>1</v>
      </c>
      <c r="V1056">
        <v>0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</row>
    <row r="1057" spans="1:29" x14ac:dyDescent="0.35">
      <c r="A1057">
        <v>3576</v>
      </c>
      <c r="B1057">
        <v>3576</v>
      </c>
      <c r="C1057">
        <v>63</v>
      </c>
      <c r="D1057">
        <v>38</v>
      </c>
      <c r="E1057">
        <v>15</v>
      </c>
      <c r="F1057">
        <v>4</v>
      </c>
      <c r="G1057">
        <v>0.6</v>
      </c>
      <c r="H1057">
        <v>2</v>
      </c>
      <c r="I1057">
        <v>83</v>
      </c>
      <c r="J1057">
        <v>0</v>
      </c>
      <c r="K1057">
        <v>0</v>
      </c>
      <c r="L1057">
        <v>94305</v>
      </c>
      <c r="M1057">
        <v>0</v>
      </c>
      <c r="N1057">
        <v>0</v>
      </c>
      <c r="O1057">
        <v>0</v>
      </c>
      <c r="Q1057">
        <v>0</v>
      </c>
      <c r="R1057">
        <v>0</v>
      </c>
      <c r="S1057">
        <v>0</v>
      </c>
      <c r="T1057">
        <v>5</v>
      </c>
      <c r="U1057">
        <v>1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</row>
    <row r="1058" spans="1:29" x14ac:dyDescent="0.35">
      <c r="A1058">
        <v>3580</v>
      </c>
      <c r="B1058">
        <v>3580</v>
      </c>
      <c r="C1058">
        <v>28</v>
      </c>
      <c r="D1058">
        <v>2</v>
      </c>
      <c r="E1058">
        <v>84</v>
      </c>
      <c r="F1058">
        <v>1</v>
      </c>
      <c r="G1058">
        <v>2.9</v>
      </c>
      <c r="H1058">
        <v>3</v>
      </c>
      <c r="I1058">
        <v>102</v>
      </c>
      <c r="J1058">
        <v>0</v>
      </c>
      <c r="K1058">
        <v>1</v>
      </c>
      <c r="L1058">
        <v>94305</v>
      </c>
      <c r="M1058">
        <v>0</v>
      </c>
      <c r="N1058">
        <v>1</v>
      </c>
      <c r="O1058">
        <v>1</v>
      </c>
      <c r="Q1058">
        <v>0</v>
      </c>
      <c r="R1058">
        <v>0</v>
      </c>
      <c r="S1058">
        <v>0</v>
      </c>
      <c r="T1058">
        <v>5</v>
      </c>
      <c r="U1058">
        <v>1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</row>
    <row r="1059" spans="1:29" x14ac:dyDescent="0.35">
      <c r="A1059">
        <v>3581</v>
      </c>
      <c r="B1059">
        <v>3581</v>
      </c>
      <c r="C1059">
        <v>41</v>
      </c>
      <c r="D1059">
        <v>16</v>
      </c>
      <c r="E1059">
        <v>62</v>
      </c>
      <c r="F1059">
        <v>2</v>
      </c>
      <c r="G1059">
        <v>2.2000000000000002</v>
      </c>
      <c r="H1059">
        <v>3</v>
      </c>
      <c r="I1059">
        <v>0</v>
      </c>
      <c r="J1059">
        <v>1</v>
      </c>
      <c r="K1059">
        <v>1</v>
      </c>
      <c r="L1059">
        <v>94553</v>
      </c>
      <c r="M1059">
        <v>0</v>
      </c>
      <c r="N1059">
        <v>0</v>
      </c>
      <c r="O1059">
        <v>0</v>
      </c>
      <c r="Q1059">
        <v>0</v>
      </c>
      <c r="R1059">
        <v>0</v>
      </c>
      <c r="S1059">
        <v>0</v>
      </c>
      <c r="T1059">
        <v>5</v>
      </c>
      <c r="U1059">
        <v>1</v>
      </c>
      <c r="V1059">
        <v>0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</row>
    <row r="1060" spans="1:29" x14ac:dyDescent="0.35">
      <c r="A1060">
        <v>3582</v>
      </c>
      <c r="B1060">
        <v>3582</v>
      </c>
      <c r="C1060">
        <v>28</v>
      </c>
      <c r="D1060">
        <v>4</v>
      </c>
      <c r="E1060">
        <v>33</v>
      </c>
      <c r="F1060">
        <v>3</v>
      </c>
      <c r="G1060">
        <v>1</v>
      </c>
      <c r="H1060">
        <v>2</v>
      </c>
      <c r="I1060">
        <v>0</v>
      </c>
      <c r="J1060">
        <v>0</v>
      </c>
      <c r="K1060">
        <v>1</v>
      </c>
      <c r="L1060">
        <v>91330</v>
      </c>
      <c r="M1060">
        <v>0</v>
      </c>
      <c r="N1060">
        <v>0</v>
      </c>
      <c r="O1060">
        <v>0</v>
      </c>
      <c r="Q1060">
        <v>0</v>
      </c>
      <c r="R1060">
        <v>0</v>
      </c>
      <c r="S1060">
        <v>0</v>
      </c>
      <c r="T1060">
        <v>5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</row>
    <row r="1061" spans="1:29" x14ac:dyDescent="0.35">
      <c r="A1061">
        <v>3584</v>
      </c>
      <c r="B1061">
        <v>3584</v>
      </c>
      <c r="C1061">
        <v>30</v>
      </c>
      <c r="D1061">
        <v>3</v>
      </c>
      <c r="E1061">
        <v>33</v>
      </c>
      <c r="F1061">
        <v>4</v>
      </c>
      <c r="G1061">
        <v>1.5</v>
      </c>
      <c r="H1061">
        <v>2</v>
      </c>
      <c r="I1061">
        <v>85</v>
      </c>
      <c r="J1061">
        <v>0</v>
      </c>
      <c r="K1061">
        <v>0</v>
      </c>
      <c r="L1061">
        <v>95112</v>
      </c>
      <c r="M1061">
        <v>0</v>
      </c>
      <c r="N1061">
        <v>0</v>
      </c>
      <c r="O1061">
        <v>0</v>
      </c>
      <c r="Q1061">
        <v>0</v>
      </c>
      <c r="R1061">
        <v>0</v>
      </c>
      <c r="S1061">
        <v>0</v>
      </c>
      <c r="T1061">
        <v>5</v>
      </c>
      <c r="U1061">
        <v>1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</row>
    <row r="1062" spans="1:29" x14ac:dyDescent="0.35">
      <c r="A1062">
        <v>3586</v>
      </c>
      <c r="B1062">
        <v>3586</v>
      </c>
      <c r="C1062">
        <v>45</v>
      </c>
      <c r="D1062">
        <v>18</v>
      </c>
      <c r="E1062">
        <v>45</v>
      </c>
      <c r="F1062">
        <v>3</v>
      </c>
      <c r="G1062">
        <v>1</v>
      </c>
      <c r="H1062">
        <v>2</v>
      </c>
      <c r="I1062">
        <v>0</v>
      </c>
      <c r="J1062">
        <v>1</v>
      </c>
      <c r="K1062">
        <v>0</v>
      </c>
      <c r="L1062">
        <v>92037</v>
      </c>
      <c r="M1062">
        <v>0</v>
      </c>
      <c r="N1062">
        <v>0</v>
      </c>
      <c r="O1062">
        <v>0</v>
      </c>
      <c r="Q1062">
        <v>0</v>
      </c>
      <c r="R1062">
        <v>0</v>
      </c>
      <c r="S1062">
        <v>0</v>
      </c>
      <c r="T1062">
        <v>5</v>
      </c>
      <c r="U1062">
        <v>1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</row>
    <row r="1063" spans="1:29" x14ac:dyDescent="0.35">
      <c r="A1063">
        <v>3587</v>
      </c>
      <c r="B1063">
        <v>3587</v>
      </c>
      <c r="C1063">
        <v>40</v>
      </c>
      <c r="D1063">
        <v>15</v>
      </c>
      <c r="E1063">
        <v>132</v>
      </c>
      <c r="F1063">
        <v>2</v>
      </c>
      <c r="G1063">
        <v>3.9</v>
      </c>
      <c r="H1063">
        <v>1</v>
      </c>
      <c r="I1063">
        <v>0</v>
      </c>
      <c r="J1063">
        <v>1</v>
      </c>
      <c r="K1063">
        <v>0</v>
      </c>
      <c r="L1063">
        <v>94131</v>
      </c>
      <c r="M1063">
        <v>0</v>
      </c>
      <c r="N1063">
        <v>0</v>
      </c>
      <c r="O1063">
        <v>0</v>
      </c>
      <c r="Q1063">
        <v>1</v>
      </c>
      <c r="R1063">
        <v>0</v>
      </c>
      <c r="S1063">
        <v>0</v>
      </c>
      <c r="T1063">
        <v>22</v>
      </c>
      <c r="U1063">
        <v>1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</row>
    <row r="1064" spans="1:29" x14ac:dyDescent="0.35">
      <c r="A1064">
        <v>3591</v>
      </c>
      <c r="B1064">
        <v>3591</v>
      </c>
      <c r="C1064">
        <v>32</v>
      </c>
      <c r="D1064">
        <v>7</v>
      </c>
      <c r="E1064">
        <v>64</v>
      </c>
      <c r="F1064">
        <v>2</v>
      </c>
      <c r="G1064">
        <v>0.1</v>
      </c>
      <c r="H1064">
        <v>1</v>
      </c>
      <c r="I1064">
        <v>0</v>
      </c>
      <c r="J1064">
        <v>1</v>
      </c>
      <c r="K1064">
        <v>1</v>
      </c>
      <c r="L1064">
        <v>92630</v>
      </c>
      <c r="M1064">
        <v>0</v>
      </c>
      <c r="N1064">
        <v>0</v>
      </c>
      <c r="O1064">
        <v>0</v>
      </c>
      <c r="Q1064">
        <v>1</v>
      </c>
      <c r="R1064">
        <v>0</v>
      </c>
      <c r="S1064">
        <v>0</v>
      </c>
      <c r="T1064">
        <v>5</v>
      </c>
      <c r="U1064">
        <v>1</v>
      </c>
      <c r="V1064">
        <v>0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</row>
    <row r="1065" spans="1:29" x14ac:dyDescent="0.35">
      <c r="A1065">
        <v>3592</v>
      </c>
      <c r="B1065">
        <v>3592</v>
      </c>
      <c r="C1065">
        <v>58</v>
      </c>
      <c r="D1065">
        <v>32</v>
      </c>
      <c r="E1065">
        <v>73</v>
      </c>
      <c r="F1065">
        <v>2</v>
      </c>
      <c r="G1065">
        <v>2.2999999999999998</v>
      </c>
      <c r="H1065">
        <v>3</v>
      </c>
      <c r="I1065">
        <v>224</v>
      </c>
      <c r="J1065">
        <v>1</v>
      </c>
      <c r="K1065">
        <v>1</v>
      </c>
      <c r="L1065">
        <v>94109</v>
      </c>
      <c r="M1065">
        <v>0</v>
      </c>
      <c r="N1065">
        <v>0</v>
      </c>
      <c r="O1065">
        <v>0</v>
      </c>
      <c r="Q1065">
        <v>0</v>
      </c>
      <c r="R1065">
        <v>0</v>
      </c>
      <c r="S1065">
        <v>0</v>
      </c>
      <c r="T1065">
        <v>5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</row>
    <row r="1066" spans="1:29" x14ac:dyDescent="0.35">
      <c r="A1066">
        <v>3594</v>
      </c>
      <c r="B1066">
        <v>3594</v>
      </c>
      <c r="C1066">
        <v>60</v>
      </c>
      <c r="D1066">
        <v>34</v>
      </c>
      <c r="E1066">
        <v>44</v>
      </c>
      <c r="F1066">
        <v>2</v>
      </c>
      <c r="G1066">
        <v>0.3</v>
      </c>
      <c r="H1066">
        <v>1</v>
      </c>
      <c r="I1066">
        <v>192</v>
      </c>
      <c r="J1066">
        <v>1</v>
      </c>
      <c r="K1066">
        <v>0</v>
      </c>
      <c r="L1066">
        <v>90018</v>
      </c>
      <c r="M1066">
        <v>0</v>
      </c>
      <c r="N1066">
        <v>0</v>
      </c>
      <c r="O1066">
        <v>0</v>
      </c>
      <c r="Q1066">
        <v>1</v>
      </c>
      <c r="R1066">
        <v>0</v>
      </c>
      <c r="S1066">
        <v>0</v>
      </c>
      <c r="T1066">
        <v>5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</row>
    <row r="1067" spans="1:29" x14ac:dyDescent="0.35">
      <c r="A1067">
        <v>3595</v>
      </c>
      <c r="B1067">
        <v>3595</v>
      </c>
      <c r="C1067">
        <v>34</v>
      </c>
      <c r="D1067">
        <v>8</v>
      </c>
      <c r="E1067">
        <v>79</v>
      </c>
      <c r="F1067">
        <v>1</v>
      </c>
      <c r="G1067">
        <v>2.5</v>
      </c>
      <c r="H1067">
        <v>1</v>
      </c>
      <c r="I1067">
        <v>0</v>
      </c>
      <c r="J1067">
        <v>1</v>
      </c>
      <c r="K1067">
        <v>0</v>
      </c>
      <c r="L1067">
        <v>95616</v>
      </c>
      <c r="M1067">
        <v>0</v>
      </c>
      <c r="N1067">
        <v>0</v>
      </c>
      <c r="O1067">
        <v>0</v>
      </c>
      <c r="Q1067">
        <v>1</v>
      </c>
      <c r="R1067">
        <v>0</v>
      </c>
      <c r="S1067">
        <v>0</v>
      </c>
      <c r="T1067">
        <v>5</v>
      </c>
      <c r="U1067">
        <v>1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</row>
    <row r="1068" spans="1:29" x14ac:dyDescent="0.35">
      <c r="A1068">
        <v>3596</v>
      </c>
      <c r="B1068">
        <v>3596</v>
      </c>
      <c r="C1068">
        <v>38</v>
      </c>
      <c r="D1068">
        <v>14</v>
      </c>
      <c r="E1068">
        <v>104</v>
      </c>
      <c r="F1068">
        <v>2</v>
      </c>
      <c r="G1068">
        <v>1.8</v>
      </c>
      <c r="H1068">
        <v>2</v>
      </c>
      <c r="I1068">
        <v>79</v>
      </c>
      <c r="J1068">
        <v>0</v>
      </c>
      <c r="K1068">
        <v>0</v>
      </c>
      <c r="L1068">
        <v>90025</v>
      </c>
      <c r="M1068">
        <v>0</v>
      </c>
      <c r="N1068">
        <v>0</v>
      </c>
      <c r="O1068">
        <v>0</v>
      </c>
      <c r="Q1068">
        <v>0</v>
      </c>
      <c r="R1068">
        <v>0</v>
      </c>
      <c r="S1068">
        <v>0</v>
      </c>
      <c r="T1068">
        <v>13</v>
      </c>
      <c r="U1068">
        <v>0.88607594936708001</v>
      </c>
      <c r="V1068">
        <v>0.11392405063291</v>
      </c>
      <c r="W1068">
        <v>0.88607594936708001</v>
      </c>
      <c r="X1068">
        <v>0.11392405063291</v>
      </c>
      <c r="Y1068">
        <v>0.86842105263156999</v>
      </c>
      <c r="Z1068">
        <v>0.13157894736841999</v>
      </c>
      <c r="AA1068">
        <v>0.11392405063291999</v>
      </c>
      <c r="AB1068">
        <v>-0.11392405063291</v>
      </c>
      <c r="AC1068">
        <v>0</v>
      </c>
    </row>
    <row r="1069" spans="1:29" x14ac:dyDescent="0.35">
      <c r="A1069">
        <v>3599</v>
      </c>
      <c r="B1069">
        <v>3599</v>
      </c>
      <c r="C1069">
        <v>37</v>
      </c>
      <c r="D1069">
        <v>11</v>
      </c>
      <c r="E1069">
        <v>61</v>
      </c>
      <c r="F1069">
        <v>3</v>
      </c>
      <c r="G1069">
        <v>0.9</v>
      </c>
      <c r="H1069">
        <v>2</v>
      </c>
      <c r="I1069">
        <v>0</v>
      </c>
      <c r="J1069">
        <v>0</v>
      </c>
      <c r="K1069">
        <v>0</v>
      </c>
      <c r="L1069">
        <v>95120</v>
      </c>
      <c r="M1069">
        <v>0</v>
      </c>
      <c r="N1069">
        <v>0</v>
      </c>
      <c r="O1069">
        <v>0</v>
      </c>
      <c r="Q1069">
        <v>0</v>
      </c>
      <c r="R1069">
        <v>0</v>
      </c>
      <c r="S1069">
        <v>0</v>
      </c>
      <c r="T1069">
        <v>5</v>
      </c>
      <c r="U1069">
        <v>1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</row>
    <row r="1070" spans="1:29" x14ac:dyDescent="0.35">
      <c r="A1070">
        <v>3604</v>
      </c>
      <c r="B1070">
        <v>3604</v>
      </c>
      <c r="C1070">
        <v>51</v>
      </c>
      <c r="D1070">
        <v>25</v>
      </c>
      <c r="E1070">
        <v>45</v>
      </c>
      <c r="F1070">
        <v>4</v>
      </c>
      <c r="G1070">
        <v>0.1</v>
      </c>
      <c r="H1070">
        <v>1</v>
      </c>
      <c r="I1070">
        <v>0</v>
      </c>
      <c r="J1070">
        <v>1</v>
      </c>
      <c r="K1070">
        <v>1</v>
      </c>
      <c r="L1070">
        <v>92407</v>
      </c>
      <c r="M1070">
        <v>0</v>
      </c>
      <c r="N1070">
        <v>0</v>
      </c>
      <c r="O1070">
        <v>0</v>
      </c>
      <c r="Q1070">
        <v>1</v>
      </c>
      <c r="R1070">
        <v>0</v>
      </c>
      <c r="S1070">
        <v>0</v>
      </c>
      <c r="T1070">
        <v>5</v>
      </c>
      <c r="U1070">
        <v>1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</row>
    <row r="1071" spans="1:29" x14ac:dyDescent="0.35">
      <c r="A1071">
        <v>3606</v>
      </c>
      <c r="B1071">
        <v>3606</v>
      </c>
      <c r="C1071">
        <v>61</v>
      </c>
      <c r="D1071">
        <v>31</v>
      </c>
      <c r="E1071">
        <v>130</v>
      </c>
      <c r="F1071">
        <v>2</v>
      </c>
      <c r="G1071">
        <v>2.6</v>
      </c>
      <c r="H1071">
        <v>3</v>
      </c>
      <c r="I1071">
        <v>0</v>
      </c>
      <c r="J1071">
        <v>0</v>
      </c>
      <c r="K1071">
        <v>0</v>
      </c>
      <c r="L1071">
        <v>92333</v>
      </c>
      <c r="M1071">
        <v>1</v>
      </c>
      <c r="N1071">
        <v>0</v>
      </c>
      <c r="O1071">
        <v>0</v>
      </c>
      <c r="Q1071">
        <v>0</v>
      </c>
      <c r="R1071">
        <v>1</v>
      </c>
      <c r="S1071">
        <v>1</v>
      </c>
      <c r="T1071">
        <v>10</v>
      </c>
      <c r="U1071">
        <v>0</v>
      </c>
      <c r="V1071">
        <v>1</v>
      </c>
      <c r="W1071">
        <v>0</v>
      </c>
      <c r="X1071">
        <v>1</v>
      </c>
      <c r="Y1071">
        <v>0</v>
      </c>
      <c r="Z1071">
        <v>1</v>
      </c>
      <c r="AA1071">
        <v>0</v>
      </c>
      <c r="AB1071">
        <v>0</v>
      </c>
      <c r="AC1071">
        <v>1</v>
      </c>
    </row>
    <row r="1072" spans="1:29" x14ac:dyDescent="0.35">
      <c r="A1072">
        <v>3607</v>
      </c>
      <c r="B1072">
        <v>3607</v>
      </c>
      <c r="C1072">
        <v>43</v>
      </c>
      <c r="D1072">
        <v>18</v>
      </c>
      <c r="E1072">
        <v>9</v>
      </c>
      <c r="F1072">
        <v>2</v>
      </c>
      <c r="G1072">
        <v>0</v>
      </c>
      <c r="H1072">
        <v>3</v>
      </c>
      <c r="I1072">
        <v>96</v>
      </c>
      <c r="J1072">
        <v>1</v>
      </c>
      <c r="K1072">
        <v>1</v>
      </c>
      <c r="L1072">
        <v>96145</v>
      </c>
      <c r="M1072">
        <v>0</v>
      </c>
      <c r="N1072">
        <v>0</v>
      </c>
      <c r="O1072">
        <v>0</v>
      </c>
      <c r="Q1072">
        <v>0</v>
      </c>
      <c r="R1072">
        <v>0</v>
      </c>
      <c r="S1072">
        <v>0</v>
      </c>
      <c r="T1072">
        <v>5</v>
      </c>
      <c r="U1072">
        <v>1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</row>
    <row r="1073" spans="1:29" x14ac:dyDescent="0.35">
      <c r="A1073">
        <v>3610</v>
      </c>
      <c r="B1073">
        <v>3610</v>
      </c>
      <c r="C1073">
        <v>29</v>
      </c>
      <c r="D1073">
        <v>5</v>
      </c>
      <c r="E1073">
        <v>162</v>
      </c>
      <c r="F1073">
        <v>1</v>
      </c>
      <c r="G1073">
        <v>4.3</v>
      </c>
      <c r="H1073">
        <v>1</v>
      </c>
      <c r="I1073">
        <v>0</v>
      </c>
      <c r="J1073">
        <v>0</v>
      </c>
      <c r="K1073">
        <v>1</v>
      </c>
      <c r="L1073">
        <v>94022</v>
      </c>
      <c r="M1073">
        <v>0</v>
      </c>
      <c r="N1073">
        <v>0</v>
      </c>
      <c r="O1073">
        <v>0</v>
      </c>
      <c r="Q1073">
        <v>1</v>
      </c>
      <c r="R1073">
        <v>0</v>
      </c>
      <c r="S1073">
        <v>0</v>
      </c>
      <c r="T1073">
        <v>22</v>
      </c>
      <c r="U1073">
        <v>1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</row>
    <row r="1074" spans="1:29" x14ac:dyDescent="0.35">
      <c r="A1074">
        <v>3611</v>
      </c>
      <c r="B1074">
        <v>3611</v>
      </c>
      <c r="C1074">
        <v>32</v>
      </c>
      <c r="D1074">
        <v>6</v>
      </c>
      <c r="E1074">
        <v>93</v>
      </c>
      <c r="F1074">
        <v>3</v>
      </c>
      <c r="G1074">
        <v>1.6</v>
      </c>
      <c r="H1074">
        <v>1</v>
      </c>
      <c r="I1074">
        <v>79</v>
      </c>
      <c r="J1074">
        <v>1</v>
      </c>
      <c r="K1074">
        <v>0</v>
      </c>
      <c r="L1074">
        <v>90029</v>
      </c>
      <c r="M1074">
        <v>0</v>
      </c>
      <c r="N1074">
        <v>0</v>
      </c>
      <c r="O1074">
        <v>0</v>
      </c>
      <c r="Q1074">
        <v>1</v>
      </c>
      <c r="R1074">
        <v>0</v>
      </c>
      <c r="S1074">
        <v>0</v>
      </c>
      <c r="T1074">
        <v>5</v>
      </c>
      <c r="U1074">
        <v>1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</row>
    <row r="1075" spans="1:29" x14ac:dyDescent="0.35">
      <c r="A1075">
        <v>3616</v>
      </c>
      <c r="B1075">
        <v>3616</v>
      </c>
      <c r="C1075">
        <v>58</v>
      </c>
      <c r="D1075">
        <v>34</v>
      </c>
      <c r="E1075">
        <v>149</v>
      </c>
      <c r="F1075">
        <v>2</v>
      </c>
      <c r="G1075">
        <v>6</v>
      </c>
      <c r="H1075">
        <v>1</v>
      </c>
      <c r="I1075">
        <v>0</v>
      </c>
      <c r="J1075">
        <v>1</v>
      </c>
      <c r="K1075">
        <v>1</v>
      </c>
      <c r="L1075">
        <v>95616</v>
      </c>
      <c r="M1075">
        <v>0</v>
      </c>
      <c r="N1075">
        <v>0</v>
      </c>
      <c r="O1075">
        <v>0</v>
      </c>
      <c r="Q1075">
        <v>1</v>
      </c>
      <c r="R1075">
        <v>0</v>
      </c>
      <c r="S1075">
        <v>0</v>
      </c>
      <c r="T1075">
        <v>22</v>
      </c>
      <c r="U1075">
        <v>1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</row>
    <row r="1076" spans="1:29" x14ac:dyDescent="0.35">
      <c r="A1076">
        <v>3620</v>
      </c>
      <c r="B1076">
        <v>3620</v>
      </c>
      <c r="C1076">
        <v>45</v>
      </c>
      <c r="D1076">
        <v>20</v>
      </c>
      <c r="E1076">
        <v>42</v>
      </c>
      <c r="F1076">
        <v>1</v>
      </c>
      <c r="G1076">
        <v>0.3</v>
      </c>
      <c r="H1076">
        <v>3</v>
      </c>
      <c r="I1076">
        <v>0</v>
      </c>
      <c r="J1076">
        <v>1</v>
      </c>
      <c r="K1076">
        <v>0</v>
      </c>
      <c r="L1076">
        <v>94703</v>
      </c>
      <c r="M1076">
        <v>0</v>
      </c>
      <c r="N1076">
        <v>0</v>
      </c>
      <c r="O1076">
        <v>0</v>
      </c>
      <c r="Q1076">
        <v>0</v>
      </c>
      <c r="R1076">
        <v>0</v>
      </c>
      <c r="S1076">
        <v>0</v>
      </c>
      <c r="T1076">
        <v>5</v>
      </c>
      <c r="U1076">
        <v>1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</row>
    <row r="1077" spans="1:29" x14ac:dyDescent="0.35">
      <c r="A1077">
        <v>3622</v>
      </c>
      <c r="B1077">
        <v>3622</v>
      </c>
      <c r="C1077">
        <v>53</v>
      </c>
      <c r="D1077">
        <v>27</v>
      </c>
      <c r="E1077">
        <v>81</v>
      </c>
      <c r="F1077">
        <v>3</v>
      </c>
      <c r="G1077">
        <v>1.7</v>
      </c>
      <c r="H1077">
        <v>2</v>
      </c>
      <c r="I1077">
        <v>193</v>
      </c>
      <c r="J1077">
        <v>1</v>
      </c>
      <c r="K1077">
        <v>0</v>
      </c>
      <c r="L1077">
        <v>91730</v>
      </c>
      <c r="M1077">
        <v>0</v>
      </c>
      <c r="N1077">
        <v>0</v>
      </c>
      <c r="O1077">
        <v>0</v>
      </c>
      <c r="Q1077">
        <v>0</v>
      </c>
      <c r="R1077">
        <v>0</v>
      </c>
      <c r="S1077">
        <v>0</v>
      </c>
      <c r="T1077">
        <v>5</v>
      </c>
      <c r="U1077">
        <v>1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</row>
    <row r="1078" spans="1:29" x14ac:dyDescent="0.35">
      <c r="A1078">
        <v>3625</v>
      </c>
      <c r="B1078">
        <v>3625</v>
      </c>
      <c r="C1078">
        <v>58</v>
      </c>
      <c r="D1078">
        <v>28</v>
      </c>
      <c r="E1078">
        <v>70</v>
      </c>
      <c r="F1078">
        <v>1</v>
      </c>
      <c r="G1078">
        <v>1.4</v>
      </c>
      <c r="H1078">
        <v>3</v>
      </c>
      <c r="I1078">
        <v>0</v>
      </c>
      <c r="J1078">
        <v>0</v>
      </c>
      <c r="K1078">
        <v>0</v>
      </c>
      <c r="L1078">
        <v>92028</v>
      </c>
      <c r="M1078">
        <v>0</v>
      </c>
      <c r="N1078">
        <v>0</v>
      </c>
      <c r="O1078">
        <v>0</v>
      </c>
      <c r="Q1078">
        <v>0</v>
      </c>
      <c r="R1078">
        <v>0</v>
      </c>
      <c r="S1078">
        <v>0</v>
      </c>
      <c r="T1078">
        <v>5</v>
      </c>
      <c r="U1078">
        <v>1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</row>
    <row r="1079" spans="1:29" x14ac:dyDescent="0.35">
      <c r="A1079">
        <v>3633</v>
      </c>
      <c r="B1079">
        <v>3633</v>
      </c>
      <c r="C1079">
        <v>46</v>
      </c>
      <c r="D1079">
        <v>20</v>
      </c>
      <c r="E1079">
        <v>111</v>
      </c>
      <c r="F1079">
        <v>2</v>
      </c>
      <c r="G1079">
        <v>6.3</v>
      </c>
      <c r="H1079">
        <v>1</v>
      </c>
      <c r="I1079">
        <v>0</v>
      </c>
      <c r="J1079">
        <v>0</v>
      </c>
      <c r="K1079">
        <v>1</v>
      </c>
      <c r="L1079">
        <v>95307</v>
      </c>
      <c r="M1079">
        <v>0</v>
      </c>
      <c r="N1079">
        <v>0</v>
      </c>
      <c r="O1079">
        <v>0</v>
      </c>
      <c r="Q1079">
        <v>1</v>
      </c>
      <c r="R1079">
        <v>0</v>
      </c>
      <c r="S1079">
        <v>0</v>
      </c>
      <c r="T1079">
        <v>22</v>
      </c>
      <c r="U1079">
        <v>1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</row>
    <row r="1080" spans="1:29" x14ac:dyDescent="0.35">
      <c r="A1080">
        <v>3634</v>
      </c>
      <c r="B1080">
        <v>3634</v>
      </c>
      <c r="C1080">
        <v>51</v>
      </c>
      <c r="D1080">
        <v>25</v>
      </c>
      <c r="E1080">
        <v>93</v>
      </c>
      <c r="F1080">
        <v>1</v>
      </c>
      <c r="G1080">
        <v>0.3</v>
      </c>
      <c r="H1080">
        <v>1</v>
      </c>
      <c r="I1080">
        <v>0</v>
      </c>
      <c r="J1080">
        <v>1</v>
      </c>
      <c r="K1080">
        <v>0</v>
      </c>
      <c r="L1080">
        <v>90048</v>
      </c>
      <c r="M1080">
        <v>0</v>
      </c>
      <c r="N1080">
        <v>0</v>
      </c>
      <c r="O1080">
        <v>0</v>
      </c>
      <c r="Q1080">
        <v>1</v>
      </c>
      <c r="R1080">
        <v>0</v>
      </c>
      <c r="S1080">
        <v>0</v>
      </c>
      <c r="T1080">
        <v>5</v>
      </c>
      <c r="U1080">
        <v>1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</row>
    <row r="1081" spans="1:29" x14ac:dyDescent="0.35">
      <c r="A1081">
        <v>3637</v>
      </c>
      <c r="B1081">
        <v>3637</v>
      </c>
      <c r="C1081">
        <v>37</v>
      </c>
      <c r="D1081">
        <v>11</v>
      </c>
      <c r="E1081">
        <v>64</v>
      </c>
      <c r="F1081">
        <v>3</v>
      </c>
      <c r="G1081">
        <v>0.9</v>
      </c>
      <c r="H1081">
        <v>2</v>
      </c>
      <c r="I1081">
        <v>0</v>
      </c>
      <c r="J1081">
        <v>1</v>
      </c>
      <c r="K1081">
        <v>0</v>
      </c>
      <c r="L1081">
        <v>96094</v>
      </c>
      <c r="M1081">
        <v>0</v>
      </c>
      <c r="N1081">
        <v>0</v>
      </c>
      <c r="O1081">
        <v>0</v>
      </c>
      <c r="Q1081">
        <v>0</v>
      </c>
      <c r="R1081">
        <v>0</v>
      </c>
      <c r="S1081">
        <v>0</v>
      </c>
      <c r="T1081">
        <v>5</v>
      </c>
      <c r="U1081">
        <v>1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</row>
    <row r="1082" spans="1:29" x14ac:dyDescent="0.35">
      <c r="A1082">
        <v>3643</v>
      </c>
      <c r="B1082">
        <v>3643</v>
      </c>
      <c r="C1082">
        <v>55</v>
      </c>
      <c r="D1082">
        <v>29</v>
      </c>
      <c r="E1082">
        <v>21</v>
      </c>
      <c r="F1082">
        <v>4</v>
      </c>
      <c r="G1082">
        <v>0.7</v>
      </c>
      <c r="H1082">
        <v>3</v>
      </c>
      <c r="I1082">
        <v>0</v>
      </c>
      <c r="J1082">
        <v>1</v>
      </c>
      <c r="K1082">
        <v>0</v>
      </c>
      <c r="L1082">
        <v>92704</v>
      </c>
      <c r="M1082">
        <v>0</v>
      </c>
      <c r="N1082">
        <v>1</v>
      </c>
      <c r="O1082">
        <v>0</v>
      </c>
      <c r="Q1082">
        <v>0</v>
      </c>
      <c r="R1082">
        <v>0</v>
      </c>
      <c r="S1082">
        <v>0</v>
      </c>
      <c r="T1082">
        <v>5</v>
      </c>
      <c r="U1082">
        <v>1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</row>
    <row r="1083" spans="1:29" x14ac:dyDescent="0.35">
      <c r="A1083">
        <v>3645</v>
      </c>
      <c r="B1083">
        <v>3645</v>
      </c>
      <c r="C1083">
        <v>59</v>
      </c>
      <c r="D1083">
        <v>33</v>
      </c>
      <c r="E1083">
        <v>41</v>
      </c>
      <c r="F1083">
        <v>4</v>
      </c>
      <c r="G1083">
        <v>2.5</v>
      </c>
      <c r="H1083">
        <v>1</v>
      </c>
      <c r="I1083">
        <v>174</v>
      </c>
      <c r="J1083">
        <v>0</v>
      </c>
      <c r="K1083">
        <v>0</v>
      </c>
      <c r="L1083">
        <v>91711</v>
      </c>
      <c r="M1083">
        <v>0</v>
      </c>
      <c r="N1083">
        <v>0</v>
      </c>
      <c r="O1083">
        <v>0</v>
      </c>
      <c r="Q1083">
        <v>1</v>
      </c>
      <c r="R1083">
        <v>0</v>
      </c>
      <c r="S1083">
        <v>0</v>
      </c>
      <c r="T1083">
        <v>5</v>
      </c>
      <c r="U1083">
        <v>1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</row>
    <row r="1084" spans="1:29" x14ac:dyDescent="0.35">
      <c r="A1084">
        <v>3646</v>
      </c>
      <c r="B1084">
        <v>3646</v>
      </c>
      <c r="C1084">
        <v>42</v>
      </c>
      <c r="D1084">
        <v>17</v>
      </c>
      <c r="E1084">
        <v>79</v>
      </c>
      <c r="F1084">
        <v>1</v>
      </c>
      <c r="G1084">
        <v>3.7</v>
      </c>
      <c r="H1084">
        <v>3</v>
      </c>
      <c r="I1084">
        <v>0</v>
      </c>
      <c r="J1084">
        <v>0</v>
      </c>
      <c r="K1084">
        <v>1</v>
      </c>
      <c r="L1084">
        <v>92103</v>
      </c>
      <c r="M1084">
        <v>0</v>
      </c>
      <c r="N1084">
        <v>1</v>
      </c>
      <c r="O1084">
        <v>0</v>
      </c>
      <c r="Q1084">
        <v>0</v>
      </c>
      <c r="R1084">
        <v>0</v>
      </c>
      <c r="S1084">
        <v>0</v>
      </c>
      <c r="T1084">
        <v>15</v>
      </c>
      <c r="U1084">
        <v>0.91935483870967005</v>
      </c>
      <c r="V1084">
        <v>8.0645161290319997E-2</v>
      </c>
      <c r="W1084">
        <v>0.91935483870967005</v>
      </c>
      <c r="X1084">
        <v>8.0645161290319997E-2</v>
      </c>
      <c r="Y1084">
        <v>0.86</v>
      </c>
      <c r="Z1084">
        <v>0.14000000000000001</v>
      </c>
      <c r="AA1084">
        <v>8.0645161290329906E-2</v>
      </c>
      <c r="AB1084">
        <v>-8.0645161290319997E-2</v>
      </c>
      <c r="AC1084">
        <v>0</v>
      </c>
    </row>
    <row r="1085" spans="1:29" x14ac:dyDescent="0.35">
      <c r="A1085">
        <v>3658</v>
      </c>
      <c r="B1085">
        <v>3658</v>
      </c>
      <c r="C1085">
        <v>52</v>
      </c>
      <c r="D1085">
        <v>26</v>
      </c>
      <c r="E1085">
        <v>104</v>
      </c>
      <c r="F1085">
        <v>2</v>
      </c>
      <c r="G1085">
        <v>2.4</v>
      </c>
      <c r="H1085">
        <v>2</v>
      </c>
      <c r="I1085">
        <v>0</v>
      </c>
      <c r="J1085">
        <v>1</v>
      </c>
      <c r="K1085">
        <v>1</v>
      </c>
      <c r="L1085">
        <v>94025</v>
      </c>
      <c r="M1085">
        <v>0</v>
      </c>
      <c r="N1085">
        <v>0</v>
      </c>
      <c r="O1085">
        <v>0</v>
      </c>
      <c r="Q1085">
        <v>0</v>
      </c>
      <c r="R1085">
        <v>0</v>
      </c>
      <c r="S1085">
        <v>0</v>
      </c>
      <c r="T1085">
        <v>13</v>
      </c>
      <c r="U1085">
        <v>0.88607594936708001</v>
      </c>
      <c r="V1085">
        <v>0.11392405063291</v>
      </c>
      <c r="W1085">
        <v>0.88607594936708001</v>
      </c>
      <c r="X1085">
        <v>0.11392405063291</v>
      </c>
      <c r="Y1085">
        <v>0.86842105263156999</v>
      </c>
      <c r="Z1085">
        <v>0.13157894736841999</v>
      </c>
      <c r="AA1085">
        <v>0.11392405063291999</v>
      </c>
      <c r="AB1085">
        <v>-0.11392405063291</v>
      </c>
      <c r="AC1085">
        <v>0</v>
      </c>
    </row>
    <row r="1086" spans="1:29" x14ac:dyDescent="0.35">
      <c r="A1086">
        <v>3660</v>
      </c>
      <c r="B1086">
        <v>3660</v>
      </c>
      <c r="C1086">
        <v>33</v>
      </c>
      <c r="D1086">
        <v>7</v>
      </c>
      <c r="E1086">
        <v>22</v>
      </c>
      <c r="F1086">
        <v>1</v>
      </c>
      <c r="G1086">
        <v>0.4</v>
      </c>
      <c r="H1086">
        <v>2</v>
      </c>
      <c r="I1086">
        <v>0</v>
      </c>
      <c r="J1086">
        <v>0</v>
      </c>
      <c r="K1086">
        <v>0</v>
      </c>
      <c r="L1086">
        <v>94002</v>
      </c>
      <c r="M1086">
        <v>0</v>
      </c>
      <c r="N1086">
        <v>0</v>
      </c>
      <c r="O1086">
        <v>0</v>
      </c>
      <c r="Q1086">
        <v>0</v>
      </c>
      <c r="R1086">
        <v>0</v>
      </c>
      <c r="S1086">
        <v>0</v>
      </c>
      <c r="T1086">
        <v>5</v>
      </c>
      <c r="U1086">
        <v>1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</row>
    <row r="1087" spans="1:29" x14ac:dyDescent="0.35">
      <c r="A1087">
        <v>3661</v>
      </c>
      <c r="B1087">
        <v>3661</v>
      </c>
      <c r="C1087">
        <v>38</v>
      </c>
      <c r="D1087">
        <v>12</v>
      </c>
      <c r="E1087">
        <v>59</v>
      </c>
      <c r="F1087">
        <v>2</v>
      </c>
      <c r="G1087">
        <v>2.4</v>
      </c>
      <c r="H1087">
        <v>2</v>
      </c>
      <c r="I1087">
        <v>0</v>
      </c>
      <c r="J1087">
        <v>0</v>
      </c>
      <c r="K1087">
        <v>0</v>
      </c>
      <c r="L1087">
        <v>93401</v>
      </c>
      <c r="M1087">
        <v>0</v>
      </c>
      <c r="N1087">
        <v>0</v>
      </c>
      <c r="O1087">
        <v>0</v>
      </c>
      <c r="Q1087">
        <v>0</v>
      </c>
      <c r="R1087">
        <v>0</v>
      </c>
      <c r="S1087">
        <v>0</v>
      </c>
      <c r="T1087">
        <v>5</v>
      </c>
      <c r="U1087">
        <v>1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</row>
    <row r="1088" spans="1:29" x14ac:dyDescent="0.35">
      <c r="A1088">
        <v>3662</v>
      </c>
      <c r="B1088">
        <v>3662</v>
      </c>
      <c r="C1088">
        <v>29</v>
      </c>
      <c r="D1088">
        <v>4</v>
      </c>
      <c r="E1088">
        <v>120</v>
      </c>
      <c r="F1088">
        <v>1</v>
      </c>
      <c r="G1088">
        <v>4.0999999999999996</v>
      </c>
      <c r="H1088">
        <v>2</v>
      </c>
      <c r="I1088">
        <v>0</v>
      </c>
      <c r="J1088">
        <v>0</v>
      </c>
      <c r="K1088">
        <v>1</v>
      </c>
      <c r="L1088">
        <v>94553</v>
      </c>
      <c r="M1088">
        <v>1</v>
      </c>
      <c r="N1088">
        <v>1</v>
      </c>
      <c r="O1088">
        <v>1</v>
      </c>
      <c r="Q1088">
        <v>0</v>
      </c>
      <c r="R1088">
        <v>1</v>
      </c>
      <c r="S1088">
        <v>1</v>
      </c>
      <c r="T1088">
        <v>10</v>
      </c>
      <c r="U1088">
        <v>0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0</v>
      </c>
      <c r="AC1088">
        <v>1</v>
      </c>
    </row>
    <row r="1089" spans="1:29" x14ac:dyDescent="0.35">
      <c r="A1089">
        <v>3663</v>
      </c>
      <c r="B1089">
        <v>3663</v>
      </c>
      <c r="C1089">
        <v>35</v>
      </c>
      <c r="D1089">
        <v>9</v>
      </c>
      <c r="E1089">
        <v>164</v>
      </c>
      <c r="F1089">
        <v>2</v>
      </c>
      <c r="G1089">
        <v>0</v>
      </c>
      <c r="H1089">
        <v>1</v>
      </c>
      <c r="I1089">
        <v>500</v>
      </c>
      <c r="J1089">
        <v>0</v>
      </c>
      <c r="K1089">
        <v>0</v>
      </c>
      <c r="L1089">
        <v>94305</v>
      </c>
      <c r="M1089">
        <v>0</v>
      </c>
      <c r="N1089">
        <v>0</v>
      </c>
      <c r="O1089">
        <v>0</v>
      </c>
      <c r="Q1089">
        <v>1</v>
      </c>
      <c r="R1089">
        <v>0</v>
      </c>
      <c r="S1089">
        <v>0</v>
      </c>
      <c r="T1089">
        <v>22</v>
      </c>
      <c r="U1089">
        <v>1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</row>
    <row r="1090" spans="1:29" x14ac:dyDescent="0.35">
      <c r="A1090">
        <v>3664</v>
      </c>
      <c r="B1090">
        <v>3664</v>
      </c>
      <c r="C1090">
        <v>26</v>
      </c>
      <c r="D1090">
        <v>2</v>
      </c>
      <c r="E1090">
        <v>60</v>
      </c>
      <c r="F1090">
        <v>4</v>
      </c>
      <c r="G1090">
        <v>1.6</v>
      </c>
      <c r="H1090">
        <v>1</v>
      </c>
      <c r="I1090">
        <v>0</v>
      </c>
      <c r="J1090">
        <v>1</v>
      </c>
      <c r="K1090">
        <v>1</v>
      </c>
      <c r="L1090">
        <v>94111</v>
      </c>
      <c r="M1090">
        <v>0</v>
      </c>
      <c r="N1090">
        <v>0</v>
      </c>
      <c r="O1090">
        <v>1</v>
      </c>
      <c r="Q1090">
        <v>1</v>
      </c>
      <c r="R1090">
        <v>0</v>
      </c>
      <c r="S1090">
        <v>0</v>
      </c>
      <c r="T1090">
        <v>5</v>
      </c>
      <c r="U1090">
        <v>1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</row>
    <row r="1091" spans="1:29" x14ac:dyDescent="0.35">
      <c r="A1091">
        <v>3666</v>
      </c>
      <c r="B1091">
        <v>3666</v>
      </c>
      <c r="C1091">
        <v>43</v>
      </c>
      <c r="D1091">
        <v>19</v>
      </c>
      <c r="E1091">
        <v>70</v>
      </c>
      <c r="F1091">
        <v>3</v>
      </c>
      <c r="G1091">
        <v>2.33</v>
      </c>
      <c r="H1091">
        <v>1</v>
      </c>
      <c r="I1091">
        <v>0</v>
      </c>
      <c r="J1091">
        <v>0</v>
      </c>
      <c r="K1091">
        <v>0</v>
      </c>
      <c r="L1091">
        <v>91711</v>
      </c>
      <c r="M1091">
        <v>0</v>
      </c>
      <c r="N1091">
        <v>1</v>
      </c>
      <c r="O1091">
        <v>0</v>
      </c>
      <c r="Q1091">
        <v>1</v>
      </c>
      <c r="R1091">
        <v>0</v>
      </c>
      <c r="S1091">
        <v>0</v>
      </c>
      <c r="T1091">
        <v>5</v>
      </c>
      <c r="U1091">
        <v>1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</row>
    <row r="1092" spans="1:29" x14ac:dyDescent="0.35">
      <c r="A1092">
        <v>3667</v>
      </c>
      <c r="B1092">
        <v>3667</v>
      </c>
      <c r="C1092">
        <v>60</v>
      </c>
      <c r="D1092">
        <v>35</v>
      </c>
      <c r="E1092">
        <v>51</v>
      </c>
      <c r="F1092">
        <v>2</v>
      </c>
      <c r="G1092">
        <v>2.8</v>
      </c>
      <c r="H1092">
        <v>1</v>
      </c>
      <c r="I1092">
        <v>0</v>
      </c>
      <c r="J1092">
        <v>1</v>
      </c>
      <c r="K1092">
        <v>0</v>
      </c>
      <c r="L1092">
        <v>94143</v>
      </c>
      <c r="M1092">
        <v>0</v>
      </c>
      <c r="N1092">
        <v>0</v>
      </c>
      <c r="O1092">
        <v>0</v>
      </c>
      <c r="Q1092">
        <v>1</v>
      </c>
      <c r="R1092">
        <v>0</v>
      </c>
      <c r="S1092">
        <v>0</v>
      </c>
      <c r="T1092">
        <v>5</v>
      </c>
      <c r="U1092">
        <v>1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</row>
    <row r="1093" spans="1:29" x14ac:dyDescent="0.35">
      <c r="A1093">
        <v>3677</v>
      </c>
      <c r="B1093">
        <v>3677</v>
      </c>
      <c r="C1093">
        <v>62</v>
      </c>
      <c r="D1093">
        <v>37</v>
      </c>
      <c r="E1093">
        <v>22</v>
      </c>
      <c r="F1093">
        <v>1</v>
      </c>
      <c r="G1093">
        <v>1.5</v>
      </c>
      <c r="H1093">
        <v>2</v>
      </c>
      <c r="I1093">
        <v>111</v>
      </c>
      <c r="J1093">
        <v>1</v>
      </c>
      <c r="K1093">
        <v>0</v>
      </c>
      <c r="L1093">
        <v>95818</v>
      </c>
      <c r="M1093">
        <v>0</v>
      </c>
      <c r="N1093">
        <v>0</v>
      </c>
      <c r="O1093">
        <v>0</v>
      </c>
      <c r="Q1093">
        <v>0</v>
      </c>
      <c r="R1093">
        <v>0</v>
      </c>
      <c r="S1093">
        <v>0</v>
      </c>
      <c r="T1093">
        <v>5</v>
      </c>
      <c r="U1093">
        <v>1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</row>
    <row r="1094" spans="1:29" x14ac:dyDescent="0.35">
      <c r="A1094">
        <v>3678</v>
      </c>
      <c r="B1094">
        <v>3678</v>
      </c>
      <c r="C1094">
        <v>59</v>
      </c>
      <c r="D1094">
        <v>33</v>
      </c>
      <c r="E1094">
        <v>43</v>
      </c>
      <c r="F1094">
        <v>2</v>
      </c>
      <c r="G1094">
        <v>0.3</v>
      </c>
      <c r="H1094">
        <v>1</v>
      </c>
      <c r="I1094">
        <v>0</v>
      </c>
      <c r="J1094">
        <v>0</v>
      </c>
      <c r="K1094">
        <v>1</v>
      </c>
      <c r="L1094">
        <v>94234</v>
      </c>
      <c r="M1094">
        <v>0</v>
      </c>
      <c r="N1094">
        <v>0</v>
      </c>
      <c r="O1094">
        <v>0</v>
      </c>
      <c r="Q1094">
        <v>1</v>
      </c>
      <c r="R1094">
        <v>0</v>
      </c>
      <c r="S1094">
        <v>0</v>
      </c>
      <c r="T1094">
        <v>5</v>
      </c>
      <c r="U1094">
        <v>1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</row>
    <row r="1095" spans="1:29" x14ac:dyDescent="0.35">
      <c r="A1095">
        <v>3683</v>
      </c>
      <c r="B1095">
        <v>3683</v>
      </c>
      <c r="C1095">
        <v>43</v>
      </c>
      <c r="D1095">
        <v>17</v>
      </c>
      <c r="E1095">
        <v>45</v>
      </c>
      <c r="F1095">
        <v>2</v>
      </c>
      <c r="G1095">
        <v>0.7</v>
      </c>
      <c r="H1095">
        <v>1</v>
      </c>
      <c r="I1095">
        <v>0</v>
      </c>
      <c r="J1095">
        <v>0</v>
      </c>
      <c r="K1095">
        <v>0</v>
      </c>
      <c r="L1095">
        <v>95051</v>
      </c>
      <c r="M1095">
        <v>0</v>
      </c>
      <c r="N1095">
        <v>0</v>
      </c>
      <c r="O1095">
        <v>0</v>
      </c>
      <c r="Q1095">
        <v>1</v>
      </c>
      <c r="R1095">
        <v>0</v>
      </c>
      <c r="S1095">
        <v>0</v>
      </c>
      <c r="T1095">
        <v>5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</row>
    <row r="1096" spans="1:29" x14ac:dyDescent="0.35">
      <c r="A1096">
        <v>3685</v>
      </c>
      <c r="B1096">
        <v>3685</v>
      </c>
      <c r="C1096">
        <v>57</v>
      </c>
      <c r="D1096">
        <v>31</v>
      </c>
      <c r="E1096">
        <v>51</v>
      </c>
      <c r="F1096">
        <v>4</v>
      </c>
      <c r="G1096">
        <v>1.7</v>
      </c>
      <c r="H1096">
        <v>2</v>
      </c>
      <c r="I1096">
        <v>103</v>
      </c>
      <c r="J1096">
        <v>1</v>
      </c>
      <c r="K1096">
        <v>0</v>
      </c>
      <c r="L1096">
        <v>92093</v>
      </c>
      <c r="M1096">
        <v>0</v>
      </c>
      <c r="N1096">
        <v>0</v>
      </c>
      <c r="O1096">
        <v>0</v>
      </c>
      <c r="Q1096">
        <v>0</v>
      </c>
      <c r="R1096">
        <v>0</v>
      </c>
      <c r="S1096">
        <v>0</v>
      </c>
      <c r="T1096">
        <v>5</v>
      </c>
      <c r="U1096">
        <v>1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</row>
    <row r="1097" spans="1:29" x14ac:dyDescent="0.35">
      <c r="A1097">
        <v>3686</v>
      </c>
      <c r="B1097">
        <v>3686</v>
      </c>
      <c r="C1097">
        <v>53</v>
      </c>
      <c r="D1097">
        <v>27</v>
      </c>
      <c r="E1097">
        <v>93</v>
      </c>
      <c r="F1097">
        <v>1</v>
      </c>
      <c r="G1097">
        <v>0.8</v>
      </c>
      <c r="H1097">
        <v>3</v>
      </c>
      <c r="I1097">
        <v>313</v>
      </c>
      <c r="J1097">
        <v>0</v>
      </c>
      <c r="K1097">
        <v>0</v>
      </c>
      <c r="L1097">
        <v>94588</v>
      </c>
      <c r="M1097">
        <v>0</v>
      </c>
      <c r="N1097">
        <v>0</v>
      </c>
      <c r="O1097">
        <v>0</v>
      </c>
      <c r="Q1097">
        <v>0</v>
      </c>
      <c r="R1097">
        <v>0</v>
      </c>
      <c r="S1097">
        <v>0</v>
      </c>
      <c r="T1097">
        <v>5</v>
      </c>
      <c r="U1097">
        <v>1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</row>
    <row r="1098" spans="1:29" x14ac:dyDescent="0.35">
      <c r="A1098">
        <v>3688</v>
      </c>
      <c r="B1098">
        <v>3688</v>
      </c>
      <c r="C1098">
        <v>34</v>
      </c>
      <c r="D1098">
        <v>10</v>
      </c>
      <c r="E1098">
        <v>45</v>
      </c>
      <c r="F1098">
        <v>1</v>
      </c>
      <c r="G1098">
        <v>1.33</v>
      </c>
      <c r="H1098">
        <v>1</v>
      </c>
      <c r="I1098">
        <v>0</v>
      </c>
      <c r="J1098">
        <v>0</v>
      </c>
      <c r="K1098">
        <v>0</v>
      </c>
      <c r="L1098">
        <v>93943</v>
      </c>
      <c r="M1098">
        <v>0</v>
      </c>
      <c r="N1098">
        <v>0</v>
      </c>
      <c r="O1098">
        <v>0</v>
      </c>
      <c r="Q1098">
        <v>1</v>
      </c>
      <c r="R1098">
        <v>0</v>
      </c>
      <c r="S1098">
        <v>0</v>
      </c>
      <c r="T1098">
        <v>5</v>
      </c>
      <c r="U1098">
        <v>1</v>
      </c>
      <c r="V1098">
        <v>0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</row>
    <row r="1099" spans="1:29" x14ac:dyDescent="0.35">
      <c r="A1099">
        <v>3691</v>
      </c>
      <c r="B1099">
        <v>3691</v>
      </c>
      <c r="C1099">
        <v>63</v>
      </c>
      <c r="D1099">
        <v>39</v>
      </c>
      <c r="E1099">
        <v>41</v>
      </c>
      <c r="F1099">
        <v>2</v>
      </c>
      <c r="G1099">
        <v>1.1000000000000001</v>
      </c>
      <c r="H1099">
        <v>1</v>
      </c>
      <c r="I1099">
        <v>0</v>
      </c>
      <c r="J1099">
        <v>0</v>
      </c>
      <c r="K1099">
        <v>0</v>
      </c>
      <c r="L1099">
        <v>95449</v>
      </c>
      <c r="M1099">
        <v>0</v>
      </c>
      <c r="N1099">
        <v>0</v>
      </c>
      <c r="O1099">
        <v>0</v>
      </c>
      <c r="Q1099">
        <v>1</v>
      </c>
      <c r="R1099">
        <v>0</v>
      </c>
      <c r="S1099">
        <v>0</v>
      </c>
      <c r="T1099">
        <v>5</v>
      </c>
      <c r="U1099">
        <v>1</v>
      </c>
      <c r="V1099">
        <v>0</v>
      </c>
      <c r="W1099">
        <v>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</row>
    <row r="1100" spans="1:29" x14ac:dyDescent="0.35">
      <c r="A1100">
        <v>3692</v>
      </c>
      <c r="B1100">
        <v>3692</v>
      </c>
      <c r="C1100">
        <v>37</v>
      </c>
      <c r="D1100">
        <v>13</v>
      </c>
      <c r="E1100">
        <v>58</v>
      </c>
      <c r="F1100">
        <v>2</v>
      </c>
      <c r="G1100">
        <v>0.6</v>
      </c>
      <c r="H1100">
        <v>3</v>
      </c>
      <c r="I1100">
        <v>0</v>
      </c>
      <c r="J1100">
        <v>0</v>
      </c>
      <c r="K1100">
        <v>1</v>
      </c>
      <c r="L1100">
        <v>95211</v>
      </c>
      <c r="M1100">
        <v>0</v>
      </c>
      <c r="N1100">
        <v>0</v>
      </c>
      <c r="O1100">
        <v>0</v>
      </c>
      <c r="Q1100">
        <v>0</v>
      </c>
      <c r="R1100">
        <v>0</v>
      </c>
      <c r="S1100">
        <v>0</v>
      </c>
      <c r="T1100">
        <v>5</v>
      </c>
      <c r="U1100">
        <v>1</v>
      </c>
      <c r="V1100">
        <v>0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</row>
    <row r="1101" spans="1:29" x14ac:dyDescent="0.35">
      <c r="A1101">
        <v>3695</v>
      </c>
      <c r="B1101">
        <v>3695</v>
      </c>
      <c r="C1101">
        <v>38</v>
      </c>
      <c r="D1101">
        <v>8</v>
      </c>
      <c r="E1101">
        <v>21</v>
      </c>
      <c r="F1101">
        <v>1</v>
      </c>
      <c r="G1101">
        <v>0.67</v>
      </c>
      <c r="H1101">
        <v>3</v>
      </c>
      <c r="I1101">
        <v>0</v>
      </c>
      <c r="J1101">
        <v>1</v>
      </c>
      <c r="K1101">
        <v>0</v>
      </c>
      <c r="L1101">
        <v>92037</v>
      </c>
      <c r="M1101">
        <v>0</v>
      </c>
      <c r="N1101">
        <v>0</v>
      </c>
      <c r="O1101">
        <v>0</v>
      </c>
      <c r="Q1101">
        <v>0</v>
      </c>
      <c r="R1101">
        <v>0</v>
      </c>
      <c r="S1101">
        <v>0</v>
      </c>
      <c r="T1101">
        <v>5</v>
      </c>
      <c r="U1101">
        <v>1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</row>
    <row r="1102" spans="1:29" x14ac:dyDescent="0.35">
      <c r="A1102">
        <v>3697</v>
      </c>
      <c r="B1102">
        <v>3697</v>
      </c>
      <c r="C1102">
        <v>31</v>
      </c>
      <c r="D1102">
        <v>5</v>
      </c>
      <c r="E1102">
        <v>78</v>
      </c>
      <c r="F1102">
        <v>2</v>
      </c>
      <c r="G1102">
        <v>0.2</v>
      </c>
      <c r="H1102">
        <v>1</v>
      </c>
      <c r="I1102">
        <v>0</v>
      </c>
      <c r="J1102">
        <v>0</v>
      </c>
      <c r="K1102">
        <v>1</v>
      </c>
      <c r="L1102">
        <v>94309</v>
      </c>
      <c r="M1102">
        <v>0</v>
      </c>
      <c r="N1102">
        <v>0</v>
      </c>
      <c r="O1102">
        <v>0</v>
      </c>
      <c r="Q1102">
        <v>1</v>
      </c>
      <c r="R1102">
        <v>0</v>
      </c>
      <c r="S1102">
        <v>0</v>
      </c>
      <c r="T1102">
        <v>5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</row>
    <row r="1103" spans="1:29" x14ac:dyDescent="0.35">
      <c r="A1103">
        <v>3698</v>
      </c>
      <c r="B1103">
        <v>3698</v>
      </c>
      <c r="C1103">
        <v>39</v>
      </c>
      <c r="D1103">
        <v>13</v>
      </c>
      <c r="E1103">
        <v>59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95616</v>
      </c>
      <c r="M1103">
        <v>0</v>
      </c>
      <c r="N1103">
        <v>0</v>
      </c>
      <c r="O1103">
        <v>0</v>
      </c>
      <c r="Q1103">
        <v>0</v>
      </c>
      <c r="R1103">
        <v>0</v>
      </c>
      <c r="S1103">
        <v>0</v>
      </c>
      <c r="T1103">
        <v>5</v>
      </c>
      <c r="U1103">
        <v>1</v>
      </c>
      <c r="V1103">
        <v>0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</row>
    <row r="1104" spans="1:29" x14ac:dyDescent="0.35">
      <c r="A1104">
        <v>3705</v>
      </c>
      <c r="B1104">
        <v>3705</v>
      </c>
      <c r="C1104">
        <v>36</v>
      </c>
      <c r="D1104">
        <v>11</v>
      </c>
      <c r="E1104">
        <v>184</v>
      </c>
      <c r="F1104">
        <v>2</v>
      </c>
      <c r="G1104">
        <v>5.0999999999999996</v>
      </c>
      <c r="H1104">
        <v>2</v>
      </c>
      <c r="I1104">
        <v>0</v>
      </c>
      <c r="J1104">
        <v>0</v>
      </c>
      <c r="K1104">
        <v>0</v>
      </c>
      <c r="L1104">
        <v>91304</v>
      </c>
      <c r="M1104">
        <v>1</v>
      </c>
      <c r="N1104">
        <v>0</v>
      </c>
      <c r="O1104">
        <v>0</v>
      </c>
      <c r="Q1104">
        <v>0</v>
      </c>
      <c r="R1104">
        <v>1</v>
      </c>
      <c r="S1104">
        <v>1</v>
      </c>
      <c r="T1104">
        <v>10</v>
      </c>
      <c r="U1104">
        <v>0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0</v>
      </c>
      <c r="AB1104">
        <v>0</v>
      </c>
      <c r="AC1104">
        <v>1</v>
      </c>
    </row>
    <row r="1105" spans="1:29" x14ac:dyDescent="0.35">
      <c r="A1105">
        <v>3706</v>
      </c>
      <c r="B1105">
        <v>3706</v>
      </c>
      <c r="C1105">
        <v>30</v>
      </c>
      <c r="D1105">
        <v>4</v>
      </c>
      <c r="E1105">
        <v>30</v>
      </c>
      <c r="F1105">
        <v>3</v>
      </c>
      <c r="G1105">
        <v>1</v>
      </c>
      <c r="H1105">
        <v>1</v>
      </c>
      <c r="I1105">
        <v>0</v>
      </c>
      <c r="J1105">
        <v>1</v>
      </c>
      <c r="K1105">
        <v>0</v>
      </c>
      <c r="L1105">
        <v>91770</v>
      </c>
      <c r="M1105">
        <v>0</v>
      </c>
      <c r="N1105">
        <v>0</v>
      </c>
      <c r="O1105">
        <v>0</v>
      </c>
      <c r="Q1105">
        <v>1</v>
      </c>
      <c r="R1105">
        <v>0</v>
      </c>
      <c r="S1105">
        <v>0</v>
      </c>
      <c r="T1105">
        <v>5</v>
      </c>
      <c r="U1105">
        <v>1</v>
      </c>
      <c r="V1105">
        <v>0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</row>
    <row r="1106" spans="1:29" x14ac:dyDescent="0.35">
      <c r="A1106">
        <v>3709</v>
      </c>
      <c r="B1106">
        <v>3709</v>
      </c>
      <c r="C1106">
        <v>31</v>
      </c>
      <c r="D1106">
        <v>1</v>
      </c>
      <c r="E1106">
        <v>74</v>
      </c>
      <c r="F1106">
        <v>4</v>
      </c>
      <c r="G1106">
        <v>4</v>
      </c>
      <c r="H1106">
        <v>3</v>
      </c>
      <c r="I1106">
        <v>0</v>
      </c>
      <c r="J1106">
        <v>0</v>
      </c>
      <c r="K1106">
        <v>0</v>
      </c>
      <c r="L1106">
        <v>92116</v>
      </c>
      <c r="M1106">
        <v>0</v>
      </c>
      <c r="N1106">
        <v>0</v>
      </c>
      <c r="O1106">
        <v>0</v>
      </c>
      <c r="Q1106">
        <v>0</v>
      </c>
      <c r="R1106">
        <v>0</v>
      </c>
      <c r="S1106">
        <v>0</v>
      </c>
      <c r="T1106">
        <v>15</v>
      </c>
      <c r="U1106">
        <v>0.91935483870967005</v>
      </c>
      <c r="V1106">
        <v>8.0645161290319997E-2</v>
      </c>
      <c r="W1106">
        <v>0.91935483870967005</v>
      </c>
      <c r="X1106">
        <v>8.0645161290319997E-2</v>
      </c>
      <c r="Y1106">
        <v>0.86</v>
      </c>
      <c r="Z1106">
        <v>0.14000000000000001</v>
      </c>
      <c r="AA1106">
        <v>8.0645161290329906E-2</v>
      </c>
      <c r="AB1106">
        <v>-8.0645161290319997E-2</v>
      </c>
      <c r="AC1106">
        <v>0</v>
      </c>
    </row>
    <row r="1107" spans="1:29" x14ac:dyDescent="0.35">
      <c r="A1107">
        <v>3710</v>
      </c>
      <c r="B1107">
        <v>3710</v>
      </c>
      <c r="C1107">
        <v>37</v>
      </c>
      <c r="D1107">
        <v>11</v>
      </c>
      <c r="E1107">
        <v>43</v>
      </c>
      <c r="F1107">
        <v>4</v>
      </c>
      <c r="G1107">
        <v>1.2</v>
      </c>
      <c r="H1107">
        <v>2</v>
      </c>
      <c r="I1107">
        <v>0</v>
      </c>
      <c r="J1107">
        <v>0</v>
      </c>
      <c r="K1107">
        <v>0</v>
      </c>
      <c r="L1107">
        <v>92521</v>
      </c>
      <c r="M1107">
        <v>0</v>
      </c>
      <c r="N1107">
        <v>1</v>
      </c>
      <c r="O1107">
        <v>0</v>
      </c>
      <c r="Q1107">
        <v>0</v>
      </c>
      <c r="R1107">
        <v>0</v>
      </c>
      <c r="S1107">
        <v>0</v>
      </c>
      <c r="T1107">
        <v>5</v>
      </c>
      <c r="U1107">
        <v>1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</row>
    <row r="1108" spans="1:29" x14ac:dyDescent="0.35">
      <c r="A1108">
        <v>3715</v>
      </c>
      <c r="B1108">
        <v>3715</v>
      </c>
      <c r="C1108">
        <v>49</v>
      </c>
      <c r="D1108">
        <v>23</v>
      </c>
      <c r="E1108">
        <v>65</v>
      </c>
      <c r="F1108">
        <v>2</v>
      </c>
      <c r="G1108">
        <v>0.4</v>
      </c>
      <c r="H1108">
        <v>3</v>
      </c>
      <c r="I1108">
        <v>232</v>
      </c>
      <c r="J1108">
        <v>0</v>
      </c>
      <c r="K1108">
        <v>1</v>
      </c>
      <c r="L1108">
        <v>94720</v>
      </c>
      <c r="M1108">
        <v>0</v>
      </c>
      <c r="N1108">
        <v>0</v>
      </c>
      <c r="O1108">
        <v>0</v>
      </c>
      <c r="Q1108">
        <v>0</v>
      </c>
      <c r="R1108">
        <v>0</v>
      </c>
      <c r="S1108">
        <v>0</v>
      </c>
      <c r="T1108">
        <v>5</v>
      </c>
      <c r="U1108">
        <v>1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</row>
    <row r="1109" spans="1:29" x14ac:dyDescent="0.35">
      <c r="A1109">
        <v>3716</v>
      </c>
      <c r="B1109">
        <v>3716</v>
      </c>
      <c r="C1109">
        <v>29</v>
      </c>
      <c r="D1109">
        <v>5</v>
      </c>
      <c r="E1109">
        <v>124</v>
      </c>
      <c r="F1109">
        <v>2</v>
      </c>
      <c r="G1109">
        <v>0.2</v>
      </c>
      <c r="H1109">
        <v>1</v>
      </c>
      <c r="I1109">
        <v>0</v>
      </c>
      <c r="J1109">
        <v>0</v>
      </c>
      <c r="K1109">
        <v>1</v>
      </c>
      <c r="L1109">
        <v>92037</v>
      </c>
      <c r="M1109">
        <v>0</v>
      </c>
      <c r="N1109">
        <v>0</v>
      </c>
      <c r="O1109">
        <v>0</v>
      </c>
      <c r="Q1109">
        <v>1</v>
      </c>
      <c r="R1109">
        <v>0</v>
      </c>
      <c r="S1109">
        <v>0</v>
      </c>
      <c r="T1109">
        <v>22</v>
      </c>
      <c r="U1109">
        <v>1</v>
      </c>
      <c r="V1109">
        <v>0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</row>
    <row r="1110" spans="1:29" x14ac:dyDescent="0.35">
      <c r="A1110">
        <v>3718</v>
      </c>
      <c r="B1110">
        <v>3718</v>
      </c>
      <c r="C1110">
        <v>61</v>
      </c>
      <c r="D1110">
        <v>37</v>
      </c>
      <c r="E1110">
        <v>73</v>
      </c>
      <c r="F1110">
        <v>3</v>
      </c>
      <c r="G1110">
        <v>2</v>
      </c>
      <c r="H1110">
        <v>3</v>
      </c>
      <c r="I1110">
        <v>285</v>
      </c>
      <c r="J1110">
        <v>0</v>
      </c>
      <c r="K1110">
        <v>0</v>
      </c>
      <c r="L1110">
        <v>94550</v>
      </c>
      <c r="M1110">
        <v>0</v>
      </c>
      <c r="N1110">
        <v>0</v>
      </c>
      <c r="O1110">
        <v>0</v>
      </c>
      <c r="Q1110">
        <v>0</v>
      </c>
      <c r="R1110">
        <v>0</v>
      </c>
      <c r="S1110">
        <v>0</v>
      </c>
      <c r="T1110">
        <v>5</v>
      </c>
      <c r="U1110">
        <v>1</v>
      </c>
      <c r="V1110">
        <v>0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</row>
    <row r="1111" spans="1:29" x14ac:dyDescent="0.35">
      <c r="A1111">
        <v>3720</v>
      </c>
      <c r="B1111">
        <v>3720</v>
      </c>
      <c r="C1111">
        <v>33</v>
      </c>
      <c r="D1111">
        <v>8</v>
      </c>
      <c r="E1111">
        <v>53</v>
      </c>
      <c r="F1111">
        <v>3</v>
      </c>
      <c r="G1111">
        <v>2.2999999999999998</v>
      </c>
      <c r="H1111">
        <v>1</v>
      </c>
      <c r="I1111">
        <v>76</v>
      </c>
      <c r="J1111">
        <v>1</v>
      </c>
      <c r="K1111">
        <v>0</v>
      </c>
      <c r="L1111">
        <v>92126</v>
      </c>
      <c r="M1111">
        <v>0</v>
      </c>
      <c r="N1111">
        <v>0</v>
      </c>
      <c r="O1111">
        <v>0</v>
      </c>
      <c r="Q1111">
        <v>1</v>
      </c>
      <c r="R1111">
        <v>0</v>
      </c>
      <c r="S1111">
        <v>0</v>
      </c>
      <c r="T1111">
        <v>5</v>
      </c>
      <c r="U1111">
        <v>1</v>
      </c>
      <c r="V1111">
        <v>0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</row>
    <row r="1112" spans="1:29" x14ac:dyDescent="0.35">
      <c r="A1112">
        <v>3721</v>
      </c>
      <c r="B1112">
        <v>3721</v>
      </c>
      <c r="C1112">
        <v>63</v>
      </c>
      <c r="D1112">
        <v>39</v>
      </c>
      <c r="E1112">
        <v>131</v>
      </c>
      <c r="F1112">
        <v>3</v>
      </c>
      <c r="G1112">
        <v>2.6</v>
      </c>
      <c r="H1112">
        <v>3</v>
      </c>
      <c r="I1112">
        <v>229</v>
      </c>
      <c r="J1112">
        <v>1</v>
      </c>
      <c r="K1112">
        <v>0</v>
      </c>
      <c r="L1112">
        <v>92521</v>
      </c>
      <c r="M1112">
        <v>1</v>
      </c>
      <c r="N1112">
        <v>0</v>
      </c>
      <c r="O1112">
        <v>0</v>
      </c>
      <c r="Q1112">
        <v>0</v>
      </c>
      <c r="R1112">
        <v>1</v>
      </c>
      <c r="S1112">
        <v>1</v>
      </c>
      <c r="T1112">
        <v>10</v>
      </c>
      <c r="U1112">
        <v>0</v>
      </c>
      <c r="V1112">
        <v>1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0</v>
      </c>
      <c r="AC1112">
        <v>1</v>
      </c>
    </row>
    <row r="1113" spans="1:29" x14ac:dyDescent="0.35">
      <c r="A1113">
        <v>3725</v>
      </c>
      <c r="B1113">
        <v>3725</v>
      </c>
      <c r="C1113">
        <v>44</v>
      </c>
      <c r="D1113">
        <v>20</v>
      </c>
      <c r="E1113">
        <v>39</v>
      </c>
      <c r="F1113">
        <v>2</v>
      </c>
      <c r="G1113">
        <v>2.1</v>
      </c>
      <c r="H1113">
        <v>3</v>
      </c>
      <c r="I1113">
        <v>119</v>
      </c>
      <c r="J1113">
        <v>0</v>
      </c>
      <c r="K1113">
        <v>0</v>
      </c>
      <c r="L1113">
        <v>93108</v>
      </c>
      <c r="M1113">
        <v>0</v>
      </c>
      <c r="N1113">
        <v>0</v>
      </c>
      <c r="O1113">
        <v>0</v>
      </c>
      <c r="Q1113">
        <v>0</v>
      </c>
      <c r="R1113">
        <v>0</v>
      </c>
      <c r="S1113">
        <v>0</v>
      </c>
      <c r="T1113">
        <v>5</v>
      </c>
      <c r="U1113">
        <v>1</v>
      </c>
      <c r="V1113">
        <v>0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</row>
    <row r="1114" spans="1:29" x14ac:dyDescent="0.35">
      <c r="A1114">
        <v>3729</v>
      </c>
      <c r="B1114">
        <v>3729</v>
      </c>
      <c r="C1114">
        <v>28</v>
      </c>
      <c r="D1114">
        <v>3</v>
      </c>
      <c r="E1114">
        <v>118</v>
      </c>
      <c r="F1114">
        <v>3</v>
      </c>
      <c r="G1114">
        <v>2.4</v>
      </c>
      <c r="H1114">
        <v>2</v>
      </c>
      <c r="I1114">
        <v>161</v>
      </c>
      <c r="J1114">
        <v>0</v>
      </c>
      <c r="K1114">
        <v>0</v>
      </c>
      <c r="L1114">
        <v>91902</v>
      </c>
      <c r="M1114">
        <v>1</v>
      </c>
      <c r="N1114">
        <v>0</v>
      </c>
      <c r="O1114">
        <v>0</v>
      </c>
      <c r="Q1114">
        <v>0</v>
      </c>
      <c r="R1114">
        <v>1</v>
      </c>
      <c r="S1114">
        <v>1</v>
      </c>
      <c r="T1114">
        <v>10</v>
      </c>
      <c r="U1114">
        <v>0</v>
      </c>
      <c r="V1114">
        <v>1</v>
      </c>
      <c r="W1114">
        <v>0</v>
      </c>
      <c r="X1114">
        <v>1</v>
      </c>
      <c r="Y1114">
        <v>0</v>
      </c>
      <c r="Z1114">
        <v>1</v>
      </c>
      <c r="AA1114">
        <v>0</v>
      </c>
      <c r="AB1114">
        <v>0</v>
      </c>
      <c r="AC1114">
        <v>1</v>
      </c>
    </row>
    <row r="1115" spans="1:29" x14ac:dyDescent="0.35">
      <c r="A1115">
        <v>3731</v>
      </c>
      <c r="B1115">
        <v>3731</v>
      </c>
      <c r="C1115">
        <v>30</v>
      </c>
      <c r="D1115">
        <v>6</v>
      </c>
      <c r="E1115">
        <v>112</v>
      </c>
      <c r="F1115">
        <v>3</v>
      </c>
      <c r="G1115">
        <v>2.5</v>
      </c>
      <c r="H1115">
        <v>1</v>
      </c>
      <c r="I1115">
        <v>0</v>
      </c>
      <c r="J1115">
        <v>1</v>
      </c>
      <c r="K1115">
        <v>0</v>
      </c>
      <c r="L1115">
        <v>92093</v>
      </c>
      <c r="M1115">
        <v>0</v>
      </c>
      <c r="N1115">
        <v>0</v>
      </c>
      <c r="O1115">
        <v>0</v>
      </c>
      <c r="Q1115">
        <v>1</v>
      </c>
      <c r="R1115">
        <v>0</v>
      </c>
      <c r="S1115">
        <v>0</v>
      </c>
      <c r="T1115">
        <v>24</v>
      </c>
      <c r="U1115">
        <v>0.92857142857142005</v>
      </c>
      <c r="V1115">
        <v>7.1428571428569995E-2</v>
      </c>
      <c r="W1115">
        <v>0.92857142857142005</v>
      </c>
      <c r="X1115">
        <v>7.1428571428569995E-2</v>
      </c>
      <c r="Y1115">
        <v>0.85714285714284999</v>
      </c>
      <c r="Z1115">
        <v>0.14285714285713999</v>
      </c>
      <c r="AA1115">
        <v>7.1428571428579904E-2</v>
      </c>
      <c r="AB1115">
        <v>-7.1428571428569995E-2</v>
      </c>
      <c r="AC1115">
        <v>0</v>
      </c>
    </row>
    <row r="1116" spans="1:29" x14ac:dyDescent="0.35">
      <c r="A1116">
        <v>3736</v>
      </c>
      <c r="B1116">
        <v>3736</v>
      </c>
      <c r="C1116">
        <v>40</v>
      </c>
      <c r="D1116">
        <v>14</v>
      </c>
      <c r="E1116">
        <v>78</v>
      </c>
      <c r="F1116">
        <v>1</v>
      </c>
      <c r="G1116">
        <v>5.2</v>
      </c>
      <c r="H1116">
        <v>1</v>
      </c>
      <c r="I1116">
        <v>0</v>
      </c>
      <c r="J1116">
        <v>1</v>
      </c>
      <c r="K1116">
        <v>0</v>
      </c>
      <c r="L1116">
        <v>91103</v>
      </c>
      <c r="M1116">
        <v>0</v>
      </c>
      <c r="N1116">
        <v>0</v>
      </c>
      <c r="O1116">
        <v>0</v>
      </c>
      <c r="Q1116">
        <v>1</v>
      </c>
      <c r="R1116">
        <v>0</v>
      </c>
      <c r="S1116">
        <v>0</v>
      </c>
      <c r="T1116">
        <v>15</v>
      </c>
      <c r="U1116">
        <v>0.91935483870967005</v>
      </c>
      <c r="V1116">
        <v>8.0645161290319997E-2</v>
      </c>
      <c r="W1116">
        <v>0.91935483870967005</v>
      </c>
      <c r="X1116">
        <v>8.0645161290319997E-2</v>
      </c>
      <c r="Y1116">
        <v>0.86</v>
      </c>
      <c r="Z1116">
        <v>0.14000000000000001</v>
      </c>
      <c r="AA1116">
        <v>8.0645161290329906E-2</v>
      </c>
      <c r="AB1116">
        <v>-8.0645161290319997E-2</v>
      </c>
      <c r="AC1116">
        <v>0</v>
      </c>
    </row>
    <row r="1117" spans="1:29" x14ac:dyDescent="0.35">
      <c r="A1117">
        <v>3737</v>
      </c>
      <c r="B1117">
        <v>3737</v>
      </c>
      <c r="C1117">
        <v>54</v>
      </c>
      <c r="D1117">
        <v>30</v>
      </c>
      <c r="E1117">
        <v>78</v>
      </c>
      <c r="F1117">
        <v>3</v>
      </c>
      <c r="G1117">
        <v>1.8</v>
      </c>
      <c r="H1117">
        <v>2</v>
      </c>
      <c r="I1117">
        <v>0</v>
      </c>
      <c r="J1117">
        <v>0</v>
      </c>
      <c r="K1117">
        <v>0</v>
      </c>
      <c r="L1117">
        <v>96001</v>
      </c>
      <c r="M1117">
        <v>0</v>
      </c>
      <c r="N1117">
        <v>0</v>
      </c>
      <c r="O1117">
        <v>0</v>
      </c>
      <c r="Q1117">
        <v>0</v>
      </c>
      <c r="R1117">
        <v>0</v>
      </c>
      <c r="S1117">
        <v>0</v>
      </c>
      <c r="T1117">
        <v>5</v>
      </c>
      <c r="U1117">
        <v>1</v>
      </c>
      <c r="V1117">
        <v>0</v>
      </c>
      <c r="W1117">
        <v>1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</row>
    <row r="1118" spans="1:29" x14ac:dyDescent="0.35">
      <c r="A1118">
        <v>3738</v>
      </c>
      <c r="B1118">
        <v>3738</v>
      </c>
      <c r="C1118">
        <v>44</v>
      </c>
      <c r="D1118">
        <v>19</v>
      </c>
      <c r="E1118">
        <v>30</v>
      </c>
      <c r="F1118">
        <v>1</v>
      </c>
      <c r="G1118">
        <v>0.5</v>
      </c>
      <c r="H1118">
        <v>3</v>
      </c>
      <c r="I1118">
        <v>0</v>
      </c>
      <c r="J1118">
        <v>1</v>
      </c>
      <c r="K1118">
        <v>0</v>
      </c>
      <c r="L1118">
        <v>91423</v>
      </c>
      <c r="M1118">
        <v>0</v>
      </c>
      <c r="N1118">
        <v>0</v>
      </c>
      <c r="O1118">
        <v>0</v>
      </c>
      <c r="Q1118">
        <v>0</v>
      </c>
      <c r="R1118">
        <v>0</v>
      </c>
      <c r="S1118">
        <v>0</v>
      </c>
      <c r="T1118">
        <v>5</v>
      </c>
      <c r="U1118">
        <v>1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</row>
    <row r="1119" spans="1:29" x14ac:dyDescent="0.35">
      <c r="A1119">
        <v>3740</v>
      </c>
      <c r="B1119">
        <v>3740</v>
      </c>
      <c r="C1119">
        <v>39</v>
      </c>
      <c r="D1119">
        <v>14</v>
      </c>
      <c r="E1119">
        <v>80</v>
      </c>
      <c r="F1119">
        <v>2</v>
      </c>
      <c r="G1119">
        <v>0.4</v>
      </c>
      <c r="H1119">
        <v>1</v>
      </c>
      <c r="I1119">
        <v>0</v>
      </c>
      <c r="J1119">
        <v>0</v>
      </c>
      <c r="K1119">
        <v>0</v>
      </c>
      <c r="L1119">
        <v>90502</v>
      </c>
      <c r="M1119">
        <v>0</v>
      </c>
      <c r="N1119">
        <v>0</v>
      </c>
      <c r="O1119">
        <v>0</v>
      </c>
      <c r="Q1119">
        <v>1</v>
      </c>
      <c r="R1119">
        <v>0</v>
      </c>
      <c r="S1119">
        <v>0</v>
      </c>
      <c r="T1119">
        <v>5</v>
      </c>
      <c r="U1119">
        <v>1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</row>
    <row r="1120" spans="1:29" x14ac:dyDescent="0.35">
      <c r="A1120">
        <v>3747</v>
      </c>
      <c r="B1120">
        <v>3747</v>
      </c>
      <c r="C1120">
        <v>63</v>
      </c>
      <c r="D1120">
        <v>39</v>
      </c>
      <c r="E1120">
        <v>49</v>
      </c>
      <c r="F1120">
        <v>4</v>
      </c>
      <c r="G1120">
        <v>1.2</v>
      </c>
      <c r="H1120">
        <v>2</v>
      </c>
      <c r="I1120">
        <v>109</v>
      </c>
      <c r="J1120">
        <v>1</v>
      </c>
      <c r="K1120">
        <v>1</v>
      </c>
      <c r="L1120">
        <v>93943</v>
      </c>
      <c r="M1120">
        <v>0</v>
      </c>
      <c r="N1120">
        <v>1</v>
      </c>
      <c r="O1120">
        <v>1</v>
      </c>
      <c r="Q1120">
        <v>0</v>
      </c>
      <c r="R1120">
        <v>0</v>
      </c>
      <c r="S1120">
        <v>0</v>
      </c>
      <c r="T1120">
        <v>5</v>
      </c>
      <c r="U1120">
        <v>1</v>
      </c>
      <c r="V1120">
        <v>0</v>
      </c>
      <c r="W1120">
        <v>1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</row>
    <row r="1121" spans="1:29" x14ac:dyDescent="0.35">
      <c r="A1121">
        <v>3750</v>
      </c>
      <c r="B1121">
        <v>3750</v>
      </c>
      <c r="C1121">
        <v>43</v>
      </c>
      <c r="D1121">
        <v>19</v>
      </c>
      <c r="E1121">
        <v>70</v>
      </c>
      <c r="F1121">
        <v>3</v>
      </c>
      <c r="G1121">
        <v>2.33</v>
      </c>
      <c r="H1121">
        <v>1</v>
      </c>
      <c r="I1121">
        <v>0</v>
      </c>
      <c r="J1121">
        <v>1</v>
      </c>
      <c r="K1121">
        <v>0</v>
      </c>
      <c r="L1121">
        <v>90095</v>
      </c>
      <c r="M1121">
        <v>0</v>
      </c>
      <c r="N1121">
        <v>0</v>
      </c>
      <c r="O1121">
        <v>0</v>
      </c>
      <c r="Q1121">
        <v>1</v>
      </c>
      <c r="R1121">
        <v>0</v>
      </c>
      <c r="S1121">
        <v>0</v>
      </c>
      <c r="T1121">
        <v>5</v>
      </c>
      <c r="U1121">
        <v>1</v>
      </c>
      <c r="V1121">
        <v>0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</row>
    <row r="1122" spans="1:29" x14ac:dyDescent="0.35">
      <c r="A1122">
        <v>3754</v>
      </c>
      <c r="B1122">
        <v>3754</v>
      </c>
      <c r="C1122">
        <v>30</v>
      </c>
      <c r="D1122">
        <v>4</v>
      </c>
      <c r="E1122">
        <v>34</v>
      </c>
      <c r="F1122">
        <v>2</v>
      </c>
      <c r="G1122">
        <v>0.3</v>
      </c>
      <c r="H1122">
        <v>2</v>
      </c>
      <c r="I1122">
        <v>0</v>
      </c>
      <c r="J1122">
        <v>1</v>
      </c>
      <c r="K1122">
        <v>1</v>
      </c>
      <c r="L1122">
        <v>95351</v>
      </c>
      <c r="M1122">
        <v>0</v>
      </c>
      <c r="N1122">
        <v>0</v>
      </c>
      <c r="O1122">
        <v>0</v>
      </c>
      <c r="Q1122">
        <v>0</v>
      </c>
      <c r="R1122">
        <v>0</v>
      </c>
      <c r="S1122">
        <v>0</v>
      </c>
      <c r="T1122">
        <v>5</v>
      </c>
      <c r="U1122">
        <v>1</v>
      </c>
      <c r="V1122">
        <v>0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</row>
    <row r="1123" spans="1:29" x14ac:dyDescent="0.35">
      <c r="A1123">
        <v>3759</v>
      </c>
      <c r="B1123">
        <v>3759</v>
      </c>
      <c r="C1123">
        <v>47</v>
      </c>
      <c r="D1123">
        <v>23</v>
      </c>
      <c r="E1123">
        <v>199</v>
      </c>
      <c r="F1123">
        <v>2</v>
      </c>
      <c r="G1123">
        <v>6.67</v>
      </c>
      <c r="H1123">
        <v>1</v>
      </c>
      <c r="I1123">
        <v>0</v>
      </c>
      <c r="J1123">
        <v>1</v>
      </c>
      <c r="K1123">
        <v>0</v>
      </c>
      <c r="L1123">
        <v>94720</v>
      </c>
      <c r="M1123">
        <v>0</v>
      </c>
      <c r="N1123">
        <v>0</v>
      </c>
      <c r="O1123">
        <v>0</v>
      </c>
      <c r="Q1123">
        <v>1</v>
      </c>
      <c r="R1123">
        <v>0</v>
      </c>
      <c r="S1123">
        <v>0</v>
      </c>
      <c r="T1123">
        <v>22</v>
      </c>
      <c r="U1123">
        <v>1</v>
      </c>
      <c r="V1123">
        <v>0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</row>
    <row r="1124" spans="1:29" x14ac:dyDescent="0.35">
      <c r="A1124">
        <v>3762</v>
      </c>
      <c r="B1124">
        <v>3762</v>
      </c>
      <c r="C1124">
        <v>49</v>
      </c>
      <c r="D1124">
        <v>24</v>
      </c>
      <c r="E1124">
        <v>25</v>
      </c>
      <c r="F1124">
        <v>2</v>
      </c>
      <c r="G1124">
        <v>0.7</v>
      </c>
      <c r="H1124">
        <v>3</v>
      </c>
      <c r="I1124">
        <v>0</v>
      </c>
      <c r="J1124">
        <v>1</v>
      </c>
      <c r="K1124">
        <v>0</v>
      </c>
      <c r="L1124">
        <v>95831</v>
      </c>
      <c r="M1124">
        <v>0</v>
      </c>
      <c r="N1124">
        <v>0</v>
      </c>
      <c r="O1124">
        <v>0</v>
      </c>
      <c r="Q1124">
        <v>0</v>
      </c>
      <c r="R1124">
        <v>0</v>
      </c>
      <c r="S1124">
        <v>0</v>
      </c>
      <c r="T1124">
        <v>5</v>
      </c>
      <c r="U1124">
        <v>1</v>
      </c>
      <c r="V1124">
        <v>0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</row>
    <row r="1125" spans="1:29" x14ac:dyDescent="0.35">
      <c r="A1125">
        <v>3765</v>
      </c>
      <c r="B1125">
        <v>3765</v>
      </c>
      <c r="C1125">
        <v>63</v>
      </c>
      <c r="D1125">
        <v>37</v>
      </c>
      <c r="E1125">
        <v>15</v>
      </c>
      <c r="F1125">
        <v>2</v>
      </c>
      <c r="G1125">
        <v>0.4</v>
      </c>
      <c r="H1125">
        <v>1</v>
      </c>
      <c r="I1125">
        <v>0</v>
      </c>
      <c r="J1125">
        <v>0</v>
      </c>
      <c r="K1125">
        <v>0</v>
      </c>
      <c r="L1125">
        <v>94720</v>
      </c>
      <c r="M1125">
        <v>0</v>
      </c>
      <c r="N1125">
        <v>0</v>
      </c>
      <c r="O1125">
        <v>0</v>
      </c>
      <c r="Q1125">
        <v>1</v>
      </c>
      <c r="R1125">
        <v>0</v>
      </c>
      <c r="S1125">
        <v>0</v>
      </c>
      <c r="T1125">
        <v>5</v>
      </c>
      <c r="U1125">
        <v>1</v>
      </c>
      <c r="V1125">
        <v>0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</row>
    <row r="1126" spans="1:29" x14ac:dyDescent="0.35">
      <c r="A1126">
        <v>3767</v>
      </c>
      <c r="B1126">
        <v>3767</v>
      </c>
      <c r="C1126">
        <v>59</v>
      </c>
      <c r="D1126">
        <v>35</v>
      </c>
      <c r="E1126">
        <v>108</v>
      </c>
      <c r="F1126">
        <v>4</v>
      </c>
      <c r="G1126">
        <v>3.8</v>
      </c>
      <c r="H1126">
        <v>2</v>
      </c>
      <c r="I1126">
        <v>304</v>
      </c>
      <c r="J1126">
        <v>1</v>
      </c>
      <c r="K1126">
        <v>0</v>
      </c>
      <c r="L1126">
        <v>90245</v>
      </c>
      <c r="M1126">
        <v>1</v>
      </c>
      <c r="N1126">
        <v>0</v>
      </c>
      <c r="O1126">
        <v>0</v>
      </c>
      <c r="Q1126">
        <v>0</v>
      </c>
      <c r="R1126">
        <v>1</v>
      </c>
      <c r="S1126">
        <v>1</v>
      </c>
      <c r="T1126">
        <v>14</v>
      </c>
      <c r="U1126">
        <v>0.24242424242423999</v>
      </c>
      <c r="V1126">
        <v>0.75757575757575002</v>
      </c>
      <c r="W1126">
        <v>0.24242424242423999</v>
      </c>
      <c r="X1126">
        <v>0.75757575757575002</v>
      </c>
      <c r="Y1126">
        <v>0.44444444444443998</v>
      </c>
      <c r="Z1126">
        <v>0.55555555555555003</v>
      </c>
      <c r="AA1126">
        <v>-0.24242424242423999</v>
      </c>
      <c r="AB1126">
        <v>0.24242424242424901</v>
      </c>
      <c r="AC1126">
        <v>1</v>
      </c>
    </row>
    <row r="1127" spans="1:29" x14ac:dyDescent="0.35">
      <c r="A1127">
        <v>3769</v>
      </c>
      <c r="B1127">
        <v>3769</v>
      </c>
      <c r="C1127">
        <v>42</v>
      </c>
      <c r="D1127">
        <v>16</v>
      </c>
      <c r="E1127">
        <v>62</v>
      </c>
      <c r="F1127">
        <v>1</v>
      </c>
      <c r="G1127">
        <v>0.7</v>
      </c>
      <c r="H1127">
        <v>3</v>
      </c>
      <c r="I1127">
        <v>170</v>
      </c>
      <c r="J1127">
        <v>1</v>
      </c>
      <c r="K1127">
        <v>1</v>
      </c>
      <c r="L1127">
        <v>94309</v>
      </c>
      <c r="M1127">
        <v>0</v>
      </c>
      <c r="N1127">
        <v>0</v>
      </c>
      <c r="O1127">
        <v>1</v>
      </c>
      <c r="Q1127">
        <v>0</v>
      </c>
      <c r="R1127">
        <v>0</v>
      </c>
      <c r="S1127">
        <v>0</v>
      </c>
      <c r="T1127">
        <v>5</v>
      </c>
      <c r="U1127">
        <v>1</v>
      </c>
      <c r="V1127">
        <v>0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</row>
    <row r="1128" spans="1:29" x14ac:dyDescent="0.35">
      <c r="A1128">
        <v>3771</v>
      </c>
      <c r="B1128">
        <v>3771</v>
      </c>
      <c r="C1128">
        <v>40</v>
      </c>
      <c r="D1128">
        <v>16</v>
      </c>
      <c r="E1128">
        <v>75</v>
      </c>
      <c r="F1128">
        <v>3</v>
      </c>
      <c r="G1128">
        <v>2.33</v>
      </c>
      <c r="H1128">
        <v>1</v>
      </c>
      <c r="I1128">
        <v>79</v>
      </c>
      <c r="J1128">
        <v>0</v>
      </c>
      <c r="K1128">
        <v>0</v>
      </c>
      <c r="L1128">
        <v>94306</v>
      </c>
      <c r="M1128">
        <v>0</v>
      </c>
      <c r="N1128">
        <v>0</v>
      </c>
      <c r="O1128">
        <v>0</v>
      </c>
      <c r="Q1128">
        <v>1</v>
      </c>
      <c r="R1128">
        <v>0</v>
      </c>
      <c r="S1128">
        <v>0</v>
      </c>
      <c r="T1128">
        <v>5</v>
      </c>
      <c r="U1128">
        <v>1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</row>
    <row r="1129" spans="1:29" x14ac:dyDescent="0.35">
      <c r="A1129">
        <v>3779</v>
      </c>
      <c r="B1129">
        <v>3779</v>
      </c>
      <c r="C1129">
        <v>66</v>
      </c>
      <c r="D1129">
        <v>41</v>
      </c>
      <c r="E1129">
        <v>14</v>
      </c>
      <c r="F1129">
        <v>4</v>
      </c>
      <c r="G1129">
        <v>0.6</v>
      </c>
      <c r="H1129">
        <v>2</v>
      </c>
      <c r="I1129">
        <v>0</v>
      </c>
      <c r="J1129">
        <v>0</v>
      </c>
      <c r="K1129">
        <v>0</v>
      </c>
      <c r="L1129">
        <v>95814</v>
      </c>
      <c r="M1129">
        <v>0</v>
      </c>
      <c r="N1129">
        <v>0</v>
      </c>
      <c r="O1129">
        <v>0</v>
      </c>
      <c r="Q1129">
        <v>0</v>
      </c>
      <c r="R1129">
        <v>0</v>
      </c>
      <c r="S1129">
        <v>0</v>
      </c>
      <c r="T1129">
        <v>5</v>
      </c>
      <c r="U1129">
        <v>1</v>
      </c>
      <c r="V1129">
        <v>0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</row>
    <row r="1130" spans="1:29" x14ac:dyDescent="0.35">
      <c r="A1130">
        <v>3785</v>
      </c>
      <c r="B1130">
        <v>3785</v>
      </c>
      <c r="C1130">
        <v>30</v>
      </c>
      <c r="D1130">
        <v>6</v>
      </c>
      <c r="E1130">
        <v>115</v>
      </c>
      <c r="F1130">
        <v>4</v>
      </c>
      <c r="G1130">
        <v>3.8</v>
      </c>
      <c r="H1130">
        <v>2</v>
      </c>
      <c r="I1130">
        <v>0</v>
      </c>
      <c r="J1130">
        <v>1</v>
      </c>
      <c r="K1130">
        <v>0</v>
      </c>
      <c r="L1130">
        <v>94611</v>
      </c>
      <c r="M1130">
        <v>1</v>
      </c>
      <c r="N1130">
        <v>0</v>
      </c>
      <c r="O1130">
        <v>0</v>
      </c>
      <c r="Q1130">
        <v>0</v>
      </c>
      <c r="R1130">
        <v>1</v>
      </c>
      <c r="S1130">
        <v>1</v>
      </c>
      <c r="T1130">
        <v>14</v>
      </c>
      <c r="U1130">
        <v>0.24242424242423999</v>
      </c>
      <c r="V1130">
        <v>0.75757575757575002</v>
      </c>
      <c r="W1130">
        <v>0.24242424242423999</v>
      </c>
      <c r="X1130">
        <v>0.75757575757575002</v>
      </c>
      <c r="Y1130">
        <v>0.44444444444443998</v>
      </c>
      <c r="Z1130">
        <v>0.55555555555555003</v>
      </c>
      <c r="AA1130">
        <v>-0.24242424242423999</v>
      </c>
      <c r="AB1130">
        <v>0.24242424242424901</v>
      </c>
      <c r="AC1130">
        <v>1</v>
      </c>
    </row>
    <row r="1131" spans="1:29" x14ac:dyDescent="0.35">
      <c r="A1131">
        <v>3787</v>
      </c>
      <c r="B1131">
        <v>3787</v>
      </c>
      <c r="C1131">
        <v>54</v>
      </c>
      <c r="D1131">
        <v>28</v>
      </c>
      <c r="E1131">
        <v>90</v>
      </c>
      <c r="F1131">
        <v>1</v>
      </c>
      <c r="G1131">
        <v>0.3</v>
      </c>
      <c r="H1131">
        <v>1</v>
      </c>
      <c r="I1131">
        <v>0</v>
      </c>
      <c r="J1131">
        <v>1</v>
      </c>
      <c r="K1131">
        <v>0</v>
      </c>
      <c r="L1131">
        <v>91301</v>
      </c>
      <c r="M1131">
        <v>0</v>
      </c>
      <c r="N1131">
        <v>0</v>
      </c>
      <c r="O1131">
        <v>0</v>
      </c>
      <c r="Q1131">
        <v>1</v>
      </c>
      <c r="R1131">
        <v>0</v>
      </c>
      <c r="S1131">
        <v>0</v>
      </c>
      <c r="T1131">
        <v>5</v>
      </c>
      <c r="U1131">
        <v>1</v>
      </c>
      <c r="V1131">
        <v>0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</row>
    <row r="1132" spans="1:29" x14ac:dyDescent="0.35">
      <c r="A1132">
        <v>3793</v>
      </c>
      <c r="B1132">
        <v>3793</v>
      </c>
      <c r="C1132">
        <v>62</v>
      </c>
      <c r="D1132">
        <v>36</v>
      </c>
      <c r="E1132">
        <v>109</v>
      </c>
      <c r="F1132">
        <v>4</v>
      </c>
      <c r="G1132">
        <v>1.7</v>
      </c>
      <c r="H1132">
        <v>3</v>
      </c>
      <c r="I1132">
        <v>0</v>
      </c>
      <c r="J1132">
        <v>1</v>
      </c>
      <c r="K1132">
        <v>0</v>
      </c>
      <c r="L1132">
        <v>92709</v>
      </c>
      <c r="M1132">
        <v>0</v>
      </c>
      <c r="N1132">
        <v>0</v>
      </c>
      <c r="O1132">
        <v>0</v>
      </c>
      <c r="Q1132">
        <v>0</v>
      </c>
      <c r="R1132">
        <v>0</v>
      </c>
      <c r="S1132">
        <v>0</v>
      </c>
      <c r="T1132">
        <v>13</v>
      </c>
      <c r="U1132">
        <v>0.88607594936708001</v>
      </c>
      <c r="V1132">
        <v>0.11392405063291</v>
      </c>
      <c r="W1132">
        <v>0.88607594936708001</v>
      </c>
      <c r="X1132">
        <v>0.11392405063291</v>
      </c>
      <c r="Y1132">
        <v>0.86842105263156999</v>
      </c>
      <c r="Z1132">
        <v>0.13157894736841999</v>
      </c>
      <c r="AA1132">
        <v>0.11392405063291999</v>
      </c>
      <c r="AB1132">
        <v>-0.11392405063291</v>
      </c>
      <c r="AC1132">
        <v>0</v>
      </c>
    </row>
    <row r="1133" spans="1:29" x14ac:dyDescent="0.35">
      <c r="A1133">
        <v>3794</v>
      </c>
      <c r="B1133">
        <v>3794</v>
      </c>
      <c r="C1133">
        <v>54</v>
      </c>
      <c r="D1133">
        <v>28</v>
      </c>
      <c r="E1133">
        <v>140</v>
      </c>
      <c r="F1133">
        <v>1</v>
      </c>
      <c r="G1133">
        <v>2.9</v>
      </c>
      <c r="H1133">
        <v>1</v>
      </c>
      <c r="I1133">
        <v>0</v>
      </c>
      <c r="J1133">
        <v>1</v>
      </c>
      <c r="K1133">
        <v>0</v>
      </c>
      <c r="L1133">
        <v>91711</v>
      </c>
      <c r="M1133">
        <v>0</v>
      </c>
      <c r="N1133">
        <v>0</v>
      </c>
      <c r="O1133">
        <v>0</v>
      </c>
      <c r="Q1133">
        <v>1</v>
      </c>
      <c r="R1133">
        <v>0</v>
      </c>
      <c r="S1133">
        <v>0</v>
      </c>
      <c r="T1133">
        <v>22</v>
      </c>
      <c r="U1133">
        <v>1</v>
      </c>
      <c r="V1133">
        <v>0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</row>
    <row r="1134" spans="1:29" x14ac:dyDescent="0.35">
      <c r="A1134">
        <v>3797</v>
      </c>
      <c r="B1134">
        <v>3797</v>
      </c>
      <c r="C1134">
        <v>24</v>
      </c>
      <c r="D1134">
        <v>-2</v>
      </c>
      <c r="E1134">
        <v>50</v>
      </c>
      <c r="F1134">
        <v>3</v>
      </c>
      <c r="G1134">
        <v>2.4</v>
      </c>
      <c r="H1134">
        <v>2</v>
      </c>
      <c r="I1134">
        <v>0</v>
      </c>
      <c r="J1134">
        <v>0</v>
      </c>
      <c r="K1134">
        <v>0</v>
      </c>
      <c r="L1134">
        <v>94920</v>
      </c>
      <c r="M1134">
        <v>0</v>
      </c>
      <c r="N1134">
        <v>1</v>
      </c>
      <c r="O1134">
        <v>0</v>
      </c>
      <c r="Q1134">
        <v>0</v>
      </c>
      <c r="R1134">
        <v>0</v>
      </c>
      <c r="S1134">
        <v>0</v>
      </c>
      <c r="T1134">
        <v>5</v>
      </c>
      <c r="U1134">
        <v>1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</row>
    <row r="1135" spans="1:29" x14ac:dyDescent="0.35">
      <c r="A1135">
        <v>3800</v>
      </c>
      <c r="B1135">
        <v>3800</v>
      </c>
      <c r="C1135">
        <v>37</v>
      </c>
      <c r="D1135">
        <v>11</v>
      </c>
      <c r="E1135">
        <v>44</v>
      </c>
      <c r="F1135">
        <v>4</v>
      </c>
      <c r="G1135">
        <v>0.2</v>
      </c>
      <c r="H1135">
        <v>1</v>
      </c>
      <c r="I1135">
        <v>0</v>
      </c>
      <c r="J1135">
        <v>0</v>
      </c>
      <c r="K1135">
        <v>1</v>
      </c>
      <c r="L1135">
        <v>93109</v>
      </c>
      <c r="M1135">
        <v>0</v>
      </c>
      <c r="N1135">
        <v>0</v>
      </c>
      <c r="O1135">
        <v>0</v>
      </c>
      <c r="Q1135">
        <v>1</v>
      </c>
      <c r="R1135">
        <v>0</v>
      </c>
      <c r="S1135">
        <v>0</v>
      </c>
      <c r="T1135">
        <v>5</v>
      </c>
      <c r="U1135">
        <v>1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</row>
    <row r="1136" spans="1:29" x14ac:dyDescent="0.35">
      <c r="A1136">
        <v>3806</v>
      </c>
      <c r="B1136">
        <v>3806</v>
      </c>
      <c r="C1136">
        <v>29</v>
      </c>
      <c r="D1136">
        <v>5</v>
      </c>
      <c r="E1136">
        <v>84</v>
      </c>
      <c r="F1136">
        <v>3</v>
      </c>
      <c r="G1136">
        <v>0.8</v>
      </c>
      <c r="H1136">
        <v>1</v>
      </c>
      <c r="I1136">
        <v>0</v>
      </c>
      <c r="J1136">
        <v>0</v>
      </c>
      <c r="K1136">
        <v>0</v>
      </c>
      <c r="L1136">
        <v>93109</v>
      </c>
      <c r="M1136">
        <v>0</v>
      </c>
      <c r="N1136">
        <v>0</v>
      </c>
      <c r="O1136">
        <v>0</v>
      </c>
      <c r="Q1136">
        <v>1</v>
      </c>
      <c r="R1136">
        <v>0</v>
      </c>
      <c r="S1136">
        <v>0</v>
      </c>
      <c r="T1136">
        <v>5</v>
      </c>
      <c r="U1136">
        <v>1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</row>
    <row r="1137" spans="1:29" x14ac:dyDescent="0.35">
      <c r="A1137">
        <v>3810</v>
      </c>
      <c r="B1137">
        <v>3810</v>
      </c>
      <c r="C1137">
        <v>26</v>
      </c>
      <c r="D1137">
        <v>2</v>
      </c>
      <c r="E1137">
        <v>62</v>
      </c>
      <c r="F1137">
        <v>4</v>
      </c>
      <c r="G1137">
        <v>1.6</v>
      </c>
      <c r="H1137">
        <v>1</v>
      </c>
      <c r="I1137">
        <v>0</v>
      </c>
      <c r="J1137">
        <v>0</v>
      </c>
      <c r="K1137">
        <v>0</v>
      </c>
      <c r="L1137">
        <v>94080</v>
      </c>
      <c r="M1137">
        <v>0</v>
      </c>
      <c r="N1137">
        <v>1</v>
      </c>
      <c r="O1137">
        <v>0</v>
      </c>
      <c r="Q1137">
        <v>1</v>
      </c>
      <c r="R1137">
        <v>0</v>
      </c>
      <c r="S1137">
        <v>0</v>
      </c>
      <c r="T1137">
        <v>5</v>
      </c>
      <c r="U1137">
        <v>1</v>
      </c>
      <c r="V1137">
        <v>0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</row>
    <row r="1138" spans="1:29" x14ac:dyDescent="0.35">
      <c r="A1138">
        <v>3822</v>
      </c>
      <c r="B1138">
        <v>3822</v>
      </c>
      <c r="C1138">
        <v>35</v>
      </c>
      <c r="D1138">
        <v>9</v>
      </c>
      <c r="E1138">
        <v>188</v>
      </c>
      <c r="F1138">
        <v>2</v>
      </c>
      <c r="G1138">
        <v>3.7</v>
      </c>
      <c r="H1138">
        <v>2</v>
      </c>
      <c r="I1138">
        <v>259</v>
      </c>
      <c r="J1138">
        <v>1</v>
      </c>
      <c r="K1138">
        <v>0</v>
      </c>
      <c r="L1138">
        <v>92220</v>
      </c>
      <c r="M1138">
        <v>1</v>
      </c>
      <c r="N1138">
        <v>0</v>
      </c>
      <c r="O1138">
        <v>0</v>
      </c>
      <c r="Q1138">
        <v>0</v>
      </c>
      <c r="R1138">
        <v>1</v>
      </c>
      <c r="S1138">
        <v>1</v>
      </c>
      <c r="T1138">
        <v>10</v>
      </c>
      <c r="U1138">
        <v>0</v>
      </c>
      <c r="V1138">
        <v>1</v>
      </c>
      <c r="W1138">
        <v>0</v>
      </c>
      <c r="X1138">
        <v>1</v>
      </c>
      <c r="Y1138">
        <v>0</v>
      </c>
      <c r="Z1138">
        <v>1</v>
      </c>
      <c r="AA1138">
        <v>0</v>
      </c>
      <c r="AB1138">
        <v>0</v>
      </c>
      <c r="AC1138">
        <v>1</v>
      </c>
    </row>
    <row r="1139" spans="1:29" x14ac:dyDescent="0.35">
      <c r="A1139">
        <v>3823</v>
      </c>
      <c r="B1139">
        <v>3823</v>
      </c>
      <c r="C1139">
        <v>63</v>
      </c>
      <c r="D1139">
        <v>33</v>
      </c>
      <c r="E1139">
        <v>178</v>
      </c>
      <c r="F1139">
        <v>4</v>
      </c>
      <c r="G1139">
        <v>9</v>
      </c>
      <c r="H1139">
        <v>3</v>
      </c>
      <c r="I1139">
        <v>0</v>
      </c>
      <c r="J1139">
        <v>0</v>
      </c>
      <c r="K1139">
        <v>0</v>
      </c>
      <c r="L1139">
        <v>91768</v>
      </c>
      <c r="M1139">
        <v>1</v>
      </c>
      <c r="N1139">
        <v>0</v>
      </c>
      <c r="O1139">
        <v>0</v>
      </c>
      <c r="Q1139">
        <v>0</v>
      </c>
      <c r="R1139">
        <v>1</v>
      </c>
      <c r="S1139">
        <v>1</v>
      </c>
      <c r="T1139">
        <v>10</v>
      </c>
      <c r="U1139">
        <v>0</v>
      </c>
      <c r="V1139">
        <v>1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0</v>
      </c>
      <c r="AC1139">
        <v>1</v>
      </c>
    </row>
    <row r="1140" spans="1:29" x14ac:dyDescent="0.35">
      <c r="A1140">
        <v>3826</v>
      </c>
      <c r="B1140">
        <v>3826</v>
      </c>
      <c r="C1140">
        <v>30</v>
      </c>
      <c r="D1140">
        <v>6</v>
      </c>
      <c r="E1140">
        <v>69</v>
      </c>
      <c r="F1140">
        <v>4</v>
      </c>
      <c r="G1140">
        <v>3.4</v>
      </c>
      <c r="H1140">
        <v>1</v>
      </c>
      <c r="I1140">
        <v>188</v>
      </c>
      <c r="J1140">
        <v>0</v>
      </c>
      <c r="K1140">
        <v>1</v>
      </c>
      <c r="L1140">
        <v>94305</v>
      </c>
      <c r="M1140">
        <v>0</v>
      </c>
      <c r="N1140">
        <v>0</v>
      </c>
      <c r="O1140">
        <v>0</v>
      </c>
      <c r="Q1140">
        <v>1</v>
      </c>
      <c r="R1140">
        <v>0</v>
      </c>
      <c r="S1140">
        <v>0</v>
      </c>
      <c r="T1140">
        <v>15</v>
      </c>
      <c r="U1140">
        <v>0.91935483870967005</v>
      </c>
      <c r="V1140">
        <v>8.0645161290319997E-2</v>
      </c>
      <c r="W1140">
        <v>0.91935483870967005</v>
      </c>
      <c r="X1140">
        <v>8.0645161290319997E-2</v>
      </c>
      <c r="Y1140">
        <v>0.86</v>
      </c>
      <c r="Z1140">
        <v>0.14000000000000001</v>
      </c>
      <c r="AA1140">
        <v>8.0645161290329906E-2</v>
      </c>
      <c r="AB1140">
        <v>-8.0645161290319997E-2</v>
      </c>
      <c r="AC1140">
        <v>0</v>
      </c>
    </row>
    <row r="1141" spans="1:29" x14ac:dyDescent="0.35">
      <c r="A1141">
        <v>3829</v>
      </c>
      <c r="B1141">
        <v>3829</v>
      </c>
      <c r="C1141">
        <v>31</v>
      </c>
      <c r="D1141">
        <v>6</v>
      </c>
      <c r="E1141">
        <v>44</v>
      </c>
      <c r="F1141">
        <v>4</v>
      </c>
      <c r="G1141">
        <v>0.8</v>
      </c>
      <c r="H1141">
        <v>1</v>
      </c>
      <c r="I1141">
        <v>122</v>
      </c>
      <c r="J1141">
        <v>1</v>
      </c>
      <c r="K1141">
        <v>0</v>
      </c>
      <c r="L1141">
        <v>95616</v>
      </c>
      <c r="M1141">
        <v>0</v>
      </c>
      <c r="N1141">
        <v>0</v>
      </c>
      <c r="O1141">
        <v>0</v>
      </c>
      <c r="Q1141">
        <v>1</v>
      </c>
      <c r="R1141">
        <v>0</v>
      </c>
      <c r="S1141">
        <v>0</v>
      </c>
      <c r="T1141">
        <v>5</v>
      </c>
      <c r="U1141">
        <v>1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</row>
    <row r="1142" spans="1:29" x14ac:dyDescent="0.35">
      <c r="A1142">
        <v>3830</v>
      </c>
      <c r="B1142">
        <v>3830</v>
      </c>
      <c r="C1142">
        <v>65</v>
      </c>
      <c r="D1142">
        <v>39</v>
      </c>
      <c r="E1142">
        <v>44</v>
      </c>
      <c r="F1142">
        <v>1</v>
      </c>
      <c r="G1142">
        <v>0.5</v>
      </c>
      <c r="H1142">
        <v>3</v>
      </c>
      <c r="I1142">
        <v>0</v>
      </c>
      <c r="J1142">
        <v>1</v>
      </c>
      <c r="K1142">
        <v>1</v>
      </c>
      <c r="L1142">
        <v>92038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5</v>
      </c>
      <c r="U1142">
        <v>1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</row>
    <row r="1143" spans="1:29" x14ac:dyDescent="0.35">
      <c r="A1143">
        <v>3832</v>
      </c>
      <c r="B1143">
        <v>3832</v>
      </c>
      <c r="C1143">
        <v>37</v>
      </c>
      <c r="D1143">
        <v>12</v>
      </c>
      <c r="E1143">
        <v>132</v>
      </c>
      <c r="F1143">
        <v>2</v>
      </c>
      <c r="G1143">
        <v>3.9</v>
      </c>
      <c r="H1143">
        <v>1</v>
      </c>
      <c r="I1143">
        <v>0</v>
      </c>
      <c r="J1143">
        <v>0</v>
      </c>
      <c r="K1143">
        <v>0</v>
      </c>
      <c r="L1143">
        <v>90089</v>
      </c>
      <c r="M1143">
        <v>0</v>
      </c>
      <c r="N1143">
        <v>0</v>
      </c>
      <c r="O1143">
        <v>0</v>
      </c>
      <c r="Q1143">
        <v>1</v>
      </c>
      <c r="R1143">
        <v>0</v>
      </c>
      <c r="S1143">
        <v>0</v>
      </c>
      <c r="T1143">
        <v>22</v>
      </c>
      <c r="U1143">
        <v>1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</row>
    <row r="1144" spans="1:29" x14ac:dyDescent="0.35">
      <c r="A1144">
        <v>3834</v>
      </c>
      <c r="B1144">
        <v>3834</v>
      </c>
      <c r="C1144">
        <v>33</v>
      </c>
      <c r="D1144">
        <v>9</v>
      </c>
      <c r="E1144">
        <v>83</v>
      </c>
      <c r="F1144">
        <v>1</v>
      </c>
      <c r="G1144">
        <v>0.1</v>
      </c>
      <c r="H1144">
        <v>1</v>
      </c>
      <c r="I1144">
        <v>0</v>
      </c>
      <c r="J1144">
        <v>1</v>
      </c>
      <c r="K1144">
        <v>0</v>
      </c>
      <c r="L1144">
        <v>93943</v>
      </c>
      <c r="M1144">
        <v>0</v>
      </c>
      <c r="N1144">
        <v>0</v>
      </c>
      <c r="O1144">
        <v>0</v>
      </c>
      <c r="Q1144">
        <v>1</v>
      </c>
      <c r="R1144">
        <v>0</v>
      </c>
      <c r="S1144">
        <v>0</v>
      </c>
      <c r="T1144">
        <v>5</v>
      </c>
      <c r="U1144">
        <v>1</v>
      </c>
      <c r="V1144">
        <v>0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</row>
    <row r="1145" spans="1:29" x14ac:dyDescent="0.35">
      <c r="A1145">
        <v>3835</v>
      </c>
      <c r="B1145">
        <v>3835</v>
      </c>
      <c r="C1145">
        <v>48</v>
      </c>
      <c r="D1145">
        <v>22</v>
      </c>
      <c r="E1145">
        <v>28</v>
      </c>
      <c r="F1145">
        <v>1</v>
      </c>
      <c r="G1145">
        <v>1.4</v>
      </c>
      <c r="H1145">
        <v>3</v>
      </c>
      <c r="I1145">
        <v>75</v>
      </c>
      <c r="J1145">
        <v>1</v>
      </c>
      <c r="K1145">
        <v>0</v>
      </c>
      <c r="L1145">
        <v>94720</v>
      </c>
      <c r="M1145">
        <v>0</v>
      </c>
      <c r="N1145">
        <v>0</v>
      </c>
      <c r="O1145">
        <v>0</v>
      </c>
      <c r="Q1145">
        <v>0</v>
      </c>
      <c r="R1145">
        <v>0</v>
      </c>
      <c r="S1145">
        <v>0</v>
      </c>
      <c r="T1145">
        <v>5</v>
      </c>
      <c r="U1145">
        <v>1</v>
      </c>
      <c r="V1145">
        <v>0</v>
      </c>
      <c r="W1145">
        <v>1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</row>
    <row r="1146" spans="1:29" x14ac:dyDescent="0.35">
      <c r="A1146">
        <v>3839</v>
      </c>
      <c r="B1146">
        <v>3839</v>
      </c>
      <c r="C1146">
        <v>37</v>
      </c>
      <c r="D1146">
        <v>11</v>
      </c>
      <c r="E1146">
        <v>71</v>
      </c>
      <c r="F1146">
        <v>2</v>
      </c>
      <c r="G1146">
        <v>1.8</v>
      </c>
      <c r="H1146">
        <v>1</v>
      </c>
      <c r="I1146">
        <v>127</v>
      </c>
      <c r="J1146">
        <v>0</v>
      </c>
      <c r="K1146">
        <v>0</v>
      </c>
      <c r="L1146">
        <v>94501</v>
      </c>
      <c r="M1146">
        <v>0</v>
      </c>
      <c r="N1146">
        <v>1</v>
      </c>
      <c r="O1146">
        <v>0</v>
      </c>
      <c r="Q1146">
        <v>1</v>
      </c>
      <c r="R1146">
        <v>0</v>
      </c>
      <c r="S1146">
        <v>0</v>
      </c>
      <c r="T1146">
        <v>5</v>
      </c>
      <c r="U1146">
        <v>1</v>
      </c>
      <c r="V1146">
        <v>0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</row>
    <row r="1147" spans="1:29" x14ac:dyDescent="0.35">
      <c r="A1147">
        <v>3841</v>
      </c>
      <c r="B1147">
        <v>3841</v>
      </c>
      <c r="C1147">
        <v>56</v>
      </c>
      <c r="D1147">
        <v>31</v>
      </c>
      <c r="E1147">
        <v>35</v>
      </c>
      <c r="F1147">
        <v>3</v>
      </c>
      <c r="G1147">
        <v>0.1</v>
      </c>
      <c r="H1147">
        <v>2</v>
      </c>
      <c r="I1147">
        <v>114</v>
      </c>
      <c r="J1147">
        <v>0</v>
      </c>
      <c r="K1147">
        <v>0</v>
      </c>
      <c r="L1147">
        <v>95211</v>
      </c>
      <c r="M1147">
        <v>0</v>
      </c>
      <c r="N1147">
        <v>0</v>
      </c>
      <c r="O1147">
        <v>0</v>
      </c>
      <c r="Q1147">
        <v>0</v>
      </c>
      <c r="R1147">
        <v>0</v>
      </c>
      <c r="S1147">
        <v>0</v>
      </c>
      <c r="T1147">
        <v>5</v>
      </c>
      <c r="U1147">
        <v>1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</row>
    <row r="1148" spans="1:29" x14ac:dyDescent="0.35">
      <c r="A1148">
        <v>3846</v>
      </c>
      <c r="B1148">
        <v>3846</v>
      </c>
      <c r="C1148">
        <v>26</v>
      </c>
      <c r="D1148">
        <v>1</v>
      </c>
      <c r="E1148">
        <v>54</v>
      </c>
      <c r="F1148">
        <v>4</v>
      </c>
      <c r="G1148">
        <v>0.6</v>
      </c>
      <c r="H1148">
        <v>2</v>
      </c>
      <c r="I1148">
        <v>230</v>
      </c>
      <c r="J1148">
        <v>0</v>
      </c>
      <c r="K1148">
        <v>0</v>
      </c>
      <c r="L1148">
        <v>94061</v>
      </c>
      <c r="M1148">
        <v>0</v>
      </c>
      <c r="N1148">
        <v>0</v>
      </c>
      <c r="O1148">
        <v>0</v>
      </c>
      <c r="Q1148">
        <v>0</v>
      </c>
      <c r="R1148">
        <v>0</v>
      </c>
      <c r="S1148">
        <v>0</v>
      </c>
      <c r="T1148">
        <v>5</v>
      </c>
      <c r="U1148">
        <v>1</v>
      </c>
      <c r="V1148">
        <v>0</v>
      </c>
      <c r="W1148">
        <v>1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</row>
    <row r="1149" spans="1:29" x14ac:dyDescent="0.35">
      <c r="A1149">
        <v>3847</v>
      </c>
      <c r="B1149">
        <v>3847</v>
      </c>
      <c r="C1149">
        <v>31</v>
      </c>
      <c r="D1149">
        <v>5</v>
      </c>
      <c r="E1149">
        <v>43</v>
      </c>
      <c r="F1149">
        <v>1</v>
      </c>
      <c r="G1149">
        <v>1.5</v>
      </c>
      <c r="H1149">
        <v>1</v>
      </c>
      <c r="I1149">
        <v>0</v>
      </c>
      <c r="J1149">
        <v>0</v>
      </c>
      <c r="K1149">
        <v>0</v>
      </c>
      <c r="L1149">
        <v>94720</v>
      </c>
      <c r="M1149">
        <v>0</v>
      </c>
      <c r="N1149">
        <v>0</v>
      </c>
      <c r="O1149">
        <v>0</v>
      </c>
      <c r="Q1149">
        <v>1</v>
      </c>
      <c r="R1149">
        <v>0</v>
      </c>
      <c r="S1149">
        <v>0</v>
      </c>
      <c r="T1149">
        <v>5</v>
      </c>
      <c r="U1149">
        <v>1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</row>
    <row r="1150" spans="1:29" x14ac:dyDescent="0.35">
      <c r="A1150">
        <v>3849</v>
      </c>
      <c r="B1150">
        <v>3849</v>
      </c>
      <c r="C1150">
        <v>57</v>
      </c>
      <c r="D1150">
        <v>32</v>
      </c>
      <c r="E1150">
        <v>84</v>
      </c>
      <c r="F1150">
        <v>4</v>
      </c>
      <c r="G1150">
        <v>1.3</v>
      </c>
      <c r="H1150">
        <v>3</v>
      </c>
      <c r="I1150">
        <v>0</v>
      </c>
      <c r="J1150">
        <v>0</v>
      </c>
      <c r="K1150">
        <v>1</v>
      </c>
      <c r="L1150">
        <v>93106</v>
      </c>
      <c r="M1150">
        <v>0</v>
      </c>
      <c r="N1150">
        <v>0</v>
      </c>
      <c r="O1150">
        <v>0</v>
      </c>
      <c r="Q1150">
        <v>0</v>
      </c>
      <c r="R1150">
        <v>0</v>
      </c>
      <c r="S1150">
        <v>0</v>
      </c>
      <c r="T1150">
        <v>5</v>
      </c>
      <c r="U1150">
        <v>1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</row>
    <row r="1151" spans="1:29" x14ac:dyDescent="0.35">
      <c r="A1151">
        <v>3851</v>
      </c>
      <c r="B1151">
        <v>3851</v>
      </c>
      <c r="C1151">
        <v>48</v>
      </c>
      <c r="D1151">
        <v>23</v>
      </c>
      <c r="E1151">
        <v>15</v>
      </c>
      <c r="F1151">
        <v>4</v>
      </c>
      <c r="G1151">
        <v>0.8</v>
      </c>
      <c r="H1151">
        <v>1</v>
      </c>
      <c r="I1151">
        <v>0</v>
      </c>
      <c r="J1151">
        <v>1</v>
      </c>
      <c r="K1151">
        <v>0</v>
      </c>
      <c r="L1151">
        <v>94061</v>
      </c>
      <c r="M1151">
        <v>0</v>
      </c>
      <c r="N1151">
        <v>0</v>
      </c>
      <c r="O1151">
        <v>0</v>
      </c>
      <c r="Q1151">
        <v>1</v>
      </c>
      <c r="R1151">
        <v>0</v>
      </c>
      <c r="S1151">
        <v>0</v>
      </c>
      <c r="T1151">
        <v>5</v>
      </c>
      <c r="U1151">
        <v>1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</row>
    <row r="1152" spans="1:29" x14ac:dyDescent="0.35">
      <c r="A1152">
        <v>3852</v>
      </c>
      <c r="B1152">
        <v>3852</v>
      </c>
      <c r="C1152">
        <v>46</v>
      </c>
      <c r="D1152">
        <v>21</v>
      </c>
      <c r="E1152">
        <v>99</v>
      </c>
      <c r="F1152">
        <v>2</v>
      </c>
      <c r="G1152">
        <v>3.8</v>
      </c>
      <c r="H1152">
        <v>3</v>
      </c>
      <c r="I1152">
        <v>194</v>
      </c>
      <c r="J1152">
        <v>1</v>
      </c>
      <c r="K1152">
        <v>0</v>
      </c>
      <c r="L1152">
        <v>90277</v>
      </c>
      <c r="M1152">
        <v>0</v>
      </c>
      <c r="N1152">
        <v>0</v>
      </c>
      <c r="O1152">
        <v>0</v>
      </c>
      <c r="Q1152">
        <v>0</v>
      </c>
      <c r="R1152">
        <v>0</v>
      </c>
      <c r="S1152">
        <v>1</v>
      </c>
      <c r="T1152">
        <v>14</v>
      </c>
      <c r="U1152">
        <v>0.24242424242423999</v>
      </c>
      <c r="V1152">
        <v>0.75757575757575002</v>
      </c>
      <c r="W1152">
        <v>0.24242424242423999</v>
      </c>
      <c r="X1152">
        <v>0.75757575757575002</v>
      </c>
      <c r="Y1152">
        <v>0.44444444444443998</v>
      </c>
      <c r="Z1152">
        <v>0.55555555555555003</v>
      </c>
      <c r="AA1152">
        <v>0.75757575757576001</v>
      </c>
      <c r="AB1152">
        <v>-0.75757575757575002</v>
      </c>
      <c r="AC1152">
        <v>1</v>
      </c>
    </row>
    <row r="1153" spans="1:29" x14ac:dyDescent="0.35">
      <c r="A1153">
        <v>3853</v>
      </c>
      <c r="B1153">
        <v>3853</v>
      </c>
      <c r="C1153">
        <v>33</v>
      </c>
      <c r="D1153">
        <v>7</v>
      </c>
      <c r="E1153">
        <v>15</v>
      </c>
      <c r="F1153">
        <v>1</v>
      </c>
      <c r="G1153">
        <v>0.4</v>
      </c>
      <c r="H1153">
        <v>2</v>
      </c>
      <c r="I1153">
        <v>82</v>
      </c>
      <c r="J1153">
        <v>1</v>
      </c>
      <c r="K1153">
        <v>1</v>
      </c>
      <c r="L1153">
        <v>92152</v>
      </c>
      <c r="M1153">
        <v>0</v>
      </c>
      <c r="N1153">
        <v>1</v>
      </c>
      <c r="O1153">
        <v>1</v>
      </c>
      <c r="Q1153">
        <v>0</v>
      </c>
      <c r="R1153">
        <v>0</v>
      </c>
      <c r="S1153">
        <v>0</v>
      </c>
      <c r="T1153">
        <v>5</v>
      </c>
      <c r="U1153">
        <v>1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</row>
    <row r="1154" spans="1:29" x14ac:dyDescent="0.35">
      <c r="A1154">
        <v>3854</v>
      </c>
      <c r="B1154">
        <v>3854</v>
      </c>
      <c r="C1154">
        <v>45</v>
      </c>
      <c r="D1154">
        <v>21</v>
      </c>
      <c r="E1154">
        <v>83</v>
      </c>
      <c r="F1154">
        <v>4</v>
      </c>
      <c r="G1154">
        <v>2</v>
      </c>
      <c r="H1154">
        <v>3</v>
      </c>
      <c r="I1154">
        <v>0</v>
      </c>
      <c r="J1154">
        <v>1</v>
      </c>
      <c r="K1154">
        <v>0</v>
      </c>
      <c r="L1154">
        <v>94105</v>
      </c>
      <c r="M1154">
        <v>0</v>
      </c>
      <c r="N1154">
        <v>0</v>
      </c>
      <c r="O1154">
        <v>0</v>
      </c>
      <c r="Q1154">
        <v>0</v>
      </c>
      <c r="R1154">
        <v>0</v>
      </c>
      <c r="S1154">
        <v>0</v>
      </c>
      <c r="T1154">
        <v>5</v>
      </c>
      <c r="U1154">
        <v>1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</row>
    <row r="1155" spans="1:29" x14ac:dyDescent="0.35">
      <c r="A1155">
        <v>3856</v>
      </c>
      <c r="B1155">
        <v>3856</v>
      </c>
      <c r="C1155">
        <v>42</v>
      </c>
      <c r="D1155">
        <v>18</v>
      </c>
      <c r="E1155">
        <v>143</v>
      </c>
      <c r="F1155">
        <v>1</v>
      </c>
      <c r="G1155">
        <v>1.7</v>
      </c>
      <c r="H1155">
        <v>1</v>
      </c>
      <c r="I1155">
        <v>0</v>
      </c>
      <c r="J1155">
        <v>1</v>
      </c>
      <c r="K1155">
        <v>0</v>
      </c>
      <c r="L1155">
        <v>95630</v>
      </c>
      <c r="M1155">
        <v>0</v>
      </c>
      <c r="N1155">
        <v>1</v>
      </c>
      <c r="O1155">
        <v>0</v>
      </c>
      <c r="Q1155">
        <v>1</v>
      </c>
      <c r="R1155">
        <v>0</v>
      </c>
      <c r="S1155">
        <v>0</v>
      </c>
      <c r="T1155">
        <v>22</v>
      </c>
      <c r="U1155">
        <v>1</v>
      </c>
      <c r="V1155">
        <v>0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</row>
    <row r="1156" spans="1:29" x14ac:dyDescent="0.35">
      <c r="A1156">
        <v>3861</v>
      </c>
      <c r="B1156">
        <v>3861</v>
      </c>
      <c r="C1156">
        <v>31</v>
      </c>
      <c r="D1156">
        <v>6</v>
      </c>
      <c r="E1156">
        <v>64</v>
      </c>
      <c r="F1156">
        <v>2</v>
      </c>
      <c r="G1156">
        <v>0.1</v>
      </c>
      <c r="H1156">
        <v>1</v>
      </c>
      <c r="I1156">
        <v>0</v>
      </c>
      <c r="J1156">
        <v>1</v>
      </c>
      <c r="K1156">
        <v>1</v>
      </c>
      <c r="L1156">
        <v>92121</v>
      </c>
      <c r="M1156">
        <v>0</v>
      </c>
      <c r="N1156">
        <v>0</v>
      </c>
      <c r="O1156">
        <v>0</v>
      </c>
      <c r="Q1156">
        <v>1</v>
      </c>
      <c r="R1156">
        <v>0</v>
      </c>
      <c r="S1156">
        <v>0</v>
      </c>
      <c r="T1156">
        <v>5</v>
      </c>
      <c r="U1156">
        <v>1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</row>
    <row r="1157" spans="1:29" x14ac:dyDescent="0.35">
      <c r="A1157">
        <v>3862</v>
      </c>
      <c r="B1157">
        <v>3862</v>
      </c>
      <c r="C1157">
        <v>65</v>
      </c>
      <c r="D1157">
        <v>40</v>
      </c>
      <c r="E1157">
        <v>29</v>
      </c>
      <c r="F1157">
        <v>1</v>
      </c>
      <c r="G1157">
        <v>1.5</v>
      </c>
      <c r="H1157">
        <v>2</v>
      </c>
      <c r="I1157">
        <v>0</v>
      </c>
      <c r="J1157">
        <v>0</v>
      </c>
      <c r="K1157">
        <v>0</v>
      </c>
      <c r="L1157">
        <v>90025</v>
      </c>
      <c r="M1157">
        <v>0</v>
      </c>
      <c r="N1157">
        <v>0</v>
      </c>
      <c r="O1157">
        <v>0</v>
      </c>
      <c r="Q1157">
        <v>0</v>
      </c>
      <c r="R1157">
        <v>0</v>
      </c>
      <c r="S1157">
        <v>0</v>
      </c>
      <c r="T1157">
        <v>5</v>
      </c>
      <c r="U1157">
        <v>1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</row>
    <row r="1158" spans="1:29" x14ac:dyDescent="0.35">
      <c r="A1158">
        <v>3863</v>
      </c>
      <c r="B1158">
        <v>3863</v>
      </c>
      <c r="C1158">
        <v>60</v>
      </c>
      <c r="D1158">
        <v>34</v>
      </c>
      <c r="E1158">
        <v>64</v>
      </c>
      <c r="F1158">
        <v>3</v>
      </c>
      <c r="G1158">
        <v>2.5</v>
      </c>
      <c r="H1158">
        <v>1</v>
      </c>
      <c r="I1158">
        <v>0</v>
      </c>
      <c r="J1158">
        <v>1</v>
      </c>
      <c r="K1158">
        <v>0</v>
      </c>
      <c r="L1158">
        <v>94104</v>
      </c>
      <c r="M1158">
        <v>0</v>
      </c>
      <c r="N1158">
        <v>0</v>
      </c>
      <c r="O1158">
        <v>0</v>
      </c>
      <c r="Q1158">
        <v>1</v>
      </c>
      <c r="R1158">
        <v>0</v>
      </c>
      <c r="S1158">
        <v>0</v>
      </c>
      <c r="T1158">
        <v>5</v>
      </c>
      <c r="U1158">
        <v>1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</row>
    <row r="1159" spans="1:29" x14ac:dyDescent="0.35">
      <c r="A1159">
        <v>3864</v>
      </c>
      <c r="B1159">
        <v>3864</v>
      </c>
      <c r="C1159">
        <v>34</v>
      </c>
      <c r="D1159">
        <v>10</v>
      </c>
      <c r="E1159">
        <v>21</v>
      </c>
      <c r="F1159">
        <v>4</v>
      </c>
      <c r="G1159">
        <v>0.7</v>
      </c>
      <c r="H1159">
        <v>2</v>
      </c>
      <c r="I1159">
        <v>0</v>
      </c>
      <c r="J1159">
        <v>1</v>
      </c>
      <c r="K1159">
        <v>0</v>
      </c>
      <c r="L1159">
        <v>91770</v>
      </c>
      <c r="M1159">
        <v>0</v>
      </c>
      <c r="N1159">
        <v>0</v>
      </c>
      <c r="O1159">
        <v>0</v>
      </c>
      <c r="Q1159">
        <v>0</v>
      </c>
      <c r="R1159">
        <v>0</v>
      </c>
      <c r="S1159">
        <v>0</v>
      </c>
      <c r="T1159">
        <v>5</v>
      </c>
      <c r="U1159">
        <v>1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</row>
    <row r="1160" spans="1:29" x14ac:dyDescent="0.35">
      <c r="A1160">
        <v>3877</v>
      </c>
      <c r="B1160">
        <v>3877</v>
      </c>
      <c r="C1160">
        <v>35</v>
      </c>
      <c r="D1160">
        <v>11</v>
      </c>
      <c r="E1160">
        <v>40</v>
      </c>
      <c r="F1160">
        <v>1</v>
      </c>
      <c r="G1160">
        <v>2.4</v>
      </c>
      <c r="H1160">
        <v>2</v>
      </c>
      <c r="I1160">
        <v>0</v>
      </c>
      <c r="J1160">
        <v>1</v>
      </c>
      <c r="K1160">
        <v>0</v>
      </c>
      <c r="L1160">
        <v>91784</v>
      </c>
      <c r="M1160">
        <v>0</v>
      </c>
      <c r="N1160">
        <v>0</v>
      </c>
      <c r="O1160">
        <v>0</v>
      </c>
      <c r="Q1160">
        <v>0</v>
      </c>
      <c r="R1160">
        <v>0</v>
      </c>
      <c r="S1160">
        <v>0</v>
      </c>
      <c r="T1160">
        <v>5</v>
      </c>
      <c r="U1160">
        <v>1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</row>
    <row r="1161" spans="1:29" x14ac:dyDescent="0.35">
      <c r="A1161">
        <v>3878</v>
      </c>
      <c r="B1161">
        <v>3878</v>
      </c>
      <c r="C1161">
        <v>29</v>
      </c>
      <c r="D1161">
        <v>4</v>
      </c>
      <c r="E1161">
        <v>41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0</v>
      </c>
      <c r="L1161">
        <v>93105</v>
      </c>
      <c r="M1161">
        <v>0</v>
      </c>
      <c r="N1161">
        <v>0</v>
      </c>
      <c r="O1161">
        <v>0</v>
      </c>
      <c r="Q1161">
        <v>1</v>
      </c>
      <c r="R1161">
        <v>0</v>
      </c>
      <c r="S1161">
        <v>0</v>
      </c>
      <c r="T1161">
        <v>5</v>
      </c>
      <c r="U1161">
        <v>1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</row>
    <row r="1162" spans="1:29" x14ac:dyDescent="0.35">
      <c r="A1162">
        <v>3881</v>
      </c>
      <c r="B1162">
        <v>3881</v>
      </c>
      <c r="C1162">
        <v>48</v>
      </c>
      <c r="D1162">
        <v>24</v>
      </c>
      <c r="E1162">
        <v>25</v>
      </c>
      <c r="F1162">
        <v>4</v>
      </c>
      <c r="G1162">
        <v>0.5</v>
      </c>
      <c r="H1162">
        <v>2</v>
      </c>
      <c r="I1162">
        <v>0</v>
      </c>
      <c r="J1162">
        <v>0</v>
      </c>
      <c r="K1162">
        <v>0</v>
      </c>
      <c r="L1162">
        <v>90024</v>
      </c>
      <c r="M1162">
        <v>0</v>
      </c>
      <c r="N1162">
        <v>0</v>
      </c>
      <c r="O1162">
        <v>0</v>
      </c>
      <c r="Q1162">
        <v>0</v>
      </c>
      <c r="R1162">
        <v>0</v>
      </c>
      <c r="S1162">
        <v>0</v>
      </c>
      <c r="T1162">
        <v>5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</row>
    <row r="1163" spans="1:29" x14ac:dyDescent="0.35">
      <c r="A1163">
        <v>3887</v>
      </c>
      <c r="B1163">
        <v>3887</v>
      </c>
      <c r="C1163">
        <v>67</v>
      </c>
      <c r="D1163">
        <v>43</v>
      </c>
      <c r="E1163">
        <v>79</v>
      </c>
      <c r="F1163">
        <v>4</v>
      </c>
      <c r="G1163">
        <v>1.7</v>
      </c>
      <c r="H1163">
        <v>2</v>
      </c>
      <c r="I1163">
        <v>215</v>
      </c>
      <c r="J1163">
        <v>1</v>
      </c>
      <c r="K1163">
        <v>1</v>
      </c>
      <c r="L1163">
        <v>95616</v>
      </c>
      <c r="M1163">
        <v>0</v>
      </c>
      <c r="N1163">
        <v>0</v>
      </c>
      <c r="O1163">
        <v>1</v>
      </c>
      <c r="Q1163">
        <v>0</v>
      </c>
      <c r="R1163">
        <v>0</v>
      </c>
      <c r="S1163">
        <v>0</v>
      </c>
      <c r="T1163">
        <v>5</v>
      </c>
      <c r="U1163">
        <v>1</v>
      </c>
      <c r="V1163">
        <v>0</v>
      </c>
      <c r="W1163">
        <v>1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</row>
    <row r="1164" spans="1:29" x14ac:dyDescent="0.35">
      <c r="A1164">
        <v>3892</v>
      </c>
      <c r="B1164">
        <v>3892</v>
      </c>
      <c r="C1164">
        <v>65</v>
      </c>
      <c r="D1164">
        <v>40</v>
      </c>
      <c r="E1164">
        <v>63</v>
      </c>
      <c r="F1164">
        <v>3</v>
      </c>
      <c r="G1164">
        <v>0.5</v>
      </c>
      <c r="H1164">
        <v>2</v>
      </c>
      <c r="I1164">
        <v>0</v>
      </c>
      <c r="J1164">
        <v>1</v>
      </c>
      <c r="K1164">
        <v>0</v>
      </c>
      <c r="L1164">
        <v>94701</v>
      </c>
      <c r="M1164">
        <v>0</v>
      </c>
      <c r="N1164">
        <v>0</v>
      </c>
      <c r="O1164">
        <v>0</v>
      </c>
      <c r="Q1164">
        <v>0</v>
      </c>
      <c r="R1164">
        <v>0</v>
      </c>
      <c r="S1164">
        <v>0</v>
      </c>
      <c r="T1164">
        <v>5</v>
      </c>
      <c r="U1164">
        <v>1</v>
      </c>
      <c r="V1164">
        <v>0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</row>
    <row r="1165" spans="1:29" x14ac:dyDescent="0.35">
      <c r="A1165">
        <v>3897</v>
      </c>
      <c r="B1165">
        <v>3897</v>
      </c>
      <c r="C1165">
        <v>48</v>
      </c>
      <c r="D1165">
        <v>24</v>
      </c>
      <c r="E1165">
        <v>224</v>
      </c>
      <c r="F1165">
        <v>2</v>
      </c>
      <c r="G1165">
        <v>6.67</v>
      </c>
      <c r="H1165">
        <v>1</v>
      </c>
      <c r="I1165">
        <v>0</v>
      </c>
      <c r="J1165">
        <v>1</v>
      </c>
      <c r="K1165">
        <v>1</v>
      </c>
      <c r="L1165">
        <v>93940</v>
      </c>
      <c r="M1165">
        <v>0</v>
      </c>
      <c r="N1165">
        <v>0</v>
      </c>
      <c r="O1165">
        <v>1</v>
      </c>
      <c r="Q1165">
        <v>1</v>
      </c>
      <c r="R1165">
        <v>0</v>
      </c>
      <c r="S1165">
        <v>0</v>
      </c>
      <c r="T1165">
        <v>22</v>
      </c>
      <c r="U1165">
        <v>1</v>
      </c>
      <c r="V1165">
        <v>0</v>
      </c>
      <c r="W1165">
        <v>1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</row>
    <row r="1166" spans="1:29" x14ac:dyDescent="0.35">
      <c r="A1166">
        <v>3898</v>
      </c>
      <c r="B1166">
        <v>3898</v>
      </c>
      <c r="C1166">
        <v>56</v>
      </c>
      <c r="D1166">
        <v>31</v>
      </c>
      <c r="E1166">
        <v>64</v>
      </c>
      <c r="F1166">
        <v>2</v>
      </c>
      <c r="G1166">
        <v>2.2999999999999998</v>
      </c>
      <c r="H1166">
        <v>3</v>
      </c>
      <c r="I1166">
        <v>0</v>
      </c>
      <c r="J1166">
        <v>0</v>
      </c>
      <c r="K1166">
        <v>0</v>
      </c>
      <c r="L1166">
        <v>90245</v>
      </c>
      <c r="M1166">
        <v>0</v>
      </c>
      <c r="N1166">
        <v>0</v>
      </c>
      <c r="O1166">
        <v>0</v>
      </c>
      <c r="Q1166">
        <v>0</v>
      </c>
      <c r="R1166">
        <v>0</v>
      </c>
      <c r="S1166">
        <v>0</v>
      </c>
      <c r="T1166">
        <v>5</v>
      </c>
      <c r="U1166">
        <v>1</v>
      </c>
      <c r="V1166">
        <v>0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</row>
    <row r="1167" spans="1:29" x14ac:dyDescent="0.35">
      <c r="A1167">
        <v>3899</v>
      </c>
      <c r="B1167">
        <v>3899</v>
      </c>
      <c r="C1167">
        <v>44</v>
      </c>
      <c r="D1167">
        <v>20</v>
      </c>
      <c r="E1167">
        <v>129</v>
      </c>
      <c r="F1167">
        <v>2</v>
      </c>
      <c r="G1167">
        <v>3.3</v>
      </c>
      <c r="H1167">
        <v>1</v>
      </c>
      <c r="I1167">
        <v>0</v>
      </c>
      <c r="J1167">
        <v>1</v>
      </c>
      <c r="K1167">
        <v>0</v>
      </c>
      <c r="L1167">
        <v>96001</v>
      </c>
      <c r="M1167">
        <v>0</v>
      </c>
      <c r="N1167">
        <v>0</v>
      </c>
      <c r="O1167">
        <v>0</v>
      </c>
      <c r="Q1167">
        <v>1</v>
      </c>
      <c r="R1167">
        <v>0</v>
      </c>
      <c r="S1167">
        <v>0</v>
      </c>
      <c r="T1167">
        <v>22</v>
      </c>
      <c r="U1167">
        <v>1</v>
      </c>
      <c r="V1167">
        <v>0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</row>
    <row r="1168" spans="1:29" x14ac:dyDescent="0.35">
      <c r="A1168">
        <v>3900</v>
      </c>
      <c r="B1168">
        <v>3900</v>
      </c>
      <c r="C1168">
        <v>60</v>
      </c>
      <c r="D1168">
        <v>34</v>
      </c>
      <c r="E1168">
        <v>43</v>
      </c>
      <c r="F1168">
        <v>1</v>
      </c>
      <c r="G1168">
        <v>1.4</v>
      </c>
      <c r="H1168">
        <v>1</v>
      </c>
      <c r="I1168">
        <v>0</v>
      </c>
      <c r="J1168">
        <v>1</v>
      </c>
      <c r="K1168">
        <v>1</v>
      </c>
      <c r="L1168">
        <v>92697</v>
      </c>
      <c r="M1168">
        <v>0</v>
      </c>
      <c r="N1168">
        <v>0</v>
      </c>
      <c r="O1168">
        <v>0</v>
      </c>
      <c r="Q1168">
        <v>1</v>
      </c>
      <c r="R1168">
        <v>0</v>
      </c>
      <c r="S1168">
        <v>0</v>
      </c>
      <c r="T1168">
        <v>5</v>
      </c>
      <c r="U1168">
        <v>1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</row>
    <row r="1169" spans="1:29" x14ac:dyDescent="0.35">
      <c r="A1169">
        <v>3901</v>
      </c>
      <c r="B1169">
        <v>3901</v>
      </c>
      <c r="C1169">
        <v>51</v>
      </c>
      <c r="D1169">
        <v>27</v>
      </c>
      <c r="E1169">
        <v>12</v>
      </c>
      <c r="F1169">
        <v>3</v>
      </c>
      <c r="G1169">
        <v>0.4</v>
      </c>
      <c r="H1169">
        <v>1</v>
      </c>
      <c r="I1169">
        <v>0</v>
      </c>
      <c r="J1169">
        <v>1</v>
      </c>
      <c r="K1169">
        <v>1</v>
      </c>
      <c r="L1169">
        <v>92834</v>
      </c>
      <c r="M1169">
        <v>0</v>
      </c>
      <c r="N1169">
        <v>1</v>
      </c>
      <c r="O1169">
        <v>1</v>
      </c>
      <c r="Q1169">
        <v>1</v>
      </c>
      <c r="R1169">
        <v>0</v>
      </c>
      <c r="S1169">
        <v>0</v>
      </c>
      <c r="T1169">
        <v>5</v>
      </c>
      <c r="U1169">
        <v>1</v>
      </c>
      <c r="V1169">
        <v>0</v>
      </c>
      <c r="W1169">
        <v>1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</row>
    <row r="1170" spans="1:29" x14ac:dyDescent="0.35">
      <c r="A1170">
        <v>3905</v>
      </c>
      <c r="B1170">
        <v>3905</v>
      </c>
      <c r="C1170">
        <v>29</v>
      </c>
      <c r="D1170">
        <v>5</v>
      </c>
      <c r="E1170">
        <v>18</v>
      </c>
      <c r="F1170">
        <v>1</v>
      </c>
      <c r="G1170">
        <v>0.4</v>
      </c>
      <c r="H1170">
        <v>3</v>
      </c>
      <c r="I1170">
        <v>94</v>
      </c>
      <c r="J1170">
        <v>1</v>
      </c>
      <c r="K1170">
        <v>1</v>
      </c>
      <c r="L1170">
        <v>94122</v>
      </c>
      <c r="M1170">
        <v>0</v>
      </c>
      <c r="N1170">
        <v>0</v>
      </c>
      <c r="O1170">
        <v>0</v>
      </c>
      <c r="Q1170">
        <v>0</v>
      </c>
      <c r="R1170">
        <v>0</v>
      </c>
      <c r="S1170">
        <v>0</v>
      </c>
      <c r="T1170">
        <v>5</v>
      </c>
      <c r="U1170">
        <v>1</v>
      </c>
      <c r="V1170">
        <v>0</v>
      </c>
      <c r="W1170">
        <v>1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</row>
    <row r="1171" spans="1:29" x14ac:dyDescent="0.35">
      <c r="A1171">
        <v>3910</v>
      </c>
      <c r="B1171">
        <v>3910</v>
      </c>
      <c r="C1171">
        <v>33</v>
      </c>
      <c r="D1171">
        <v>7</v>
      </c>
      <c r="E1171">
        <v>111</v>
      </c>
      <c r="F1171">
        <v>2</v>
      </c>
      <c r="G1171">
        <v>1.3</v>
      </c>
      <c r="H1171">
        <v>1</v>
      </c>
      <c r="I1171">
        <v>0</v>
      </c>
      <c r="J1171">
        <v>1</v>
      </c>
      <c r="K1171">
        <v>0</v>
      </c>
      <c r="L1171">
        <v>90245</v>
      </c>
      <c r="M1171">
        <v>0</v>
      </c>
      <c r="N1171">
        <v>0</v>
      </c>
      <c r="O1171">
        <v>0</v>
      </c>
      <c r="Q1171">
        <v>1</v>
      </c>
      <c r="R1171">
        <v>0</v>
      </c>
      <c r="S1171">
        <v>0</v>
      </c>
      <c r="T1171">
        <v>22</v>
      </c>
      <c r="U1171">
        <v>1</v>
      </c>
      <c r="V1171">
        <v>0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</row>
    <row r="1172" spans="1:29" x14ac:dyDescent="0.35">
      <c r="A1172">
        <v>3912</v>
      </c>
      <c r="B1172">
        <v>3912</v>
      </c>
      <c r="C1172">
        <v>52</v>
      </c>
      <c r="D1172">
        <v>26</v>
      </c>
      <c r="E1172">
        <v>44</v>
      </c>
      <c r="F1172">
        <v>2</v>
      </c>
      <c r="G1172">
        <v>0.8</v>
      </c>
      <c r="H1172">
        <v>3</v>
      </c>
      <c r="I1172">
        <v>148</v>
      </c>
      <c r="J1172">
        <v>0</v>
      </c>
      <c r="K1172">
        <v>1</v>
      </c>
      <c r="L1172">
        <v>94025</v>
      </c>
      <c r="M1172">
        <v>0</v>
      </c>
      <c r="N1172">
        <v>0</v>
      </c>
      <c r="O1172">
        <v>0</v>
      </c>
      <c r="Q1172">
        <v>0</v>
      </c>
      <c r="R1172">
        <v>0</v>
      </c>
      <c r="S1172">
        <v>0</v>
      </c>
      <c r="T1172">
        <v>5</v>
      </c>
      <c r="U1172">
        <v>1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</row>
    <row r="1173" spans="1:29" x14ac:dyDescent="0.35">
      <c r="A1173">
        <v>3913</v>
      </c>
      <c r="B1173">
        <v>3913</v>
      </c>
      <c r="C1173">
        <v>40</v>
      </c>
      <c r="D1173">
        <v>14</v>
      </c>
      <c r="E1173">
        <v>69</v>
      </c>
      <c r="F1173">
        <v>1</v>
      </c>
      <c r="G1173">
        <v>1.5</v>
      </c>
      <c r="H1173">
        <v>3</v>
      </c>
      <c r="I1173">
        <v>0</v>
      </c>
      <c r="J1173">
        <v>0</v>
      </c>
      <c r="K1173">
        <v>0</v>
      </c>
      <c r="L1173">
        <v>95348</v>
      </c>
      <c r="M1173">
        <v>0</v>
      </c>
      <c r="N1173">
        <v>0</v>
      </c>
      <c r="O1173">
        <v>0</v>
      </c>
      <c r="Q1173">
        <v>0</v>
      </c>
      <c r="R1173">
        <v>0</v>
      </c>
      <c r="S1173">
        <v>0</v>
      </c>
      <c r="T1173">
        <v>5</v>
      </c>
      <c r="U1173">
        <v>1</v>
      </c>
      <c r="V1173">
        <v>0</v>
      </c>
      <c r="W1173">
        <v>1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</row>
    <row r="1174" spans="1:29" x14ac:dyDescent="0.35">
      <c r="A1174">
        <v>3914</v>
      </c>
      <c r="B1174">
        <v>3914</v>
      </c>
      <c r="C1174">
        <v>45</v>
      </c>
      <c r="D1174">
        <v>20</v>
      </c>
      <c r="E1174">
        <v>62</v>
      </c>
      <c r="F1174">
        <v>3</v>
      </c>
      <c r="G1174">
        <v>0.8</v>
      </c>
      <c r="H1174">
        <v>3</v>
      </c>
      <c r="I1174">
        <v>172</v>
      </c>
      <c r="J1174">
        <v>1</v>
      </c>
      <c r="K1174">
        <v>0</v>
      </c>
      <c r="L1174">
        <v>92064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5</v>
      </c>
      <c r="U1174">
        <v>1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</row>
    <row r="1175" spans="1:29" x14ac:dyDescent="0.35">
      <c r="A1175">
        <v>3915</v>
      </c>
      <c r="B1175">
        <v>3915</v>
      </c>
      <c r="C1175">
        <v>27</v>
      </c>
      <c r="D1175">
        <v>3</v>
      </c>
      <c r="E1175">
        <v>35</v>
      </c>
      <c r="F1175">
        <v>1</v>
      </c>
      <c r="G1175">
        <v>1.8</v>
      </c>
      <c r="H1175">
        <v>2</v>
      </c>
      <c r="I1175">
        <v>0</v>
      </c>
      <c r="J1175">
        <v>0</v>
      </c>
      <c r="K1175">
        <v>0</v>
      </c>
      <c r="L1175">
        <v>94080</v>
      </c>
      <c r="M1175">
        <v>0</v>
      </c>
      <c r="N1175">
        <v>0</v>
      </c>
      <c r="O1175">
        <v>0</v>
      </c>
      <c r="Q1175">
        <v>0</v>
      </c>
      <c r="R1175">
        <v>0</v>
      </c>
      <c r="S1175">
        <v>0</v>
      </c>
      <c r="T1175">
        <v>5</v>
      </c>
      <c r="U1175">
        <v>1</v>
      </c>
      <c r="V1175">
        <v>0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</row>
    <row r="1176" spans="1:29" x14ac:dyDescent="0.35">
      <c r="A1176">
        <v>3918</v>
      </c>
      <c r="B1176">
        <v>3918</v>
      </c>
      <c r="C1176">
        <v>41</v>
      </c>
      <c r="D1176">
        <v>15</v>
      </c>
      <c r="E1176">
        <v>89</v>
      </c>
      <c r="F1176">
        <v>3</v>
      </c>
      <c r="G1176">
        <v>0.1</v>
      </c>
      <c r="H1176">
        <v>1</v>
      </c>
      <c r="I1176">
        <v>292</v>
      </c>
      <c r="J1176">
        <v>1</v>
      </c>
      <c r="K1176">
        <v>0</v>
      </c>
      <c r="L1176">
        <v>94608</v>
      </c>
      <c r="M1176">
        <v>0</v>
      </c>
      <c r="N1176">
        <v>0</v>
      </c>
      <c r="O1176">
        <v>0</v>
      </c>
      <c r="Q1176">
        <v>1</v>
      </c>
      <c r="R1176">
        <v>0</v>
      </c>
      <c r="S1176">
        <v>0</v>
      </c>
      <c r="T1176">
        <v>5</v>
      </c>
      <c r="U1176">
        <v>1</v>
      </c>
      <c r="V1176">
        <v>0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</row>
    <row r="1177" spans="1:29" x14ac:dyDescent="0.35">
      <c r="A1177">
        <v>3924</v>
      </c>
      <c r="B1177">
        <v>3924</v>
      </c>
      <c r="C1177">
        <v>41</v>
      </c>
      <c r="D1177">
        <v>15</v>
      </c>
      <c r="E1177">
        <v>91</v>
      </c>
      <c r="F1177">
        <v>1</v>
      </c>
      <c r="G1177">
        <v>2.8</v>
      </c>
      <c r="H1177">
        <v>3</v>
      </c>
      <c r="I1177">
        <v>330</v>
      </c>
      <c r="J1177">
        <v>1</v>
      </c>
      <c r="K1177">
        <v>0</v>
      </c>
      <c r="L1177">
        <v>90502</v>
      </c>
      <c r="M1177">
        <v>0</v>
      </c>
      <c r="N1177">
        <v>1</v>
      </c>
      <c r="O1177">
        <v>0</v>
      </c>
      <c r="Q1177">
        <v>0</v>
      </c>
      <c r="R1177">
        <v>0</v>
      </c>
      <c r="S1177">
        <v>0</v>
      </c>
      <c r="T1177">
        <v>5</v>
      </c>
      <c r="U1177">
        <v>1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</row>
    <row r="1178" spans="1:29" x14ac:dyDescent="0.35">
      <c r="A1178">
        <v>3925</v>
      </c>
      <c r="B1178">
        <v>3925</v>
      </c>
      <c r="C1178">
        <v>61</v>
      </c>
      <c r="D1178">
        <v>37</v>
      </c>
      <c r="E1178">
        <v>122</v>
      </c>
      <c r="F1178">
        <v>2</v>
      </c>
      <c r="G1178">
        <v>6</v>
      </c>
      <c r="H1178">
        <v>1</v>
      </c>
      <c r="I1178">
        <v>0</v>
      </c>
      <c r="J1178">
        <v>1</v>
      </c>
      <c r="K1178">
        <v>0</v>
      </c>
      <c r="L1178">
        <v>94609</v>
      </c>
      <c r="M1178">
        <v>0</v>
      </c>
      <c r="N1178">
        <v>0</v>
      </c>
      <c r="O1178">
        <v>0</v>
      </c>
      <c r="Q1178">
        <v>1</v>
      </c>
      <c r="R1178">
        <v>0</v>
      </c>
      <c r="S1178">
        <v>0</v>
      </c>
      <c r="T1178">
        <v>22</v>
      </c>
      <c r="U1178">
        <v>1</v>
      </c>
      <c r="V1178">
        <v>0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</row>
    <row r="1179" spans="1:29" x14ac:dyDescent="0.35">
      <c r="A1179">
        <v>3930</v>
      </c>
      <c r="B1179">
        <v>3930</v>
      </c>
      <c r="C1179">
        <v>37</v>
      </c>
      <c r="D1179">
        <v>13</v>
      </c>
      <c r="E1179">
        <v>33</v>
      </c>
      <c r="F1179">
        <v>4</v>
      </c>
      <c r="G1179">
        <v>0.4</v>
      </c>
      <c r="H1179">
        <v>2</v>
      </c>
      <c r="I1179">
        <v>0</v>
      </c>
      <c r="J1179">
        <v>0</v>
      </c>
      <c r="K1179">
        <v>0</v>
      </c>
      <c r="L1179">
        <v>91773</v>
      </c>
      <c r="M1179">
        <v>0</v>
      </c>
      <c r="N1179">
        <v>0</v>
      </c>
      <c r="O1179">
        <v>0</v>
      </c>
      <c r="Q1179">
        <v>0</v>
      </c>
      <c r="R1179">
        <v>0</v>
      </c>
      <c r="S1179">
        <v>0</v>
      </c>
      <c r="T1179">
        <v>5</v>
      </c>
      <c r="U1179">
        <v>1</v>
      </c>
      <c r="V1179">
        <v>0</v>
      </c>
      <c r="W1179">
        <v>1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</row>
    <row r="1180" spans="1:29" x14ac:dyDescent="0.35">
      <c r="A1180">
        <v>3932</v>
      </c>
      <c r="B1180">
        <v>3932</v>
      </c>
      <c r="C1180">
        <v>53</v>
      </c>
      <c r="D1180">
        <v>27</v>
      </c>
      <c r="E1180">
        <v>170</v>
      </c>
      <c r="F1180">
        <v>1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95003</v>
      </c>
      <c r="M1180">
        <v>0</v>
      </c>
      <c r="N1180">
        <v>0</v>
      </c>
      <c r="O1180">
        <v>0</v>
      </c>
      <c r="Q1180">
        <v>1</v>
      </c>
      <c r="R1180">
        <v>0</v>
      </c>
      <c r="S1180">
        <v>0</v>
      </c>
      <c r="T1180">
        <v>22</v>
      </c>
      <c r="U1180">
        <v>1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</row>
    <row r="1181" spans="1:29" x14ac:dyDescent="0.35">
      <c r="A1181">
        <v>3935</v>
      </c>
      <c r="B1181">
        <v>3935</v>
      </c>
      <c r="C1181">
        <v>35</v>
      </c>
      <c r="D1181">
        <v>11</v>
      </c>
      <c r="E1181">
        <v>68</v>
      </c>
      <c r="F1181">
        <v>2</v>
      </c>
      <c r="G1181">
        <v>0</v>
      </c>
      <c r="H1181">
        <v>1</v>
      </c>
      <c r="I1181">
        <v>126</v>
      </c>
      <c r="J1181">
        <v>0</v>
      </c>
      <c r="K1181">
        <v>1</v>
      </c>
      <c r="L1181">
        <v>94923</v>
      </c>
      <c r="M1181">
        <v>0</v>
      </c>
      <c r="N1181">
        <v>0</v>
      </c>
      <c r="O1181">
        <v>0</v>
      </c>
      <c r="Q1181">
        <v>1</v>
      </c>
      <c r="R1181">
        <v>0</v>
      </c>
      <c r="S1181">
        <v>0</v>
      </c>
      <c r="T1181">
        <v>5</v>
      </c>
      <c r="U1181">
        <v>1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</row>
    <row r="1182" spans="1:29" x14ac:dyDescent="0.35">
      <c r="A1182">
        <v>3936</v>
      </c>
      <c r="B1182">
        <v>3936</v>
      </c>
      <c r="C1182">
        <v>59</v>
      </c>
      <c r="D1182">
        <v>33</v>
      </c>
      <c r="E1182">
        <v>53</v>
      </c>
      <c r="F1182">
        <v>3</v>
      </c>
      <c r="G1182">
        <v>2.5</v>
      </c>
      <c r="H1182">
        <v>1</v>
      </c>
      <c r="I1182">
        <v>0</v>
      </c>
      <c r="J1182">
        <v>1</v>
      </c>
      <c r="K1182">
        <v>0</v>
      </c>
      <c r="L1182">
        <v>90034</v>
      </c>
      <c r="M1182">
        <v>0</v>
      </c>
      <c r="N1182">
        <v>0</v>
      </c>
      <c r="O1182">
        <v>0</v>
      </c>
      <c r="Q1182">
        <v>1</v>
      </c>
      <c r="R1182">
        <v>0</v>
      </c>
      <c r="S1182">
        <v>0</v>
      </c>
      <c r="T1182">
        <v>5</v>
      </c>
      <c r="U1182">
        <v>1</v>
      </c>
      <c r="V1182">
        <v>0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</row>
    <row r="1183" spans="1:29" x14ac:dyDescent="0.35">
      <c r="A1183">
        <v>3940</v>
      </c>
      <c r="B1183">
        <v>3940</v>
      </c>
      <c r="C1183">
        <v>47</v>
      </c>
      <c r="D1183">
        <v>23</v>
      </c>
      <c r="E1183">
        <v>12</v>
      </c>
      <c r="F1183">
        <v>4</v>
      </c>
      <c r="G1183">
        <v>0.2</v>
      </c>
      <c r="H1183">
        <v>1</v>
      </c>
      <c r="I1183">
        <v>102</v>
      </c>
      <c r="J1183">
        <v>0</v>
      </c>
      <c r="K1183">
        <v>1</v>
      </c>
      <c r="L1183">
        <v>92110</v>
      </c>
      <c r="M1183">
        <v>0</v>
      </c>
      <c r="N1183">
        <v>0</v>
      </c>
      <c r="O1183">
        <v>0</v>
      </c>
      <c r="Q1183">
        <v>1</v>
      </c>
      <c r="R1183">
        <v>0</v>
      </c>
      <c r="S1183">
        <v>0</v>
      </c>
      <c r="T1183">
        <v>5</v>
      </c>
      <c r="U1183">
        <v>1</v>
      </c>
      <c r="V1183">
        <v>0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</row>
    <row r="1184" spans="1:29" x14ac:dyDescent="0.35">
      <c r="A1184">
        <v>3942</v>
      </c>
      <c r="B1184">
        <v>3942</v>
      </c>
      <c r="C1184">
        <v>57</v>
      </c>
      <c r="D1184">
        <v>33</v>
      </c>
      <c r="E1184">
        <v>79</v>
      </c>
      <c r="F1184">
        <v>1</v>
      </c>
      <c r="G1184">
        <v>2.7</v>
      </c>
      <c r="H1184">
        <v>2</v>
      </c>
      <c r="I1184">
        <v>294</v>
      </c>
      <c r="J1184">
        <v>1</v>
      </c>
      <c r="K1184">
        <v>1</v>
      </c>
      <c r="L1184">
        <v>94588</v>
      </c>
      <c r="M1184">
        <v>0</v>
      </c>
      <c r="N1184">
        <v>0</v>
      </c>
      <c r="O1184">
        <v>0</v>
      </c>
      <c r="Q1184">
        <v>0</v>
      </c>
      <c r="R1184">
        <v>0</v>
      </c>
      <c r="S1184">
        <v>0</v>
      </c>
      <c r="T1184">
        <v>5</v>
      </c>
      <c r="U1184">
        <v>1</v>
      </c>
      <c r="V1184">
        <v>0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</row>
    <row r="1185" spans="1:29" x14ac:dyDescent="0.35">
      <c r="A1185">
        <v>3944</v>
      </c>
      <c r="B1185">
        <v>3944</v>
      </c>
      <c r="C1185">
        <v>61</v>
      </c>
      <c r="D1185">
        <v>36</v>
      </c>
      <c r="E1185">
        <v>188</v>
      </c>
      <c r="F1185">
        <v>1</v>
      </c>
      <c r="G1185">
        <v>9.3000000000000007</v>
      </c>
      <c r="H1185">
        <v>2</v>
      </c>
      <c r="I1185">
        <v>0</v>
      </c>
      <c r="J1185">
        <v>0</v>
      </c>
      <c r="K1185">
        <v>0</v>
      </c>
      <c r="L1185">
        <v>91360</v>
      </c>
      <c r="M1185">
        <v>1</v>
      </c>
      <c r="N1185">
        <v>0</v>
      </c>
      <c r="O1185">
        <v>0</v>
      </c>
      <c r="Q1185">
        <v>0</v>
      </c>
      <c r="R1185">
        <v>1</v>
      </c>
      <c r="S1185">
        <v>1</v>
      </c>
      <c r="T1185">
        <v>10</v>
      </c>
      <c r="U1185">
        <v>0</v>
      </c>
      <c r="V1185">
        <v>1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0</v>
      </c>
      <c r="AC1185">
        <v>1</v>
      </c>
    </row>
    <row r="1186" spans="1:29" x14ac:dyDescent="0.35">
      <c r="A1186">
        <v>3948</v>
      </c>
      <c r="B1186">
        <v>3948</v>
      </c>
      <c r="C1186">
        <v>32</v>
      </c>
      <c r="D1186">
        <v>8</v>
      </c>
      <c r="E1186">
        <v>119</v>
      </c>
      <c r="F1186">
        <v>4</v>
      </c>
      <c r="G1186">
        <v>5</v>
      </c>
      <c r="H1186">
        <v>3</v>
      </c>
      <c r="I1186">
        <v>0</v>
      </c>
      <c r="J1186">
        <v>1</v>
      </c>
      <c r="K1186">
        <v>0</v>
      </c>
      <c r="L1186">
        <v>94710</v>
      </c>
      <c r="M1186">
        <v>1</v>
      </c>
      <c r="N1186">
        <v>0</v>
      </c>
      <c r="O1186">
        <v>0</v>
      </c>
      <c r="Q1186">
        <v>0</v>
      </c>
      <c r="R1186">
        <v>1</v>
      </c>
      <c r="S1186">
        <v>1</v>
      </c>
      <c r="T1186">
        <v>10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0</v>
      </c>
      <c r="AC1186">
        <v>1</v>
      </c>
    </row>
    <row r="1187" spans="1:29" x14ac:dyDescent="0.35">
      <c r="A1187">
        <v>3950</v>
      </c>
      <c r="B1187">
        <v>3950</v>
      </c>
      <c r="C1187">
        <v>31</v>
      </c>
      <c r="D1187">
        <v>5</v>
      </c>
      <c r="E1187">
        <v>23</v>
      </c>
      <c r="F1187">
        <v>1</v>
      </c>
      <c r="G1187">
        <v>0.4</v>
      </c>
      <c r="H1187">
        <v>2</v>
      </c>
      <c r="I1187">
        <v>0</v>
      </c>
      <c r="J1187">
        <v>1</v>
      </c>
      <c r="K1187">
        <v>1</v>
      </c>
      <c r="L1187">
        <v>93407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5</v>
      </c>
      <c r="U1187">
        <v>1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</row>
    <row r="1188" spans="1:29" x14ac:dyDescent="0.35">
      <c r="A1188">
        <v>3951</v>
      </c>
      <c r="B1188">
        <v>3951</v>
      </c>
      <c r="C1188">
        <v>38</v>
      </c>
      <c r="D1188">
        <v>14</v>
      </c>
      <c r="E1188">
        <v>62</v>
      </c>
      <c r="F1188">
        <v>1</v>
      </c>
      <c r="G1188">
        <v>1.5</v>
      </c>
      <c r="H1188">
        <v>3</v>
      </c>
      <c r="I1188">
        <v>255</v>
      </c>
      <c r="J1188">
        <v>1</v>
      </c>
      <c r="K1188">
        <v>0</v>
      </c>
      <c r="L1188">
        <v>94143</v>
      </c>
      <c r="M1188">
        <v>0</v>
      </c>
      <c r="N1188">
        <v>0</v>
      </c>
      <c r="O1188">
        <v>0</v>
      </c>
      <c r="Q1188">
        <v>0</v>
      </c>
      <c r="R1188">
        <v>0</v>
      </c>
      <c r="S1188">
        <v>0</v>
      </c>
      <c r="T1188">
        <v>5</v>
      </c>
      <c r="U1188">
        <v>1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</row>
    <row r="1189" spans="1:29" x14ac:dyDescent="0.35">
      <c r="A1189">
        <v>3954</v>
      </c>
      <c r="B1189">
        <v>3954</v>
      </c>
      <c r="C1189">
        <v>50</v>
      </c>
      <c r="D1189">
        <v>26</v>
      </c>
      <c r="E1189">
        <v>52</v>
      </c>
      <c r="F1189">
        <v>4</v>
      </c>
      <c r="G1189">
        <v>0.1</v>
      </c>
      <c r="H1189">
        <v>3</v>
      </c>
      <c r="I1189">
        <v>0</v>
      </c>
      <c r="J1189">
        <v>0</v>
      </c>
      <c r="K1189">
        <v>0</v>
      </c>
      <c r="L1189">
        <v>93555</v>
      </c>
      <c r="M1189">
        <v>0</v>
      </c>
      <c r="N1189">
        <v>0</v>
      </c>
      <c r="O1189">
        <v>0</v>
      </c>
      <c r="Q1189">
        <v>0</v>
      </c>
      <c r="R1189">
        <v>0</v>
      </c>
      <c r="S1189">
        <v>0</v>
      </c>
      <c r="T1189">
        <v>5</v>
      </c>
      <c r="U1189">
        <v>1</v>
      </c>
      <c r="V1189">
        <v>0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</row>
    <row r="1190" spans="1:29" x14ac:dyDescent="0.35">
      <c r="A1190">
        <v>3955</v>
      </c>
      <c r="B1190">
        <v>3955</v>
      </c>
      <c r="C1190">
        <v>32</v>
      </c>
      <c r="D1190">
        <v>7</v>
      </c>
      <c r="E1190">
        <v>134</v>
      </c>
      <c r="F1190">
        <v>2</v>
      </c>
      <c r="G1190">
        <v>3.1</v>
      </c>
      <c r="H1190">
        <v>1</v>
      </c>
      <c r="I1190">
        <v>0</v>
      </c>
      <c r="J1190">
        <v>0</v>
      </c>
      <c r="K1190">
        <v>0</v>
      </c>
      <c r="L1190">
        <v>93108</v>
      </c>
      <c r="M1190">
        <v>0</v>
      </c>
      <c r="N1190">
        <v>0</v>
      </c>
      <c r="O1190">
        <v>0</v>
      </c>
      <c r="Q1190">
        <v>1</v>
      </c>
      <c r="R1190">
        <v>0</v>
      </c>
      <c r="S1190">
        <v>0</v>
      </c>
      <c r="T1190">
        <v>22</v>
      </c>
      <c r="U1190">
        <v>1</v>
      </c>
      <c r="V1190">
        <v>0</v>
      </c>
      <c r="W1190">
        <v>1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</row>
    <row r="1191" spans="1:29" x14ac:dyDescent="0.35">
      <c r="A1191">
        <v>3957</v>
      </c>
      <c r="B1191">
        <v>3957</v>
      </c>
      <c r="C1191">
        <v>62</v>
      </c>
      <c r="D1191">
        <v>37</v>
      </c>
      <c r="E1191">
        <v>45</v>
      </c>
      <c r="F1191">
        <v>3</v>
      </c>
      <c r="G1191">
        <v>0.5</v>
      </c>
      <c r="H1191">
        <v>2</v>
      </c>
      <c r="I1191">
        <v>200</v>
      </c>
      <c r="J1191">
        <v>1</v>
      </c>
      <c r="K1191">
        <v>1</v>
      </c>
      <c r="L1191">
        <v>90033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5</v>
      </c>
      <c r="U1191">
        <v>1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</row>
    <row r="1192" spans="1:29" x14ac:dyDescent="0.35">
      <c r="A1192">
        <v>3958</v>
      </c>
      <c r="B1192">
        <v>3958</v>
      </c>
      <c r="C1192">
        <v>40</v>
      </c>
      <c r="D1192">
        <v>15</v>
      </c>
      <c r="E1192">
        <v>75</v>
      </c>
      <c r="F1192">
        <v>4</v>
      </c>
      <c r="G1192">
        <v>1.1000000000000001</v>
      </c>
      <c r="H1192">
        <v>2</v>
      </c>
      <c r="I1192">
        <v>0</v>
      </c>
      <c r="J1192">
        <v>1</v>
      </c>
      <c r="K1192">
        <v>0</v>
      </c>
      <c r="L1192">
        <v>95449</v>
      </c>
      <c r="M1192">
        <v>0</v>
      </c>
      <c r="N1192">
        <v>0</v>
      </c>
      <c r="O1192">
        <v>0</v>
      </c>
      <c r="Q1192">
        <v>0</v>
      </c>
      <c r="R1192">
        <v>0</v>
      </c>
      <c r="S1192">
        <v>0</v>
      </c>
      <c r="T1192">
        <v>5</v>
      </c>
      <c r="U1192">
        <v>1</v>
      </c>
      <c r="V1192">
        <v>0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</row>
    <row r="1193" spans="1:29" x14ac:dyDescent="0.35">
      <c r="A1193">
        <v>3959</v>
      </c>
      <c r="B1193">
        <v>3959</v>
      </c>
      <c r="C1193">
        <v>59</v>
      </c>
      <c r="D1193">
        <v>34</v>
      </c>
      <c r="E1193">
        <v>23</v>
      </c>
      <c r="F1193">
        <v>4</v>
      </c>
      <c r="G1193">
        <v>0.4</v>
      </c>
      <c r="H1193">
        <v>2</v>
      </c>
      <c r="I1193">
        <v>78</v>
      </c>
      <c r="J1193">
        <v>0</v>
      </c>
      <c r="K1193">
        <v>0</v>
      </c>
      <c r="L1193">
        <v>90009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5</v>
      </c>
      <c r="U1193">
        <v>1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</row>
    <row r="1194" spans="1:29" x14ac:dyDescent="0.35">
      <c r="A1194">
        <v>3962</v>
      </c>
      <c r="B1194">
        <v>3962</v>
      </c>
      <c r="C1194">
        <v>48</v>
      </c>
      <c r="D1194">
        <v>22</v>
      </c>
      <c r="E1194">
        <v>145</v>
      </c>
      <c r="F1194">
        <v>1</v>
      </c>
      <c r="G1194">
        <v>0.3</v>
      </c>
      <c r="H1194">
        <v>1</v>
      </c>
      <c r="I1194">
        <v>140</v>
      </c>
      <c r="J1194">
        <v>1</v>
      </c>
      <c r="K1194">
        <v>0</v>
      </c>
      <c r="L1194">
        <v>95482</v>
      </c>
      <c r="M1194">
        <v>0</v>
      </c>
      <c r="N1194">
        <v>0</v>
      </c>
      <c r="O1194">
        <v>0</v>
      </c>
      <c r="Q1194">
        <v>1</v>
      </c>
      <c r="R1194">
        <v>0</v>
      </c>
      <c r="S1194">
        <v>0</v>
      </c>
      <c r="T1194">
        <v>22</v>
      </c>
      <c r="U1194">
        <v>1</v>
      </c>
      <c r="V1194">
        <v>0</v>
      </c>
      <c r="W1194">
        <v>1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</row>
    <row r="1195" spans="1:29" x14ac:dyDescent="0.35">
      <c r="A1195">
        <v>3964</v>
      </c>
      <c r="B1195">
        <v>3964</v>
      </c>
      <c r="C1195">
        <v>58</v>
      </c>
      <c r="D1195">
        <v>32</v>
      </c>
      <c r="E1195">
        <v>38</v>
      </c>
      <c r="F1195">
        <v>3</v>
      </c>
      <c r="G1195">
        <v>2.2000000000000002</v>
      </c>
      <c r="H1195">
        <v>3</v>
      </c>
      <c r="I1195">
        <v>0</v>
      </c>
      <c r="J1195">
        <v>1</v>
      </c>
      <c r="K1195">
        <v>0</v>
      </c>
      <c r="L1195">
        <v>93106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5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</row>
    <row r="1196" spans="1:29" x14ac:dyDescent="0.35">
      <c r="A1196">
        <v>3967</v>
      </c>
      <c r="B1196">
        <v>3967</v>
      </c>
      <c r="C1196">
        <v>33</v>
      </c>
      <c r="D1196">
        <v>7</v>
      </c>
      <c r="E1196">
        <v>84</v>
      </c>
      <c r="F1196">
        <v>1</v>
      </c>
      <c r="G1196">
        <v>2.9</v>
      </c>
      <c r="H1196">
        <v>3</v>
      </c>
      <c r="I1196">
        <v>0</v>
      </c>
      <c r="J1196">
        <v>1</v>
      </c>
      <c r="K1196">
        <v>0</v>
      </c>
      <c r="L1196">
        <v>95051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5</v>
      </c>
      <c r="U1196">
        <v>1</v>
      </c>
      <c r="V1196">
        <v>0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</row>
    <row r="1197" spans="1:29" x14ac:dyDescent="0.35">
      <c r="A1197">
        <v>3968</v>
      </c>
      <c r="B1197">
        <v>3968</v>
      </c>
      <c r="C1197">
        <v>40</v>
      </c>
      <c r="D1197">
        <v>15</v>
      </c>
      <c r="E1197">
        <v>22</v>
      </c>
      <c r="F1197">
        <v>1</v>
      </c>
      <c r="G1197">
        <v>0.6</v>
      </c>
      <c r="H1197">
        <v>3</v>
      </c>
      <c r="I1197">
        <v>0</v>
      </c>
      <c r="J1197">
        <v>1</v>
      </c>
      <c r="K1197">
        <v>0</v>
      </c>
      <c r="L1197">
        <v>94306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5</v>
      </c>
      <c r="U1197">
        <v>1</v>
      </c>
      <c r="V1197">
        <v>0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</row>
    <row r="1198" spans="1:29" x14ac:dyDescent="0.35">
      <c r="A1198">
        <v>3969</v>
      </c>
      <c r="B1198">
        <v>3969</v>
      </c>
      <c r="C1198">
        <v>28</v>
      </c>
      <c r="D1198">
        <v>3</v>
      </c>
      <c r="E1198">
        <v>78</v>
      </c>
      <c r="F1198">
        <v>4</v>
      </c>
      <c r="G1198">
        <v>0.2</v>
      </c>
      <c r="H1198">
        <v>1</v>
      </c>
      <c r="I1198">
        <v>0</v>
      </c>
      <c r="J1198">
        <v>1</v>
      </c>
      <c r="K1198">
        <v>1</v>
      </c>
      <c r="L1198">
        <v>93108</v>
      </c>
      <c r="M1198">
        <v>0</v>
      </c>
      <c r="N1198">
        <v>0</v>
      </c>
      <c r="O1198">
        <v>0</v>
      </c>
      <c r="Q1198">
        <v>1</v>
      </c>
      <c r="R1198">
        <v>0</v>
      </c>
      <c r="S1198">
        <v>0</v>
      </c>
      <c r="T1198">
        <v>5</v>
      </c>
      <c r="U1198">
        <v>1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</row>
    <row r="1199" spans="1:29" x14ac:dyDescent="0.35">
      <c r="A1199">
        <v>3970</v>
      </c>
      <c r="B1199">
        <v>3970</v>
      </c>
      <c r="C1199">
        <v>38</v>
      </c>
      <c r="D1199">
        <v>11</v>
      </c>
      <c r="E1199">
        <v>75</v>
      </c>
      <c r="F1199">
        <v>3</v>
      </c>
      <c r="G1199">
        <v>2.33</v>
      </c>
      <c r="H1199">
        <v>2</v>
      </c>
      <c r="I1199">
        <v>0</v>
      </c>
      <c r="J1199">
        <v>1</v>
      </c>
      <c r="K1199">
        <v>0</v>
      </c>
      <c r="L1199">
        <v>94305</v>
      </c>
      <c r="M1199">
        <v>0</v>
      </c>
      <c r="N1199">
        <v>0</v>
      </c>
      <c r="O1199">
        <v>0</v>
      </c>
      <c r="Q1199">
        <v>0</v>
      </c>
      <c r="R1199">
        <v>0</v>
      </c>
      <c r="S1199">
        <v>0</v>
      </c>
      <c r="T1199">
        <v>5</v>
      </c>
      <c r="U1199">
        <v>1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</row>
    <row r="1200" spans="1:29" x14ac:dyDescent="0.35">
      <c r="A1200">
        <v>3971</v>
      </c>
      <c r="B1200">
        <v>3971</v>
      </c>
      <c r="C1200">
        <v>65</v>
      </c>
      <c r="D1200">
        <v>40</v>
      </c>
      <c r="E1200">
        <v>71</v>
      </c>
      <c r="F1200">
        <v>3</v>
      </c>
      <c r="G1200">
        <v>2.2000000000000002</v>
      </c>
      <c r="H1200">
        <v>1</v>
      </c>
      <c r="I1200">
        <v>0</v>
      </c>
      <c r="J1200">
        <v>0</v>
      </c>
      <c r="K1200">
        <v>1</v>
      </c>
      <c r="L1200">
        <v>95060</v>
      </c>
      <c r="M1200">
        <v>0</v>
      </c>
      <c r="N1200">
        <v>0</v>
      </c>
      <c r="O1200">
        <v>0</v>
      </c>
      <c r="Q1200">
        <v>1</v>
      </c>
      <c r="R1200">
        <v>0</v>
      </c>
      <c r="S1200">
        <v>0</v>
      </c>
      <c r="T1200">
        <v>5</v>
      </c>
      <c r="U1200">
        <v>1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</row>
    <row r="1201" spans="1:29" x14ac:dyDescent="0.35">
      <c r="A1201">
        <v>3972</v>
      </c>
      <c r="B1201">
        <v>3972</v>
      </c>
      <c r="C1201">
        <v>35</v>
      </c>
      <c r="D1201">
        <v>11</v>
      </c>
      <c r="E1201">
        <v>24</v>
      </c>
      <c r="F1201">
        <v>1</v>
      </c>
      <c r="G1201">
        <v>0.5</v>
      </c>
      <c r="H1201">
        <v>3</v>
      </c>
      <c r="I1201">
        <v>0</v>
      </c>
      <c r="J1201">
        <v>1</v>
      </c>
      <c r="K1201">
        <v>1</v>
      </c>
      <c r="L1201">
        <v>95616</v>
      </c>
      <c r="M1201">
        <v>0</v>
      </c>
      <c r="N1201">
        <v>0</v>
      </c>
      <c r="O1201">
        <v>0</v>
      </c>
      <c r="Q1201">
        <v>0</v>
      </c>
      <c r="R1201">
        <v>0</v>
      </c>
      <c r="S1201">
        <v>0</v>
      </c>
      <c r="T1201">
        <v>5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</row>
    <row r="1202" spans="1:29" x14ac:dyDescent="0.35">
      <c r="A1202">
        <v>3973</v>
      </c>
      <c r="B1202">
        <v>3973</v>
      </c>
      <c r="C1202">
        <v>29</v>
      </c>
      <c r="D1202">
        <v>5</v>
      </c>
      <c r="E1202">
        <v>112</v>
      </c>
      <c r="F1202">
        <v>2</v>
      </c>
      <c r="G1202">
        <v>4.33</v>
      </c>
      <c r="H1202">
        <v>1</v>
      </c>
      <c r="I1202">
        <v>0</v>
      </c>
      <c r="J1202">
        <v>1</v>
      </c>
      <c r="K1202">
        <v>1</v>
      </c>
      <c r="L1202">
        <v>94998</v>
      </c>
      <c r="M1202">
        <v>0</v>
      </c>
      <c r="N1202">
        <v>0</v>
      </c>
      <c r="O1202">
        <v>0</v>
      </c>
      <c r="Q1202">
        <v>1</v>
      </c>
      <c r="R1202">
        <v>0</v>
      </c>
      <c r="S1202">
        <v>0</v>
      </c>
      <c r="T1202">
        <v>22</v>
      </c>
      <c r="U1202">
        <v>1</v>
      </c>
      <c r="V1202">
        <v>0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</row>
    <row r="1203" spans="1:29" x14ac:dyDescent="0.35">
      <c r="A1203">
        <v>3978</v>
      </c>
      <c r="B1203">
        <v>3978</v>
      </c>
      <c r="C1203">
        <v>54</v>
      </c>
      <c r="D1203">
        <v>27</v>
      </c>
      <c r="E1203">
        <v>51</v>
      </c>
      <c r="F1203">
        <v>3</v>
      </c>
      <c r="G1203">
        <v>1</v>
      </c>
      <c r="H1203">
        <v>2</v>
      </c>
      <c r="I1203">
        <v>113</v>
      </c>
      <c r="J1203">
        <v>1</v>
      </c>
      <c r="K1203">
        <v>1</v>
      </c>
      <c r="L1203">
        <v>94309</v>
      </c>
      <c r="M1203">
        <v>0</v>
      </c>
      <c r="N1203">
        <v>1</v>
      </c>
      <c r="O1203">
        <v>1</v>
      </c>
      <c r="Q1203">
        <v>0</v>
      </c>
      <c r="R1203">
        <v>0</v>
      </c>
      <c r="S1203">
        <v>0</v>
      </c>
      <c r="T1203">
        <v>5</v>
      </c>
      <c r="U1203">
        <v>1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</row>
    <row r="1204" spans="1:29" x14ac:dyDescent="0.35">
      <c r="A1204">
        <v>3983</v>
      </c>
      <c r="B1204">
        <v>3983</v>
      </c>
      <c r="C1204">
        <v>24</v>
      </c>
      <c r="D1204">
        <v>0</v>
      </c>
      <c r="E1204">
        <v>119</v>
      </c>
      <c r="F1204">
        <v>1</v>
      </c>
      <c r="G1204">
        <v>1.5</v>
      </c>
      <c r="H1204">
        <v>1</v>
      </c>
      <c r="I1204">
        <v>0</v>
      </c>
      <c r="J1204">
        <v>1</v>
      </c>
      <c r="K1204">
        <v>0</v>
      </c>
      <c r="L1204">
        <v>94566</v>
      </c>
      <c r="M1204">
        <v>0</v>
      </c>
      <c r="N1204">
        <v>0</v>
      </c>
      <c r="O1204">
        <v>0</v>
      </c>
      <c r="Q1204">
        <v>1</v>
      </c>
      <c r="R1204">
        <v>0</v>
      </c>
      <c r="S1204">
        <v>0</v>
      </c>
      <c r="T1204">
        <v>22</v>
      </c>
      <c r="U1204">
        <v>1</v>
      </c>
      <c r="V1204">
        <v>0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</row>
    <row r="1205" spans="1:29" x14ac:dyDescent="0.35">
      <c r="A1205">
        <v>3984</v>
      </c>
      <c r="B1205">
        <v>3984</v>
      </c>
      <c r="C1205">
        <v>39</v>
      </c>
      <c r="D1205">
        <v>13</v>
      </c>
      <c r="E1205">
        <v>93</v>
      </c>
      <c r="F1205">
        <v>4</v>
      </c>
      <c r="G1205">
        <v>3.6</v>
      </c>
      <c r="H1205">
        <v>3</v>
      </c>
      <c r="I1205">
        <v>0</v>
      </c>
      <c r="J1205">
        <v>1</v>
      </c>
      <c r="K1205">
        <v>0</v>
      </c>
      <c r="L1205">
        <v>93555</v>
      </c>
      <c r="M1205">
        <v>1</v>
      </c>
      <c r="N1205">
        <v>0</v>
      </c>
      <c r="O1205">
        <v>0</v>
      </c>
      <c r="Q1205">
        <v>0</v>
      </c>
      <c r="R1205">
        <v>1</v>
      </c>
      <c r="S1205">
        <v>0</v>
      </c>
      <c r="T1205">
        <v>16</v>
      </c>
      <c r="U1205">
        <v>0.58333333333333004</v>
      </c>
      <c r="V1205">
        <v>0.41666666666666002</v>
      </c>
      <c r="W1205">
        <v>0.58333333333333004</v>
      </c>
      <c r="X1205">
        <v>0.41666666666666002</v>
      </c>
      <c r="Y1205">
        <v>0.77777777777777002</v>
      </c>
      <c r="Z1205">
        <v>0.22222222222221999</v>
      </c>
      <c r="AA1205">
        <v>-0.58333333333333004</v>
      </c>
      <c r="AB1205">
        <v>0.58333333333333903</v>
      </c>
      <c r="AC1205">
        <v>0</v>
      </c>
    </row>
    <row r="1206" spans="1:29" x14ac:dyDescent="0.35">
      <c r="A1206">
        <v>3989</v>
      </c>
      <c r="B1206">
        <v>3989</v>
      </c>
      <c r="C1206">
        <v>59</v>
      </c>
      <c r="D1206">
        <v>35</v>
      </c>
      <c r="E1206">
        <v>85</v>
      </c>
      <c r="F1206">
        <v>1</v>
      </c>
      <c r="G1206">
        <v>3.4</v>
      </c>
      <c r="H1206">
        <v>3</v>
      </c>
      <c r="I1206">
        <v>0</v>
      </c>
      <c r="J1206">
        <v>0</v>
      </c>
      <c r="K1206">
        <v>1</v>
      </c>
      <c r="L1206">
        <v>91330</v>
      </c>
      <c r="M1206">
        <v>1</v>
      </c>
      <c r="N1206">
        <v>0</v>
      </c>
      <c r="O1206">
        <v>1</v>
      </c>
      <c r="Q1206">
        <v>0</v>
      </c>
      <c r="R1206">
        <v>1</v>
      </c>
      <c r="S1206">
        <v>1</v>
      </c>
      <c r="T1206">
        <v>11</v>
      </c>
      <c r="U1206">
        <v>0.27272727272726999</v>
      </c>
      <c r="V1206">
        <v>0.72727272727271997</v>
      </c>
      <c r="W1206">
        <v>0.27272727272726999</v>
      </c>
      <c r="X1206">
        <v>0.72727272727271997</v>
      </c>
      <c r="Y1206">
        <v>0</v>
      </c>
      <c r="Z1206">
        <v>1</v>
      </c>
      <c r="AA1206">
        <v>-0.27272727272726999</v>
      </c>
      <c r="AB1206">
        <v>0.27272727272727998</v>
      </c>
      <c r="AC1206">
        <v>1</v>
      </c>
    </row>
    <row r="1207" spans="1:29" x14ac:dyDescent="0.35">
      <c r="A1207">
        <v>3992</v>
      </c>
      <c r="B1207">
        <v>3992</v>
      </c>
      <c r="C1207">
        <v>64</v>
      </c>
      <c r="D1207">
        <v>38</v>
      </c>
      <c r="E1207">
        <v>84</v>
      </c>
      <c r="F1207">
        <v>1</v>
      </c>
      <c r="G1207">
        <v>2</v>
      </c>
      <c r="H1207">
        <v>1</v>
      </c>
      <c r="I1207">
        <v>0</v>
      </c>
      <c r="J1207">
        <v>0</v>
      </c>
      <c r="K1207">
        <v>0</v>
      </c>
      <c r="L1207">
        <v>94571</v>
      </c>
      <c r="M1207">
        <v>0</v>
      </c>
      <c r="N1207">
        <v>0</v>
      </c>
      <c r="O1207">
        <v>0</v>
      </c>
      <c r="Q1207">
        <v>1</v>
      </c>
      <c r="R1207">
        <v>0</v>
      </c>
      <c r="S1207">
        <v>0</v>
      </c>
      <c r="T1207">
        <v>5</v>
      </c>
      <c r="U1207">
        <v>1</v>
      </c>
      <c r="V1207">
        <v>0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</row>
    <row r="1208" spans="1:29" x14ac:dyDescent="0.35">
      <c r="A1208">
        <v>3995</v>
      </c>
      <c r="B1208">
        <v>3995</v>
      </c>
      <c r="C1208">
        <v>42</v>
      </c>
      <c r="D1208">
        <v>18</v>
      </c>
      <c r="E1208">
        <v>88</v>
      </c>
      <c r="F1208">
        <v>4</v>
      </c>
      <c r="G1208">
        <v>0.8</v>
      </c>
      <c r="H1208">
        <v>1</v>
      </c>
      <c r="I1208">
        <v>0</v>
      </c>
      <c r="J1208">
        <v>1</v>
      </c>
      <c r="K1208">
        <v>1</v>
      </c>
      <c r="L1208">
        <v>92675</v>
      </c>
      <c r="M1208">
        <v>0</v>
      </c>
      <c r="N1208">
        <v>0</v>
      </c>
      <c r="O1208">
        <v>0</v>
      </c>
      <c r="Q1208">
        <v>1</v>
      </c>
      <c r="R1208">
        <v>0</v>
      </c>
      <c r="S1208">
        <v>0</v>
      </c>
      <c r="T1208">
        <v>5</v>
      </c>
      <c r="U1208">
        <v>1</v>
      </c>
      <c r="V1208">
        <v>0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</row>
    <row r="1209" spans="1:29" x14ac:dyDescent="0.35">
      <c r="A1209">
        <v>3999</v>
      </c>
      <c r="B1209">
        <v>3999</v>
      </c>
      <c r="C1209">
        <v>34</v>
      </c>
      <c r="D1209">
        <v>10</v>
      </c>
      <c r="E1209">
        <v>41</v>
      </c>
      <c r="F1209">
        <v>1</v>
      </c>
      <c r="G1209">
        <v>1.33</v>
      </c>
      <c r="H1209">
        <v>1</v>
      </c>
      <c r="I1209">
        <v>0</v>
      </c>
      <c r="J1209">
        <v>0</v>
      </c>
      <c r="K1209">
        <v>1</v>
      </c>
      <c r="L1209">
        <v>94102</v>
      </c>
      <c r="M1209">
        <v>0</v>
      </c>
      <c r="N1209">
        <v>0</v>
      </c>
      <c r="O1209">
        <v>0</v>
      </c>
      <c r="Q1209">
        <v>1</v>
      </c>
      <c r="R1209">
        <v>0</v>
      </c>
      <c r="S1209">
        <v>0</v>
      </c>
      <c r="T1209">
        <v>5</v>
      </c>
      <c r="U1209">
        <v>1</v>
      </c>
      <c r="V1209">
        <v>0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</row>
    <row r="1210" spans="1:29" x14ac:dyDescent="0.35">
      <c r="A1210">
        <v>4002</v>
      </c>
      <c r="B1210">
        <v>4002</v>
      </c>
      <c r="C1210">
        <v>61</v>
      </c>
      <c r="D1210">
        <v>35</v>
      </c>
      <c r="E1210">
        <v>81</v>
      </c>
      <c r="F1210">
        <v>4</v>
      </c>
      <c r="G1210">
        <v>1.9</v>
      </c>
      <c r="H1210">
        <v>2</v>
      </c>
      <c r="I1210">
        <v>0</v>
      </c>
      <c r="J1210">
        <v>0</v>
      </c>
      <c r="K1210">
        <v>0</v>
      </c>
      <c r="L1210">
        <v>94709</v>
      </c>
      <c r="M1210">
        <v>0</v>
      </c>
      <c r="N1210">
        <v>0</v>
      </c>
      <c r="O1210">
        <v>0</v>
      </c>
      <c r="Q1210">
        <v>0</v>
      </c>
      <c r="R1210">
        <v>0</v>
      </c>
      <c r="S1210">
        <v>0</v>
      </c>
      <c r="T1210">
        <v>5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</row>
    <row r="1211" spans="1:29" x14ac:dyDescent="0.35">
      <c r="A1211">
        <v>4005</v>
      </c>
      <c r="B1211">
        <v>4005</v>
      </c>
      <c r="C1211">
        <v>65</v>
      </c>
      <c r="D1211">
        <v>39</v>
      </c>
      <c r="E1211">
        <v>22</v>
      </c>
      <c r="F1211">
        <v>3</v>
      </c>
      <c r="G1211">
        <v>0.7</v>
      </c>
      <c r="H1211">
        <v>2</v>
      </c>
      <c r="I1211">
        <v>0</v>
      </c>
      <c r="J1211">
        <v>0</v>
      </c>
      <c r="K1211">
        <v>0</v>
      </c>
      <c r="L1211">
        <v>92507</v>
      </c>
      <c r="M1211">
        <v>0</v>
      </c>
      <c r="N1211">
        <v>0</v>
      </c>
      <c r="O1211">
        <v>0</v>
      </c>
      <c r="Q1211">
        <v>0</v>
      </c>
      <c r="R1211">
        <v>0</v>
      </c>
      <c r="S1211">
        <v>0</v>
      </c>
      <c r="T1211">
        <v>5</v>
      </c>
      <c r="U1211">
        <v>1</v>
      </c>
      <c r="V1211">
        <v>0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</row>
    <row r="1212" spans="1:29" x14ac:dyDescent="0.35">
      <c r="A1212">
        <v>4007</v>
      </c>
      <c r="B1212">
        <v>4007</v>
      </c>
      <c r="C1212">
        <v>56</v>
      </c>
      <c r="D1212">
        <v>32</v>
      </c>
      <c r="E1212">
        <v>28</v>
      </c>
      <c r="F1212">
        <v>1</v>
      </c>
      <c r="G1212">
        <v>1.2</v>
      </c>
      <c r="H1212">
        <v>3</v>
      </c>
      <c r="I1212">
        <v>0</v>
      </c>
      <c r="J1212">
        <v>1</v>
      </c>
      <c r="K1212">
        <v>0</v>
      </c>
      <c r="L1212">
        <v>92130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5</v>
      </c>
      <c r="U1212">
        <v>1</v>
      </c>
      <c r="V1212">
        <v>0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</row>
    <row r="1213" spans="1:29" x14ac:dyDescent="0.35">
      <c r="A1213">
        <v>4010</v>
      </c>
      <c r="B1213">
        <v>4010</v>
      </c>
      <c r="C1213">
        <v>42</v>
      </c>
      <c r="D1213">
        <v>18</v>
      </c>
      <c r="E1213">
        <v>189</v>
      </c>
      <c r="F1213">
        <v>2</v>
      </c>
      <c r="G1213">
        <v>7.6</v>
      </c>
      <c r="H1213">
        <v>1</v>
      </c>
      <c r="I1213">
        <v>0</v>
      </c>
      <c r="J1213">
        <v>1</v>
      </c>
      <c r="K1213">
        <v>0</v>
      </c>
      <c r="L1213">
        <v>91605</v>
      </c>
      <c r="M1213">
        <v>0</v>
      </c>
      <c r="N1213">
        <v>0</v>
      </c>
      <c r="O1213">
        <v>0</v>
      </c>
      <c r="Q1213">
        <v>1</v>
      </c>
      <c r="R1213">
        <v>0</v>
      </c>
      <c r="S1213">
        <v>0</v>
      </c>
      <c r="T1213">
        <v>22</v>
      </c>
      <c r="U1213">
        <v>1</v>
      </c>
      <c r="V1213">
        <v>0</v>
      </c>
      <c r="W1213">
        <v>1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</row>
    <row r="1214" spans="1:29" x14ac:dyDescent="0.35">
      <c r="A1214">
        <v>4017</v>
      </c>
      <c r="B1214">
        <v>4017</v>
      </c>
      <c r="C1214">
        <v>53</v>
      </c>
      <c r="D1214">
        <v>28</v>
      </c>
      <c r="E1214">
        <v>173</v>
      </c>
      <c r="F1214">
        <v>4</v>
      </c>
      <c r="G1214">
        <v>2.7</v>
      </c>
      <c r="H1214">
        <v>1</v>
      </c>
      <c r="I1214">
        <v>427</v>
      </c>
      <c r="J1214">
        <v>1</v>
      </c>
      <c r="K1214">
        <v>0</v>
      </c>
      <c r="L1214">
        <v>91614</v>
      </c>
      <c r="M1214">
        <v>1</v>
      </c>
      <c r="N1214">
        <v>0</v>
      </c>
      <c r="O1214">
        <v>0</v>
      </c>
      <c r="Q1214">
        <v>1</v>
      </c>
      <c r="R1214">
        <v>1</v>
      </c>
      <c r="S1214">
        <v>1</v>
      </c>
      <c r="T1214">
        <v>20</v>
      </c>
      <c r="U1214">
        <v>0</v>
      </c>
      <c r="V1214">
        <v>1</v>
      </c>
      <c r="W1214">
        <v>0</v>
      </c>
      <c r="X1214">
        <v>1</v>
      </c>
      <c r="Y1214">
        <v>0</v>
      </c>
      <c r="Z1214">
        <v>1</v>
      </c>
      <c r="AA1214">
        <v>0</v>
      </c>
      <c r="AB1214">
        <v>0</v>
      </c>
      <c r="AC1214">
        <v>1</v>
      </c>
    </row>
    <row r="1215" spans="1:29" x14ac:dyDescent="0.35">
      <c r="A1215">
        <v>4018</v>
      </c>
      <c r="B1215">
        <v>4018</v>
      </c>
      <c r="C1215">
        <v>26</v>
      </c>
      <c r="D1215">
        <v>0</v>
      </c>
      <c r="E1215">
        <v>42</v>
      </c>
      <c r="F1215">
        <v>4</v>
      </c>
      <c r="G1215">
        <v>1.3</v>
      </c>
      <c r="H1215">
        <v>3</v>
      </c>
      <c r="I1215">
        <v>153</v>
      </c>
      <c r="J1215">
        <v>1</v>
      </c>
      <c r="K1215">
        <v>0</v>
      </c>
      <c r="L1215">
        <v>92009</v>
      </c>
      <c r="M1215">
        <v>0</v>
      </c>
      <c r="N1215">
        <v>0</v>
      </c>
      <c r="O1215">
        <v>0</v>
      </c>
      <c r="Q1215">
        <v>0</v>
      </c>
      <c r="R1215">
        <v>0</v>
      </c>
      <c r="S1215">
        <v>0</v>
      </c>
      <c r="T1215">
        <v>5</v>
      </c>
      <c r="U1215">
        <v>1</v>
      </c>
      <c r="V1215">
        <v>0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</row>
    <row r="1216" spans="1:29" x14ac:dyDescent="0.35">
      <c r="A1216">
        <v>4021</v>
      </c>
      <c r="B1216">
        <v>4021</v>
      </c>
      <c r="C1216">
        <v>58</v>
      </c>
      <c r="D1216">
        <v>32</v>
      </c>
      <c r="E1216">
        <v>191</v>
      </c>
      <c r="F1216">
        <v>4</v>
      </c>
      <c r="G1216">
        <v>5.2</v>
      </c>
      <c r="H1216">
        <v>3</v>
      </c>
      <c r="I1216">
        <v>194</v>
      </c>
      <c r="J1216">
        <v>0</v>
      </c>
      <c r="K1216">
        <v>1</v>
      </c>
      <c r="L1216">
        <v>93943</v>
      </c>
      <c r="M1216">
        <v>1</v>
      </c>
      <c r="N1216">
        <v>0</v>
      </c>
      <c r="O1216">
        <v>0</v>
      </c>
      <c r="Q1216">
        <v>0</v>
      </c>
      <c r="R1216">
        <v>1</v>
      </c>
      <c r="S1216">
        <v>1</v>
      </c>
      <c r="T1216">
        <v>10</v>
      </c>
      <c r="U1216">
        <v>0</v>
      </c>
      <c r="V1216">
        <v>1</v>
      </c>
      <c r="W1216">
        <v>0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1</v>
      </c>
    </row>
    <row r="1217" spans="1:29" x14ac:dyDescent="0.35">
      <c r="A1217">
        <v>4023</v>
      </c>
      <c r="B1217">
        <v>4023</v>
      </c>
      <c r="C1217">
        <v>35</v>
      </c>
      <c r="D1217">
        <v>5</v>
      </c>
      <c r="E1217">
        <v>81</v>
      </c>
      <c r="F1217">
        <v>4</v>
      </c>
      <c r="G1217">
        <v>4</v>
      </c>
      <c r="H1217">
        <v>3</v>
      </c>
      <c r="I1217">
        <v>0</v>
      </c>
      <c r="J1217">
        <v>1</v>
      </c>
      <c r="K1217">
        <v>0</v>
      </c>
      <c r="L1217">
        <v>94234</v>
      </c>
      <c r="M1217">
        <v>0</v>
      </c>
      <c r="N1217">
        <v>0</v>
      </c>
      <c r="O1217">
        <v>0</v>
      </c>
      <c r="Q1217">
        <v>0</v>
      </c>
      <c r="R1217">
        <v>0</v>
      </c>
      <c r="S1217">
        <v>0</v>
      </c>
      <c r="T1217">
        <v>15</v>
      </c>
      <c r="U1217">
        <v>0.91935483870967005</v>
      </c>
      <c r="V1217">
        <v>8.0645161290319997E-2</v>
      </c>
      <c r="W1217">
        <v>0.91935483870967005</v>
      </c>
      <c r="X1217">
        <v>8.0645161290319997E-2</v>
      </c>
      <c r="Y1217">
        <v>0.86</v>
      </c>
      <c r="Z1217">
        <v>0.14000000000000001</v>
      </c>
      <c r="AA1217">
        <v>8.0645161290329906E-2</v>
      </c>
      <c r="AB1217">
        <v>-8.0645161290319997E-2</v>
      </c>
      <c r="AC1217">
        <v>0</v>
      </c>
    </row>
    <row r="1218" spans="1:29" x14ac:dyDescent="0.35">
      <c r="A1218">
        <v>4031</v>
      </c>
      <c r="B1218">
        <v>4031</v>
      </c>
      <c r="C1218">
        <v>58</v>
      </c>
      <c r="D1218">
        <v>32</v>
      </c>
      <c r="E1218">
        <v>44</v>
      </c>
      <c r="F1218">
        <v>1</v>
      </c>
      <c r="G1218">
        <v>0.8</v>
      </c>
      <c r="H1218">
        <v>2</v>
      </c>
      <c r="I1218">
        <v>0</v>
      </c>
      <c r="J1218">
        <v>0</v>
      </c>
      <c r="K1218">
        <v>0</v>
      </c>
      <c r="L1218">
        <v>92354</v>
      </c>
      <c r="M1218">
        <v>0</v>
      </c>
      <c r="N1218">
        <v>0</v>
      </c>
      <c r="O1218">
        <v>0</v>
      </c>
      <c r="Q1218">
        <v>0</v>
      </c>
      <c r="R1218">
        <v>0</v>
      </c>
      <c r="S1218">
        <v>0</v>
      </c>
      <c r="T1218">
        <v>5</v>
      </c>
      <c r="U1218">
        <v>1</v>
      </c>
      <c r="V1218">
        <v>0</v>
      </c>
      <c r="W1218">
        <v>1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</row>
    <row r="1219" spans="1:29" x14ac:dyDescent="0.35">
      <c r="A1219">
        <v>4035</v>
      </c>
      <c r="B1219">
        <v>4035</v>
      </c>
      <c r="C1219">
        <v>35</v>
      </c>
      <c r="D1219">
        <v>11</v>
      </c>
      <c r="E1219">
        <v>82</v>
      </c>
      <c r="F1219">
        <v>2</v>
      </c>
      <c r="G1219">
        <v>1.7</v>
      </c>
      <c r="H1219">
        <v>2</v>
      </c>
      <c r="I1219">
        <v>0</v>
      </c>
      <c r="J1219">
        <v>1</v>
      </c>
      <c r="K1219">
        <v>1</v>
      </c>
      <c r="L1219">
        <v>94022</v>
      </c>
      <c r="M1219">
        <v>0</v>
      </c>
      <c r="N1219">
        <v>0</v>
      </c>
      <c r="O1219">
        <v>0</v>
      </c>
      <c r="Q1219">
        <v>0</v>
      </c>
      <c r="R1219">
        <v>0</v>
      </c>
      <c r="S1219">
        <v>0</v>
      </c>
      <c r="T1219">
        <v>5</v>
      </c>
      <c r="U1219">
        <v>1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</row>
    <row r="1220" spans="1:29" x14ac:dyDescent="0.35">
      <c r="A1220">
        <v>4037</v>
      </c>
      <c r="B1220">
        <v>4037</v>
      </c>
      <c r="C1220">
        <v>46</v>
      </c>
      <c r="D1220">
        <v>21</v>
      </c>
      <c r="E1220">
        <v>13</v>
      </c>
      <c r="F1220">
        <v>2</v>
      </c>
      <c r="G1220">
        <v>0.7</v>
      </c>
      <c r="H1220">
        <v>3</v>
      </c>
      <c r="I1220">
        <v>0</v>
      </c>
      <c r="J1220">
        <v>1</v>
      </c>
      <c r="K1220">
        <v>0</v>
      </c>
      <c r="L1220">
        <v>93117</v>
      </c>
      <c r="M1220">
        <v>0</v>
      </c>
      <c r="N1220">
        <v>0</v>
      </c>
      <c r="O1220">
        <v>0</v>
      </c>
      <c r="Q1220">
        <v>0</v>
      </c>
      <c r="R1220">
        <v>0</v>
      </c>
      <c r="S1220">
        <v>0</v>
      </c>
      <c r="T1220">
        <v>5</v>
      </c>
      <c r="U1220">
        <v>1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</row>
    <row r="1221" spans="1:29" x14ac:dyDescent="0.35">
      <c r="A1221">
        <v>4038</v>
      </c>
      <c r="B1221">
        <v>4038</v>
      </c>
      <c r="C1221">
        <v>52</v>
      </c>
      <c r="D1221">
        <v>28</v>
      </c>
      <c r="E1221">
        <v>72</v>
      </c>
      <c r="F1221">
        <v>1</v>
      </c>
      <c r="G1221">
        <v>0</v>
      </c>
      <c r="H1221">
        <v>1</v>
      </c>
      <c r="I1221">
        <v>178</v>
      </c>
      <c r="J1221">
        <v>0</v>
      </c>
      <c r="K1221">
        <v>0</v>
      </c>
      <c r="L1221">
        <v>91335</v>
      </c>
      <c r="M1221">
        <v>0</v>
      </c>
      <c r="N1221">
        <v>0</v>
      </c>
      <c r="O1221">
        <v>0</v>
      </c>
      <c r="Q1221">
        <v>1</v>
      </c>
      <c r="R1221">
        <v>0</v>
      </c>
      <c r="S1221">
        <v>0</v>
      </c>
      <c r="T1221">
        <v>5</v>
      </c>
      <c r="U1221">
        <v>1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</row>
    <row r="1222" spans="1:29" x14ac:dyDescent="0.35">
      <c r="A1222">
        <v>4042</v>
      </c>
      <c r="B1222">
        <v>4042</v>
      </c>
      <c r="C1222">
        <v>45</v>
      </c>
      <c r="D1222">
        <v>19</v>
      </c>
      <c r="E1222">
        <v>40</v>
      </c>
      <c r="F1222">
        <v>1</v>
      </c>
      <c r="G1222">
        <v>0.2</v>
      </c>
      <c r="H1222">
        <v>1</v>
      </c>
      <c r="I1222">
        <v>0</v>
      </c>
      <c r="J1222">
        <v>1</v>
      </c>
      <c r="K1222">
        <v>1</v>
      </c>
      <c r="L1222">
        <v>95060</v>
      </c>
      <c r="M1222">
        <v>0</v>
      </c>
      <c r="N1222">
        <v>1</v>
      </c>
      <c r="O1222">
        <v>1</v>
      </c>
      <c r="Q1222">
        <v>1</v>
      </c>
      <c r="R1222">
        <v>0</v>
      </c>
      <c r="S1222">
        <v>0</v>
      </c>
      <c r="T1222">
        <v>5</v>
      </c>
      <c r="U1222">
        <v>1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</row>
    <row r="1223" spans="1:29" x14ac:dyDescent="0.35">
      <c r="A1223">
        <v>4046</v>
      </c>
      <c r="B1223">
        <v>4046</v>
      </c>
      <c r="C1223">
        <v>57</v>
      </c>
      <c r="D1223">
        <v>31</v>
      </c>
      <c r="E1223">
        <v>38</v>
      </c>
      <c r="F1223">
        <v>4</v>
      </c>
      <c r="G1223">
        <v>0.7</v>
      </c>
      <c r="H1223">
        <v>2</v>
      </c>
      <c r="I1223">
        <v>0</v>
      </c>
      <c r="J1223">
        <v>1</v>
      </c>
      <c r="K1223">
        <v>0</v>
      </c>
      <c r="L1223">
        <v>94720</v>
      </c>
      <c r="M1223">
        <v>0</v>
      </c>
      <c r="N1223">
        <v>0</v>
      </c>
      <c r="O1223">
        <v>0</v>
      </c>
      <c r="Q1223">
        <v>0</v>
      </c>
      <c r="R1223">
        <v>0</v>
      </c>
      <c r="S1223">
        <v>0</v>
      </c>
      <c r="T1223">
        <v>5</v>
      </c>
      <c r="U1223">
        <v>1</v>
      </c>
      <c r="V1223">
        <v>0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</row>
    <row r="1224" spans="1:29" x14ac:dyDescent="0.35">
      <c r="A1224">
        <v>4050</v>
      </c>
      <c r="B1224">
        <v>4050</v>
      </c>
      <c r="C1224">
        <v>54</v>
      </c>
      <c r="D1224">
        <v>28</v>
      </c>
      <c r="E1224">
        <v>82</v>
      </c>
      <c r="F1224">
        <v>4</v>
      </c>
      <c r="G1224">
        <v>2.6</v>
      </c>
      <c r="H1224">
        <v>3</v>
      </c>
      <c r="I1224">
        <v>294</v>
      </c>
      <c r="J1224">
        <v>0</v>
      </c>
      <c r="K1224">
        <v>0</v>
      </c>
      <c r="L1224">
        <v>94122</v>
      </c>
      <c r="M1224">
        <v>0</v>
      </c>
      <c r="N1224">
        <v>0</v>
      </c>
      <c r="O1224">
        <v>0</v>
      </c>
      <c r="Q1224">
        <v>0</v>
      </c>
      <c r="R1224">
        <v>0</v>
      </c>
      <c r="S1224">
        <v>0</v>
      </c>
      <c r="T1224">
        <v>5</v>
      </c>
      <c r="U1224">
        <v>1</v>
      </c>
      <c r="V1224">
        <v>0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</row>
    <row r="1225" spans="1:29" x14ac:dyDescent="0.35">
      <c r="A1225">
        <v>4053</v>
      </c>
      <c r="B1225">
        <v>4053</v>
      </c>
      <c r="C1225">
        <v>43</v>
      </c>
      <c r="D1225">
        <v>19</v>
      </c>
      <c r="E1225">
        <v>54</v>
      </c>
      <c r="F1225">
        <v>2</v>
      </c>
      <c r="G1225">
        <v>1.7</v>
      </c>
      <c r="H1225">
        <v>1</v>
      </c>
      <c r="I1225">
        <v>0</v>
      </c>
      <c r="J1225">
        <v>1</v>
      </c>
      <c r="K1225">
        <v>0</v>
      </c>
      <c r="L1225">
        <v>94608</v>
      </c>
      <c r="M1225">
        <v>0</v>
      </c>
      <c r="N1225">
        <v>0</v>
      </c>
      <c r="O1225">
        <v>0</v>
      </c>
      <c r="Q1225">
        <v>1</v>
      </c>
      <c r="R1225">
        <v>0</v>
      </c>
      <c r="S1225">
        <v>0</v>
      </c>
      <c r="T1225">
        <v>5</v>
      </c>
      <c r="U1225">
        <v>1</v>
      </c>
      <c r="V1225">
        <v>0</v>
      </c>
      <c r="W1225">
        <v>1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</row>
    <row r="1226" spans="1:29" x14ac:dyDescent="0.35">
      <c r="A1226">
        <v>4059</v>
      </c>
      <c r="B1226">
        <v>4059</v>
      </c>
      <c r="C1226">
        <v>39</v>
      </c>
      <c r="D1226">
        <v>15</v>
      </c>
      <c r="E1226">
        <v>65</v>
      </c>
      <c r="F1226">
        <v>1</v>
      </c>
      <c r="G1226">
        <v>1.5</v>
      </c>
      <c r="H1226">
        <v>3</v>
      </c>
      <c r="I1226">
        <v>0</v>
      </c>
      <c r="J1226">
        <v>0</v>
      </c>
      <c r="K1226">
        <v>0</v>
      </c>
      <c r="L1226">
        <v>92037</v>
      </c>
      <c r="M1226">
        <v>0</v>
      </c>
      <c r="N1226">
        <v>0</v>
      </c>
      <c r="O1226">
        <v>0</v>
      </c>
      <c r="Q1226">
        <v>0</v>
      </c>
      <c r="R1226">
        <v>0</v>
      </c>
      <c r="S1226">
        <v>0</v>
      </c>
      <c r="T1226">
        <v>5</v>
      </c>
      <c r="U1226">
        <v>1</v>
      </c>
      <c r="V1226">
        <v>0</v>
      </c>
      <c r="W1226">
        <v>1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</row>
    <row r="1227" spans="1:29" x14ac:dyDescent="0.35">
      <c r="A1227">
        <v>4063</v>
      </c>
      <c r="B1227">
        <v>4063</v>
      </c>
      <c r="C1227">
        <v>38</v>
      </c>
      <c r="D1227">
        <v>14</v>
      </c>
      <c r="E1227">
        <v>43</v>
      </c>
      <c r="F1227">
        <v>2</v>
      </c>
      <c r="G1227">
        <v>1.7</v>
      </c>
      <c r="H1227">
        <v>1</v>
      </c>
      <c r="I1227">
        <v>0</v>
      </c>
      <c r="J1227">
        <v>1</v>
      </c>
      <c r="K1227">
        <v>0</v>
      </c>
      <c r="L1227">
        <v>95053</v>
      </c>
      <c r="M1227">
        <v>0</v>
      </c>
      <c r="N1227">
        <v>0</v>
      </c>
      <c r="O1227">
        <v>0</v>
      </c>
      <c r="Q1227">
        <v>1</v>
      </c>
      <c r="R1227">
        <v>0</v>
      </c>
      <c r="S1227">
        <v>0</v>
      </c>
      <c r="T1227">
        <v>5</v>
      </c>
      <c r="U1227">
        <v>1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</row>
    <row r="1228" spans="1:29" x14ac:dyDescent="0.35">
      <c r="A1228">
        <v>4066</v>
      </c>
      <c r="B1228">
        <v>4066</v>
      </c>
      <c r="C1228">
        <v>44</v>
      </c>
      <c r="D1228">
        <v>19</v>
      </c>
      <c r="E1228">
        <v>68</v>
      </c>
      <c r="F1228">
        <v>1</v>
      </c>
      <c r="G1228">
        <v>3.7</v>
      </c>
      <c r="H1228">
        <v>3</v>
      </c>
      <c r="I1228">
        <v>0</v>
      </c>
      <c r="J1228">
        <v>1</v>
      </c>
      <c r="K1228">
        <v>0</v>
      </c>
      <c r="L1228">
        <v>94305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15</v>
      </c>
      <c r="U1228">
        <v>0.91935483870967005</v>
      </c>
      <c r="V1228">
        <v>8.0645161290319997E-2</v>
      </c>
      <c r="W1228">
        <v>0.91935483870967005</v>
      </c>
      <c r="X1228">
        <v>8.0645161290319997E-2</v>
      </c>
      <c r="Y1228">
        <v>0.86</v>
      </c>
      <c r="Z1228">
        <v>0.14000000000000001</v>
      </c>
      <c r="AA1228">
        <v>8.0645161290329906E-2</v>
      </c>
      <c r="AB1228">
        <v>-8.0645161290319997E-2</v>
      </c>
      <c r="AC1228">
        <v>0</v>
      </c>
    </row>
    <row r="1229" spans="1:29" x14ac:dyDescent="0.35">
      <c r="A1229">
        <v>4081</v>
      </c>
      <c r="B1229">
        <v>4081</v>
      </c>
      <c r="C1229">
        <v>27</v>
      </c>
      <c r="D1229">
        <v>0</v>
      </c>
      <c r="E1229">
        <v>40</v>
      </c>
      <c r="F1229">
        <v>1</v>
      </c>
      <c r="G1229">
        <v>2</v>
      </c>
      <c r="H1229">
        <v>2</v>
      </c>
      <c r="I1229">
        <v>110</v>
      </c>
      <c r="J1229">
        <v>0</v>
      </c>
      <c r="K1229">
        <v>1</v>
      </c>
      <c r="L1229">
        <v>90068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5</v>
      </c>
      <c r="U1229">
        <v>1</v>
      </c>
      <c r="V1229">
        <v>0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</row>
    <row r="1230" spans="1:29" x14ac:dyDescent="0.35">
      <c r="A1230">
        <v>4082</v>
      </c>
      <c r="B1230">
        <v>4082</v>
      </c>
      <c r="C1230">
        <v>60</v>
      </c>
      <c r="D1230">
        <v>35</v>
      </c>
      <c r="E1230">
        <v>155</v>
      </c>
      <c r="F1230">
        <v>1</v>
      </c>
      <c r="G1230">
        <v>1.5</v>
      </c>
      <c r="H1230">
        <v>3</v>
      </c>
      <c r="I1230">
        <v>0</v>
      </c>
      <c r="J1230">
        <v>0</v>
      </c>
      <c r="K1230">
        <v>1</v>
      </c>
      <c r="L1230">
        <v>92521</v>
      </c>
      <c r="M1230">
        <v>1</v>
      </c>
      <c r="N1230">
        <v>0</v>
      </c>
      <c r="O1230">
        <v>0</v>
      </c>
      <c r="Q1230">
        <v>0</v>
      </c>
      <c r="R1230">
        <v>1</v>
      </c>
      <c r="S1230">
        <v>1</v>
      </c>
      <c r="T1230">
        <v>10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1</v>
      </c>
    </row>
    <row r="1231" spans="1:29" x14ac:dyDescent="0.35">
      <c r="A1231">
        <v>4087</v>
      </c>
      <c r="B1231">
        <v>4087</v>
      </c>
      <c r="C1231">
        <v>50</v>
      </c>
      <c r="D1231">
        <v>26</v>
      </c>
      <c r="E1231">
        <v>11</v>
      </c>
      <c r="F1231">
        <v>4</v>
      </c>
      <c r="G1231">
        <v>0.2</v>
      </c>
      <c r="H1231">
        <v>1</v>
      </c>
      <c r="I1231">
        <v>0</v>
      </c>
      <c r="J1231">
        <v>0</v>
      </c>
      <c r="K1231">
        <v>0</v>
      </c>
      <c r="L1231">
        <v>93106</v>
      </c>
      <c r="M1231">
        <v>0</v>
      </c>
      <c r="N1231">
        <v>1</v>
      </c>
      <c r="O1231">
        <v>0</v>
      </c>
      <c r="Q1231">
        <v>1</v>
      </c>
      <c r="R1231">
        <v>0</v>
      </c>
      <c r="S1231">
        <v>0</v>
      </c>
      <c r="T1231">
        <v>5</v>
      </c>
      <c r="U1231">
        <v>1</v>
      </c>
      <c r="V1231">
        <v>0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</row>
    <row r="1232" spans="1:29" x14ac:dyDescent="0.35">
      <c r="A1232">
        <v>4088</v>
      </c>
      <c r="B1232">
        <v>4088</v>
      </c>
      <c r="C1232">
        <v>52</v>
      </c>
      <c r="D1232">
        <v>28</v>
      </c>
      <c r="E1232">
        <v>179</v>
      </c>
      <c r="F1232">
        <v>4</v>
      </c>
      <c r="G1232">
        <v>4.2</v>
      </c>
      <c r="H1232">
        <v>3</v>
      </c>
      <c r="I1232">
        <v>0</v>
      </c>
      <c r="J1232">
        <v>0</v>
      </c>
      <c r="K1232">
        <v>0</v>
      </c>
      <c r="L1232">
        <v>94583</v>
      </c>
      <c r="M1232">
        <v>1</v>
      </c>
      <c r="N1232">
        <v>0</v>
      </c>
      <c r="O1232">
        <v>0</v>
      </c>
      <c r="Q1232">
        <v>0</v>
      </c>
      <c r="R1232">
        <v>1</v>
      </c>
      <c r="S1232">
        <v>1</v>
      </c>
      <c r="T1232">
        <v>10</v>
      </c>
      <c r="U1232">
        <v>0</v>
      </c>
      <c r="V1232">
        <v>1</v>
      </c>
      <c r="W1232">
        <v>0</v>
      </c>
      <c r="X1232">
        <v>1</v>
      </c>
      <c r="Y1232">
        <v>0</v>
      </c>
      <c r="Z1232">
        <v>1</v>
      </c>
      <c r="AA1232">
        <v>0</v>
      </c>
      <c r="AB1232">
        <v>0</v>
      </c>
      <c r="AC1232">
        <v>1</v>
      </c>
    </row>
    <row r="1233" spans="1:29" x14ac:dyDescent="0.35">
      <c r="A1233">
        <v>4094</v>
      </c>
      <c r="B1233">
        <v>4094</v>
      </c>
      <c r="C1233">
        <v>49</v>
      </c>
      <c r="D1233">
        <v>24</v>
      </c>
      <c r="E1233">
        <v>138</v>
      </c>
      <c r="F1233">
        <v>2</v>
      </c>
      <c r="G1233">
        <v>2.2000000000000002</v>
      </c>
      <c r="H1233">
        <v>2</v>
      </c>
      <c r="I1233">
        <v>0</v>
      </c>
      <c r="J1233">
        <v>1</v>
      </c>
      <c r="K1233">
        <v>0</v>
      </c>
      <c r="L1233">
        <v>93111</v>
      </c>
      <c r="M1233">
        <v>1</v>
      </c>
      <c r="N1233">
        <v>0</v>
      </c>
      <c r="O1233">
        <v>0</v>
      </c>
      <c r="Q1233">
        <v>0</v>
      </c>
      <c r="R1233">
        <v>1</v>
      </c>
      <c r="S1233">
        <v>1</v>
      </c>
      <c r="T1233">
        <v>10</v>
      </c>
      <c r="U1233">
        <v>0</v>
      </c>
      <c r="V1233">
        <v>1</v>
      </c>
      <c r="W1233">
        <v>0</v>
      </c>
      <c r="X1233">
        <v>1</v>
      </c>
      <c r="Y1233">
        <v>0</v>
      </c>
      <c r="Z1233">
        <v>1</v>
      </c>
      <c r="AA1233">
        <v>0</v>
      </c>
      <c r="AB1233">
        <v>0</v>
      </c>
      <c r="AC1233">
        <v>1</v>
      </c>
    </row>
    <row r="1234" spans="1:29" x14ac:dyDescent="0.35">
      <c r="A1234">
        <v>4097</v>
      </c>
      <c r="B1234">
        <v>4097</v>
      </c>
      <c r="C1234">
        <v>38</v>
      </c>
      <c r="D1234">
        <v>14</v>
      </c>
      <c r="E1234">
        <v>49</v>
      </c>
      <c r="F1234">
        <v>3</v>
      </c>
      <c r="G1234">
        <v>2.8</v>
      </c>
      <c r="H1234">
        <v>1</v>
      </c>
      <c r="I1234">
        <v>0</v>
      </c>
      <c r="J1234">
        <v>0</v>
      </c>
      <c r="K1234">
        <v>0</v>
      </c>
      <c r="L1234">
        <v>90740</v>
      </c>
      <c r="M1234">
        <v>0</v>
      </c>
      <c r="N1234">
        <v>0</v>
      </c>
      <c r="O1234">
        <v>0</v>
      </c>
      <c r="Q1234">
        <v>1</v>
      </c>
      <c r="R1234">
        <v>0</v>
      </c>
      <c r="S1234">
        <v>0</v>
      </c>
      <c r="T1234">
        <v>5</v>
      </c>
      <c r="U1234">
        <v>1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</row>
    <row r="1235" spans="1:29" x14ac:dyDescent="0.35">
      <c r="A1235">
        <v>4098</v>
      </c>
      <c r="B1235">
        <v>4098</v>
      </c>
      <c r="C1235">
        <v>60</v>
      </c>
      <c r="D1235">
        <v>34</v>
      </c>
      <c r="E1235">
        <v>92</v>
      </c>
      <c r="F1235">
        <v>2</v>
      </c>
      <c r="G1235">
        <v>2</v>
      </c>
      <c r="H1235">
        <v>1</v>
      </c>
      <c r="I1235">
        <v>0</v>
      </c>
      <c r="J1235">
        <v>0</v>
      </c>
      <c r="K1235">
        <v>0</v>
      </c>
      <c r="L1235">
        <v>95670</v>
      </c>
      <c r="M1235">
        <v>0</v>
      </c>
      <c r="N1235">
        <v>0</v>
      </c>
      <c r="O1235">
        <v>0</v>
      </c>
      <c r="Q1235">
        <v>1</v>
      </c>
      <c r="R1235">
        <v>0</v>
      </c>
      <c r="S1235">
        <v>0</v>
      </c>
      <c r="T1235">
        <v>5</v>
      </c>
      <c r="U1235">
        <v>1</v>
      </c>
      <c r="V1235">
        <v>0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</row>
    <row r="1236" spans="1:29" x14ac:dyDescent="0.35">
      <c r="A1236">
        <v>4099</v>
      </c>
      <c r="B1236">
        <v>4099</v>
      </c>
      <c r="C1236">
        <v>27</v>
      </c>
      <c r="D1236">
        <v>3</v>
      </c>
      <c r="E1236">
        <v>75</v>
      </c>
      <c r="F1236">
        <v>4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90032</v>
      </c>
      <c r="M1236">
        <v>0</v>
      </c>
      <c r="N1236">
        <v>0</v>
      </c>
      <c r="O1236">
        <v>0</v>
      </c>
      <c r="Q1236">
        <v>1</v>
      </c>
      <c r="R1236">
        <v>0</v>
      </c>
      <c r="S1236">
        <v>0</v>
      </c>
      <c r="T1236">
        <v>5</v>
      </c>
      <c r="U1236">
        <v>1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</row>
    <row r="1237" spans="1:29" x14ac:dyDescent="0.35">
      <c r="A1237">
        <v>4103</v>
      </c>
      <c r="B1237">
        <v>4103</v>
      </c>
      <c r="C1237">
        <v>41</v>
      </c>
      <c r="D1237">
        <v>16</v>
      </c>
      <c r="E1237">
        <v>81</v>
      </c>
      <c r="F1237">
        <v>2</v>
      </c>
      <c r="G1237">
        <v>0.4</v>
      </c>
      <c r="H1237">
        <v>1</v>
      </c>
      <c r="I1237">
        <v>146</v>
      </c>
      <c r="J1237">
        <v>1</v>
      </c>
      <c r="K1237">
        <v>1</v>
      </c>
      <c r="L1237">
        <v>94305</v>
      </c>
      <c r="M1237">
        <v>0</v>
      </c>
      <c r="N1237">
        <v>0</v>
      </c>
      <c r="O1237">
        <v>0</v>
      </c>
      <c r="Q1237">
        <v>1</v>
      </c>
      <c r="R1237">
        <v>0</v>
      </c>
      <c r="S1237">
        <v>0</v>
      </c>
      <c r="T1237">
        <v>5</v>
      </c>
      <c r="U1237">
        <v>1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</row>
    <row r="1238" spans="1:29" x14ac:dyDescent="0.35">
      <c r="A1238">
        <v>4105</v>
      </c>
      <c r="B1238">
        <v>4105</v>
      </c>
      <c r="C1238">
        <v>38</v>
      </c>
      <c r="D1238">
        <v>14</v>
      </c>
      <c r="E1238">
        <v>25</v>
      </c>
      <c r="F1238">
        <v>4</v>
      </c>
      <c r="G1238">
        <v>1</v>
      </c>
      <c r="H1238">
        <v>1</v>
      </c>
      <c r="I1238">
        <v>0</v>
      </c>
      <c r="J1238">
        <v>0</v>
      </c>
      <c r="K1238">
        <v>0</v>
      </c>
      <c r="L1238">
        <v>95616</v>
      </c>
      <c r="M1238">
        <v>0</v>
      </c>
      <c r="N1238">
        <v>0</v>
      </c>
      <c r="O1238">
        <v>0</v>
      </c>
      <c r="Q1238">
        <v>1</v>
      </c>
      <c r="R1238">
        <v>0</v>
      </c>
      <c r="S1238">
        <v>0</v>
      </c>
      <c r="T1238">
        <v>5</v>
      </c>
      <c r="U1238">
        <v>1</v>
      </c>
      <c r="V1238">
        <v>0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</row>
    <row r="1239" spans="1:29" x14ac:dyDescent="0.35">
      <c r="A1239">
        <v>4108</v>
      </c>
      <c r="B1239">
        <v>4108</v>
      </c>
      <c r="C1239">
        <v>47</v>
      </c>
      <c r="D1239">
        <v>22</v>
      </c>
      <c r="E1239">
        <v>81</v>
      </c>
      <c r="F1239">
        <v>1</v>
      </c>
      <c r="G1239">
        <v>2.9</v>
      </c>
      <c r="H1239">
        <v>1</v>
      </c>
      <c r="I1239">
        <v>0</v>
      </c>
      <c r="J1239">
        <v>0</v>
      </c>
      <c r="K1239">
        <v>1</v>
      </c>
      <c r="L1239">
        <v>94123</v>
      </c>
      <c r="M1239">
        <v>0</v>
      </c>
      <c r="N1239">
        <v>0</v>
      </c>
      <c r="O1239">
        <v>0</v>
      </c>
      <c r="Q1239">
        <v>1</v>
      </c>
      <c r="R1239">
        <v>0</v>
      </c>
      <c r="S1239">
        <v>0</v>
      </c>
      <c r="T1239">
        <v>5</v>
      </c>
      <c r="U1239">
        <v>1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</row>
    <row r="1240" spans="1:29" x14ac:dyDescent="0.35">
      <c r="A1240">
        <v>4109</v>
      </c>
      <c r="B1240">
        <v>4109</v>
      </c>
      <c r="C1240">
        <v>64</v>
      </c>
      <c r="D1240">
        <v>39</v>
      </c>
      <c r="E1240">
        <v>73</v>
      </c>
      <c r="F1240">
        <v>3</v>
      </c>
      <c r="G1240">
        <v>2.2000000000000002</v>
      </c>
      <c r="H1240">
        <v>1</v>
      </c>
      <c r="I1240">
        <v>0</v>
      </c>
      <c r="J1240">
        <v>0</v>
      </c>
      <c r="K1240">
        <v>1</v>
      </c>
      <c r="L1240">
        <v>94025</v>
      </c>
      <c r="M1240">
        <v>0</v>
      </c>
      <c r="N1240">
        <v>1</v>
      </c>
      <c r="O1240">
        <v>0</v>
      </c>
      <c r="Q1240">
        <v>1</v>
      </c>
      <c r="R1240">
        <v>0</v>
      </c>
      <c r="S1240">
        <v>0</v>
      </c>
      <c r="T1240">
        <v>5</v>
      </c>
      <c r="U1240">
        <v>1</v>
      </c>
      <c r="V1240">
        <v>0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</row>
    <row r="1241" spans="1:29" x14ac:dyDescent="0.35">
      <c r="A1241">
        <v>4114</v>
      </c>
      <c r="B1241">
        <v>4114</v>
      </c>
      <c r="C1241">
        <v>28</v>
      </c>
      <c r="D1241">
        <v>2</v>
      </c>
      <c r="E1241">
        <v>41</v>
      </c>
      <c r="F1241">
        <v>3</v>
      </c>
      <c r="G1241">
        <v>1.1000000000000001</v>
      </c>
      <c r="H1241">
        <v>2</v>
      </c>
      <c r="I1241">
        <v>161</v>
      </c>
      <c r="J1241">
        <v>1</v>
      </c>
      <c r="K1241">
        <v>0</v>
      </c>
      <c r="L1241">
        <v>93118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5</v>
      </c>
      <c r="U1241">
        <v>1</v>
      </c>
      <c r="V1241">
        <v>0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</row>
    <row r="1242" spans="1:29" x14ac:dyDescent="0.35">
      <c r="A1242">
        <v>4116</v>
      </c>
      <c r="B1242">
        <v>4116</v>
      </c>
      <c r="C1242">
        <v>45</v>
      </c>
      <c r="D1242">
        <v>20</v>
      </c>
      <c r="E1242">
        <v>84</v>
      </c>
      <c r="F1242">
        <v>4</v>
      </c>
      <c r="G1242">
        <v>1.1000000000000001</v>
      </c>
      <c r="H1242">
        <v>2</v>
      </c>
      <c r="I1242">
        <v>180</v>
      </c>
      <c r="J1242">
        <v>1</v>
      </c>
      <c r="K1242">
        <v>0</v>
      </c>
      <c r="L1242">
        <v>94131</v>
      </c>
      <c r="M1242">
        <v>0</v>
      </c>
      <c r="N1242">
        <v>0</v>
      </c>
      <c r="O1242">
        <v>0</v>
      </c>
      <c r="Q1242">
        <v>0</v>
      </c>
      <c r="R1242">
        <v>0</v>
      </c>
      <c r="S1242">
        <v>0</v>
      </c>
      <c r="T1242">
        <v>5</v>
      </c>
      <c r="U1242">
        <v>1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</row>
    <row r="1243" spans="1:29" x14ac:dyDescent="0.35">
      <c r="A1243">
        <v>4117</v>
      </c>
      <c r="B1243">
        <v>4117</v>
      </c>
      <c r="C1243">
        <v>24</v>
      </c>
      <c r="D1243">
        <v>-2</v>
      </c>
      <c r="E1243">
        <v>135</v>
      </c>
      <c r="F1243">
        <v>2</v>
      </c>
      <c r="G1243">
        <v>7.2</v>
      </c>
      <c r="H1243">
        <v>1</v>
      </c>
      <c r="I1243">
        <v>0</v>
      </c>
      <c r="J1243">
        <v>1</v>
      </c>
      <c r="K1243">
        <v>0</v>
      </c>
      <c r="L1243">
        <v>90065</v>
      </c>
      <c r="M1243">
        <v>0</v>
      </c>
      <c r="N1243">
        <v>0</v>
      </c>
      <c r="O1243">
        <v>0</v>
      </c>
      <c r="Q1243">
        <v>1</v>
      </c>
      <c r="R1243">
        <v>0</v>
      </c>
      <c r="S1243">
        <v>0</v>
      </c>
      <c r="T1243">
        <v>22</v>
      </c>
      <c r="U1243">
        <v>1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</row>
    <row r="1244" spans="1:29" x14ac:dyDescent="0.35">
      <c r="A1244">
        <v>4118</v>
      </c>
      <c r="B1244">
        <v>4118</v>
      </c>
      <c r="C1244">
        <v>39</v>
      </c>
      <c r="D1244">
        <v>14</v>
      </c>
      <c r="E1244">
        <v>18</v>
      </c>
      <c r="F1244">
        <v>4</v>
      </c>
      <c r="G1244">
        <v>0.2</v>
      </c>
      <c r="H1244">
        <v>3</v>
      </c>
      <c r="I1244">
        <v>0</v>
      </c>
      <c r="J1244">
        <v>0</v>
      </c>
      <c r="K1244">
        <v>0</v>
      </c>
      <c r="L1244">
        <v>92037</v>
      </c>
      <c r="M1244">
        <v>0</v>
      </c>
      <c r="N1244">
        <v>1</v>
      </c>
      <c r="O1244">
        <v>0</v>
      </c>
      <c r="Q1244">
        <v>0</v>
      </c>
      <c r="R1244">
        <v>0</v>
      </c>
      <c r="S1244">
        <v>0</v>
      </c>
      <c r="T1244">
        <v>5</v>
      </c>
      <c r="U1244">
        <v>1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</row>
    <row r="1245" spans="1:29" x14ac:dyDescent="0.35">
      <c r="A1245">
        <v>4119</v>
      </c>
      <c r="B1245">
        <v>4119</v>
      </c>
      <c r="C1245">
        <v>40</v>
      </c>
      <c r="D1245">
        <v>16</v>
      </c>
      <c r="E1245">
        <v>34</v>
      </c>
      <c r="F1245">
        <v>1</v>
      </c>
      <c r="G1245">
        <v>0.7</v>
      </c>
      <c r="H1245">
        <v>1</v>
      </c>
      <c r="I1245">
        <v>0</v>
      </c>
      <c r="J1245">
        <v>1</v>
      </c>
      <c r="K1245">
        <v>1</v>
      </c>
      <c r="L1245">
        <v>93561</v>
      </c>
      <c r="M1245">
        <v>0</v>
      </c>
      <c r="N1245">
        <v>0</v>
      </c>
      <c r="O1245">
        <v>0</v>
      </c>
      <c r="Q1245">
        <v>1</v>
      </c>
      <c r="R1245">
        <v>0</v>
      </c>
      <c r="S1245">
        <v>0</v>
      </c>
      <c r="T1245">
        <v>5</v>
      </c>
      <c r="U1245">
        <v>1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</row>
    <row r="1246" spans="1:29" x14ac:dyDescent="0.35">
      <c r="A1246">
        <v>4124</v>
      </c>
      <c r="B1246">
        <v>4124</v>
      </c>
      <c r="C1246">
        <v>50</v>
      </c>
      <c r="D1246">
        <v>24</v>
      </c>
      <c r="E1246">
        <v>40</v>
      </c>
      <c r="F1246">
        <v>4</v>
      </c>
      <c r="G1246">
        <v>2.6</v>
      </c>
      <c r="H1246">
        <v>1</v>
      </c>
      <c r="I1246">
        <v>89</v>
      </c>
      <c r="J1246">
        <v>1</v>
      </c>
      <c r="K1246">
        <v>0</v>
      </c>
      <c r="L1246">
        <v>93460</v>
      </c>
      <c r="M1246">
        <v>0</v>
      </c>
      <c r="N1246">
        <v>0</v>
      </c>
      <c r="O1246">
        <v>0</v>
      </c>
      <c r="Q1246">
        <v>1</v>
      </c>
      <c r="R1246">
        <v>0</v>
      </c>
      <c r="S1246">
        <v>0</v>
      </c>
      <c r="T1246">
        <v>5</v>
      </c>
      <c r="U1246">
        <v>1</v>
      </c>
      <c r="V1246">
        <v>0</v>
      </c>
      <c r="W1246">
        <v>1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</row>
    <row r="1247" spans="1:29" x14ac:dyDescent="0.35">
      <c r="A1247">
        <v>4125</v>
      </c>
      <c r="B1247">
        <v>4125</v>
      </c>
      <c r="C1247">
        <v>53</v>
      </c>
      <c r="D1247">
        <v>29</v>
      </c>
      <c r="E1247">
        <v>141</v>
      </c>
      <c r="F1247">
        <v>2</v>
      </c>
      <c r="G1247">
        <v>0.2</v>
      </c>
      <c r="H1247">
        <v>3</v>
      </c>
      <c r="I1247">
        <v>0</v>
      </c>
      <c r="J1247">
        <v>0</v>
      </c>
      <c r="K1247">
        <v>0</v>
      </c>
      <c r="L1247">
        <v>90064</v>
      </c>
      <c r="M1247">
        <v>1</v>
      </c>
      <c r="N1247">
        <v>0</v>
      </c>
      <c r="O1247">
        <v>0</v>
      </c>
      <c r="Q1247">
        <v>0</v>
      </c>
      <c r="R1247">
        <v>1</v>
      </c>
      <c r="S1247">
        <v>1</v>
      </c>
      <c r="T1247">
        <v>10</v>
      </c>
      <c r="U1247">
        <v>0</v>
      </c>
      <c r="V1247">
        <v>1</v>
      </c>
      <c r="W1247">
        <v>0</v>
      </c>
      <c r="X1247">
        <v>1</v>
      </c>
      <c r="Y1247">
        <v>0</v>
      </c>
      <c r="Z1247">
        <v>1</v>
      </c>
      <c r="AA1247">
        <v>0</v>
      </c>
      <c r="AB1247">
        <v>0</v>
      </c>
      <c r="AC1247">
        <v>1</v>
      </c>
    </row>
    <row r="1248" spans="1:29" x14ac:dyDescent="0.35">
      <c r="A1248">
        <v>4131</v>
      </c>
      <c r="B1248">
        <v>4131</v>
      </c>
      <c r="C1248">
        <v>56</v>
      </c>
      <c r="D1248">
        <v>30</v>
      </c>
      <c r="E1248">
        <v>75</v>
      </c>
      <c r="F1248">
        <v>1</v>
      </c>
      <c r="G1248">
        <v>1.9</v>
      </c>
      <c r="H1248">
        <v>2</v>
      </c>
      <c r="I1248">
        <v>125</v>
      </c>
      <c r="J1248">
        <v>1</v>
      </c>
      <c r="K1248">
        <v>0</v>
      </c>
      <c r="L1248">
        <v>91910</v>
      </c>
      <c r="M1248">
        <v>0</v>
      </c>
      <c r="N1248">
        <v>0</v>
      </c>
      <c r="O1248">
        <v>0</v>
      </c>
      <c r="Q1248">
        <v>0</v>
      </c>
      <c r="R1248">
        <v>0</v>
      </c>
      <c r="S1248">
        <v>0</v>
      </c>
      <c r="T1248">
        <v>5</v>
      </c>
      <c r="U1248">
        <v>1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</row>
    <row r="1249" spans="1:29" x14ac:dyDescent="0.35">
      <c r="A1249">
        <v>4132</v>
      </c>
      <c r="B1249">
        <v>4132</v>
      </c>
      <c r="C1249">
        <v>48</v>
      </c>
      <c r="D1249">
        <v>23</v>
      </c>
      <c r="E1249">
        <v>23</v>
      </c>
      <c r="F1249">
        <v>4</v>
      </c>
      <c r="G1249">
        <v>0.4</v>
      </c>
      <c r="H1249">
        <v>2</v>
      </c>
      <c r="I1249">
        <v>122</v>
      </c>
      <c r="J1249">
        <v>0</v>
      </c>
      <c r="K1249">
        <v>0</v>
      </c>
      <c r="L1249">
        <v>94534</v>
      </c>
      <c r="M1249">
        <v>0</v>
      </c>
      <c r="N1249">
        <v>0</v>
      </c>
      <c r="O1249">
        <v>0</v>
      </c>
      <c r="Q1249">
        <v>0</v>
      </c>
      <c r="R1249">
        <v>0</v>
      </c>
      <c r="S1249">
        <v>0</v>
      </c>
      <c r="T1249">
        <v>5</v>
      </c>
      <c r="U1249">
        <v>1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</row>
    <row r="1250" spans="1:29" x14ac:dyDescent="0.35">
      <c r="A1250">
        <v>4134</v>
      </c>
      <c r="B1250">
        <v>4134</v>
      </c>
      <c r="C1250">
        <v>41</v>
      </c>
      <c r="D1250">
        <v>17</v>
      </c>
      <c r="E1250">
        <v>129</v>
      </c>
      <c r="F1250">
        <v>1</v>
      </c>
      <c r="G1250">
        <v>3.4</v>
      </c>
      <c r="H1250">
        <v>1</v>
      </c>
      <c r="I1250">
        <v>0</v>
      </c>
      <c r="J1250">
        <v>0</v>
      </c>
      <c r="K1250">
        <v>1</v>
      </c>
      <c r="L1250">
        <v>94720</v>
      </c>
      <c r="M1250">
        <v>0</v>
      </c>
      <c r="N1250">
        <v>0</v>
      </c>
      <c r="O1250">
        <v>0</v>
      </c>
      <c r="Q1250">
        <v>1</v>
      </c>
      <c r="R1250">
        <v>0</v>
      </c>
      <c r="S1250">
        <v>0</v>
      </c>
      <c r="T1250">
        <v>22</v>
      </c>
      <c r="U1250">
        <v>1</v>
      </c>
      <c r="V1250">
        <v>0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</row>
    <row r="1251" spans="1:29" x14ac:dyDescent="0.35">
      <c r="A1251">
        <v>4135</v>
      </c>
      <c r="B1251">
        <v>4135</v>
      </c>
      <c r="C1251">
        <v>35</v>
      </c>
      <c r="D1251">
        <v>11</v>
      </c>
      <c r="E1251">
        <v>85</v>
      </c>
      <c r="F1251">
        <v>4</v>
      </c>
      <c r="G1251">
        <v>0.1</v>
      </c>
      <c r="H1251">
        <v>2</v>
      </c>
      <c r="I1251">
        <v>131</v>
      </c>
      <c r="J1251">
        <v>0</v>
      </c>
      <c r="K1251">
        <v>0</v>
      </c>
      <c r="L1251">
        <v>92154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5</v>
      </c>
      <c r="U1251">
        <v>1</v>
      </c>
      <c r="V1251">
        <v>0</v>
      </c>
      <c r="W1251">
        <v>1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</row>
    <row r="1252" spans="1:29" x14ac:dyDescent="0.35">
      <c r="A1252">
        <v>4137</v>
      </c>
      <c r="B1252">
        <v>4137</v>
      </c>
      <c r="C1252">
        <v>43</v>
      </c>
      <c r="D1252">
        <v>19</v>
      </c>
      <c r="E1252">
        <v>83</v>
      </c>
      <c r="F1252">
        <v>4</v>
      </c>
      <c r="G1252">
        <v>2</v>
      </c>
      <c r="H1252">
        <v>3</v>
      </c>
      <c r="I1252">
        <v>0</v>
      </c>
      <c r="J1252">
        <v>1</v>
      </c>
      <c r="K1252">
        <v>0</v>
      </c>
      <c r="L1252">
        <v>92691</v>
      </c>
      <c r="M1252">
        <v>0</v>
      </c>
      <c r="N1252">
        <v>0</v>
      </c>
      <c r="O1252">
        <v>0</v>
      </c>
      <c r="Q1252">
        <v>0</v>
      </c>
      <c r="R1252">
        <v>0</v>
      </c>
      <c r="S1252">
        <v>0</v>
      </c>
      <c r="T1252">
        <v>5</v>
      </c>
      <c r="U1252">
        <v>1</v>
      </c>
      <c r="V1252">
        <v>0</v>
      </c>
      <c r="W1252">
        <v>1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</row>
    <row r="1253" spans="1:29" x14ac:dyDescent="0.35">
      <c r="A1253">
        <v>4144</v>
      </c>
      <c r="B1253">
        <v>4144</v>
      </c>
      <c r="C1253">
        <v>55</v>
      </c>
      <c r="D1253">
        <v>31</v>
      </c>
      <c r="E1253">
        <v>20</v>
      </c>
      <c r="F1253">
        <v>2</v>
      </c>
      <c r="G1253">
        <v>0.3</v>
      </c>
      <c r="H1253">
        <v>1</v>
      </c>
      <c r="I1253">
        <v>0</v>
      </c>
      <c r="J1253">
        <v>1</v>
      </c>
      <c r="K1253">
        <v>0</v>
      </c>
      <c r="L1253">
        <v>94720</v>
      </c>
      <c r="M1253">
        <v>0</v>
      </c>
      <c r="N1253">
        <v>0</v>
      </c>
      <c r="O1253">
        <v>0</v>
      </c>
      <c r="Q1253">
        <v>1</v>
      </c>
      <c r="R1253">
        <v>0</v>
      </c>
      <c r="S1253">
        <v>0</v>
      </c>
      <c r="T1253">
        <v>5</v>
      </c>
      <c r="U1253">
        <v>1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</row>
    <row r="1254" spans="1:29" x14ac:dyDescent="0.35">
      <c r="A1254">
        <v>4148</v>
      </c>
      <c r="B1254">
        <v>4148</v>
      </c>
      <c r="C1254">
        <v>59</v>
      </c>
      <c r="D1254">
        <v>35</v>
      </c>
      <c r="E1254">
        <v>180</v>
      </c>
      <c r="F1254">
        <v>2</v>
      </c>
      <c r="G1254">
        <v>6.5</v>
      </c>
      <c r="H1254">
        <v>2</v>
      </c>
      <c r="I1254">
        <v>0</v>
      </c>
      <c r="J1254">
        <v>1</v>
      </c>
      <c r="K1254">
        <v>1</v>
      </c>
      <c r="L1254">
        <v>96008</v>
      </c>
      <c r="M1254">
        <v>1</v>
      </c>
      <c r="N1254">
        <v>1</v>
      </c>
      <c r="O1254">
        <v>1</v>
      </c>
      <c r="Q1254">
        <v>0</v>
      </c>
      <c r="R1254">
        <v>1</v>
      </c>
      <c r="S1254">
        <v>1</v>
      </c>
      <c r="T1254">
        <v>10</v>
      </c>
      <c r="U1254">
        <v>0</v>
      </c>
      <c r="V1254">
        <v>1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1</v>
      </c>
    </row>
    <row r="1255" spans="1:29" x14ac:dyDescent="0.35">
      <c r="A1255">
        <v>4151</v>
      </c>
      <c r="B1255">
        <v>4151</v>
      </c>
      <c r="C1255">
        <v>46</v>
      </c>
      <c r="D1255">
        <v>20</v>
      </c>
      <c r="E1255">
        <v>72</v>
      </c>
      <c r="F1255">
        <v>2</v>
      </c>
      <c r="G1255">
        <v>1.7</v>
      </c>
      <c r="H1255">
        <v>2</v>
      </c>
      <c r="I1255">
        <v>75</v>
      </c>
      <c r="J1255">
        <v>1</v>
      </c>
      <c r="K1255">
        <v>0</v>
      </c>
      <c r="L1255">
        <v>92009</v>
      </c>
      <c r="M1255">
        <v>0</v>
      </c>
      <c r="N1255">
        <v>0</v>
      </c>
      <c r="O1255">
        <v>0</v>
      </c>
      <c r="Q1255">
        <v>0</v>
      </c>
      <c r="R1255">
        <v>0</v>
      </c>
      <c r="S1255">
        <v>0</v>
      </c>
      <c r="T1255">
        <v>5</v>
      </c>
      <c r="U1255">
        <v>1</v>
      </c>
      <c r="V1255">
        <v>0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</row>
    <row r="1256" spans="1:29" x14ac:dyDescent="0.35">
      <c r="A1256">
        <v>4152</v>
      </c>
      <c r="B1256">
        <v>4152</v>
      </c>
      <c r="C1256">
        <v>44</v>
      </c>
      <c r="D1256">
        <v>18</v>
      </c>
      <c r="E1256">
        <v>123</v>
      </c>
      <c r="F1256">
        <v>3</v>
      </c>
      <c r="G1256">
        <v>5.9</v>
      </c>
      <c r="H1256">
        <v>1</v>
      </c>
      <c r="I1256">
        <v>0</v>
      </c>
      <c r="J1256">
        <v>1</v>
      </c>
      <c r="K1256">
        <v>1</v>
      </c>
      <c r="L1256">
        <v>95841</v>
      </c>
      <c r="M1256">
        <v>1</v>
      </c>
      <c r="N1256">
        <v>0</v>
      </c>
      <c r="O1256">
        <v>1</v>
      </c>
      <c r="Q1256">
        <v>1</v>
      </c>
      <c r="R1256">
        <v>1</v>
      </c>
      <c r="S1256">
        <v>1</v>
      </c>
      <c r="T1256">
        <v>20</v>
      </c>
      <c r="U1256">
        <v>0</v>
      </c>
      <c r="V1256">
        <v>1</v>
      </c>
      <c r="W1256">
        <v>0</v>
      </c>
      <c r="X1256">
        <v>1</v>
      </c>
      <c r="Y1256">
        <v>0</v>
      </c>
      <c r="Z1256">
        <v>1</v>
      </c>
      <c r="AA1256">
        <v>0</v>
      </c>
      <c r="AB1256">
        <v>0</v>
      </c>
      <c r="AC1256">
        <v>1</v>
      </c>
    </row>
    <row r="1257" spans="1:29" x14ac:dyDescent="0.35">
      <c r="A1257">
        <v>4154</v>
      </c>
      <c r="B1257">
        <v>4154</v>
      </c>
      <c r="C1257">
        <v>50</v>
      </c>
      <c r="D1257">
        <v>26</v>
      </c>
      <c r="E1257">
        <v>148</v>
      </c>
      <c r="F1257">
        <v>2</v>
      </c>
      <c r="G1257">
        <v>6.8</v>
      </c>
      <c r="H1257">
        <v>1</v>
      </c>
      <c r="I1257">
        <v>0</v>
      </c>
      <c r="J1257">
        <v>1</v>
      </c>
      <c r="K1257">
        <v>0</v>
      </c>
      <c r="L1257">
        <v>94608</v>
      </c>
      <c r="M1257">
        <v>0</v>
      </c>
      <c r="N1257">
        <v>0</v>
      </c>
      <c r="O1257">
        <v>0</v>
      </c>
      <c r="Q1257">
        <v>1</v>
      </c>
      <c r="R1257">
        <v>0</v>
      </c>
      <c r="S1257">
        <v>0</v>
      </c>
      <c r="T1257">
        <v>22</v>
      </c>
      <c r="U1257">
        <v>1</v>
      </c>
      <c r="V1257">
        <v>0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</row>
    <row r="1258" spans="1:29" x14ac:dyDescent="0.35">
      <c r="A1258">
        <v>4155</v>
      </c>
      <c r="B1258">
        <v>4155</v>
      </c>
      <c r="C1258">
        <v>51</v>
      </c>
      <c r="D1258">
        <v>25</v>
      </c>
      <c r="E1258">
        <v>163</v>
      </c>
      <c r="F1258">
        <v>2</v>
      </c>
      <c r="G1258">
        <v>1.3</v>
      </c>
      <c r="H1258">
        <v>3</v>
      </c>
      <c r="I1258">
        <v>0</v>
      </c>
      <c r="J1258">
        <v>1</v>
      </c>
      <c r="K1258">
        <v>0</v>
      </c>
      <c r="L1258">
        <v>94305</v>
      </c>
      <c r="M1258">
        <v>1</v>
      </c>
      <c r="N1258">
        <v>0</v>
      </c>
      <c r="O1258">
        <v>0</v>
      </c>
      <c r="Q1258">
        <v>0</v>
      </c>
      <c r="R1258">
        <v>1</v>
      </c>
      <c r="S1258">
        <v>1</v>
      </c>
      <c r="T1258">
        <v>10</v>
      </c>
      <c r="U1258">
        <v>0</v>
      </c>
      <c r="V1258">
        <v>1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0</v>
      </c>
      <c r="AC1258">
        <v>1</v>
      </c>
    </row>
    <row r="1259" spans="1:29" x14ac:dyDescent="0.35">
      <c r="A1259">
        <v>4156</v>
      </c>
      <c r="B1259">
        <v>4156</v>
      </c>
      <c r="C1259">
        <v>55</v>
      </c>
      <c r="D1259">
        <v>30</v>
      </c>
      <c r="E1259">
        <v>28</v>
      </c>
      <c r="F1259">
        <v>4</v>
      </c>
      <c r="G1259">
        <v>0.1</v>
      </c>
      <c r="H1259">
        <v>3</v>
      </c>
      <c r="I1259">
        <v>149</v>
      </c>
      <c r="J1259">
        <v>1</v>
      </c>
      <c r="K1259">
        <v>1</v>
      </c>
      <c r="L1259">
        <v>90291</v>
      </c>
      <c r="M1259">
        <v>0</v>
      </c>
      <c r="N1259">
        <v>0</v>
      </c>
      <c r="O1259">
        <v>0</v>
      </c>
      <c r="Q1259">
        <v>0</v>
      </c>
      <c r="R1259">
        <v>0</v>
      </c>
      <c r="S1259">
        <v>0</v>
      </c>
      <c r="T1259">
        <v>5</v>
      </c>
      <c r="U1259">
        <v>1</v>
      </c>
      <c r="V1259">
        <v>0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</row>
    <row r="1260" spans="1:29" x14ac:dyDescent="0.35">
      <c r="A1260">
        <v>4163</v>
      </c>
      <c r="B1260">
        <v>4163</v>
      </c>
      <c r="C1260">
        <v>61</v>
      </c>
      <c r="D1260">
        <v>37</v>
      </c>
      <c r="E1260">
        <v>41</v>
      </c>
      <c r="F1260">
        <v>1</v>
      </c>
      <c r="G1260">
        <v>0.8</v>
      </c>
      <c r="H1260">
        <v>1</v>
      </c>
      <c r="I1260">
        <v>0</v>
      </c>
      <c r="J1260">
        <v>1</v>
      </c>
      <c r="K1260">
        <v>1</v>
      </c>
      <c r="L1260">
        <v>94704</v>
      </c>
      <c r="M1260">
        <v>0</v>
      </c>
      <c r="N1260">
        <v>0</v>
      </c>
      <c r="O1260">
        <v>0</v>
      </c>
      <c r="Q1260">
        <v>1</v>
      </c>
      <c r="R1260">
        <v>0</v>
      </c>
      <c r="S1260">
        <v>0</v>
      </c>
      <c r="T1260">
        <v>5</v>
      </c>
      <c r="U1260">
        <v>1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</row>
    <row r="1261" spans="1:29" x14ac:dyDescent="0.35">
      <c r="A1261">
        <v>4170</v>
      </c>
      <c r="B1261">
        <v>4170</v>
      </c>
      <c r="C1261">
        <v>41</v>
      </c>
      <c r="D1261">
        <v>17</v>
      </c>
      <c r="E1261">
        <v>143</v>
      </c>
      <c r="F1261">
        <v>2</v>
      </c>
      <c r="G1261">
        <v>2.7</v>
      </c>
      <c r="H1261">
        <v>3</v>
      </c>
      <c r="I1261">
        <v>209</v>
      </c>
      <c r="J1261">
        <v>1</v>
      </c>
      <c r="K1261">
        <v>0</v>
      </c>
      <c r="L1261">
        <v>90059</v>
      </c>
      <c r="M1261">
        <v>1</v>
      </c>
      <c r="N1261">
        <v>0</v>
      </c>
      <c r="O1261">
        <v>0</v>
      </c>
      <c r="Q1261">
        <v>0</v>
      </c>
      <c r="R1261">
        <v>1</v>
      </c>
      <c r="S1261">
        <v>1</v>
      </c>
      <c r="T1261">
        <v>10</v>
      </c>
      <c r="U1261">
        <v>0</v>
      </c>
      <c r="V1261">
        <v>1</v>
      </c>
      <c r="W1261">
        <v>0</v>
      </c>
      <c r="X1261">
        <v>1</v>
      </c>
      <c r="Y1261">
        <v>0</v>
      </c>
      <c r="Z1261">
        <v>1</v>
      </c>
      <c r="AA1261">
        <v>0</v>
      </c>
      <c r="AB1261">
        <v>0</v>
      </c>
      <c r="AC1261">
        <v>1</v>
      </c>
    </row>
    <row r="1262" spans="1:29" x14ac:dyDescent="0.35">
      <c r="A1262">
        <v>4172</v>
      </c>
      <c r="B1262">
        <v>4172</v>
      </c>
      <c r="C1262">
        <v>58</v>
      </c>
      <c r="D1262">
        <v>31</v>
      </c>
      <c r="E1262">
        <v>49</v>
      </c>
      <c r="F1262">
        <v>4</v>
      </c>
      <c r="G1262">
        <v>2.5</v>
      </c>
      <c r="H1262">
        <v>2</v>
      </c>
      <c r="I1262">
        <v>0</v>
      </c>
      <c r="J1262">
        <v>1</v>
      </c>
      <c r="K1262">
        <v>0</v>
      </c>
      <c r="L1262">
        <v>94521</v>
      </c>
      <c r="M1262">
        <v>0</v>
      </c>
      <c r="N1262">
        <v>0</v>
      </c>
      <c r="O1262">
        <v>0</v>
      </c>
      <c r="Q1262">
        <v>0</v>
      </c>
      <c r="R1262">
        <v>0</v>
      </c>
      <c r="S1262">
        <v>0</v>
      </c>
      <c r="T1262">
        <v>5</v>
      </c>
      <c r="U1262">
        <v>1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</row>
    <row r="1263" spans="1:29" x14ac:dyDescent="0.35">
      <c r="A1263">
        <v>4174</v>
      </c>
      <c r="B1263">
        <v>4174</v>
      </c>
      <c r="C1263">
        <v>35</v>
      </c>
      <c r="D1263">
        <v>9</v>
      </c>
      <c r="E1263">
        <v>43</v>
      </c>
      <c r="F1263">
        <v>2</v>
      </c>
      <c r="G1263">
        <v>0.3</v>
      </c>
      <c r="H1263">
        <v>1</v>
      </c>
      <c r="I1263">
        <v>0</v>
      </c>
      <c r="J1263">
        <v>1</v>
      </c>
      <c r="K1263">
        <v>0</v>
      </c>
      <c r="L1263">
        <v>93943</v>
      </c>
      <c r="M1263">
        <v>0</v>
      </c>
      <c r="N1263">
        <v>0</v>
      </c>
      <c r="O1263">
        <v>0</v>
      </c>
      <c r="Q1263">
        <v>1</v>
      </c>
      <c r="R1263">
        <v>0</v>
      </c>
      <c r="S1263">
        <v>0</v>
      </c>
      <c r="T1263">
        <v>5</v>
      </c>
      <c r="U1263">
        <v>1</v>
      </c>
      <c r="V1263">
        <v>0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</row>
    <row r="1264" spans="1:29" x14ac:dyDescent="0.35">
      <c r="A1264">
        <v>4175</v>
      </c>
      <c r="B1264">
        <v>4175</v>
      </c>
      <c r="C1264">
        <v>40</v>
      </c>
      <c r="D1264">
        <v>14</v>
      </c>
      <c r="E1264">
        <v>59</v>
      </c>
      <c r="F1264">
        <v>3</v>
      </c>
      <c r="G1264">
        <v>0.5</v>
      </c>
      <c r="H1264">
        <v>3</v>
      </c>
      <c r="I1264">
        <v>0</v>
      </c>
      <c r="J1264">
        <v>1</v>
      </c>
      <c r="K1264">
        <v>0</v>
      </c>
      <c r="L1264">
        <v>91335</v>
      </c>
      <c r="M1264">
        <v>0</v>
      </c>
      <c r="N1264">
        <v>0</v>
      </c>
      <c r="O1264">
        <v>0</v>
      </c>
      <c r="Q1264">
        <v>0</v>
      </c>
      <c r="R1264">
        <v>0</v>
      </c>
      <c r="S1264">
        <v>0</v>
      </c>
      <c r="T1264">
        <v>5</v>
      </c>
      <c r="U1264">
        <v>1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</row>
    <row r="1265" spans="1:29" x14ac:dyDescent="0.35">
      <c r="A1265">
        <v>4179</v>
      </c>
      <c r="B1265">
        <v>4179</v>
      </c>
      <c r="C1265">
        <v>59</v>
      </c>
      <c r="D1265">
        <v>35</v>
      </c>
      <c r="E1265">
        <v>88</v>
      </c>
      <c r="F1265">
        <v>2</v>
      </c>
      <c r="G1265">
        <v>1.6</v>
      </c>
      <c r="H1265">
        <v>1</v>
      </c>
      <c r="I1265">
        <v>278</v>
      </c>
      <c r="J1265">
        <v>0</v>
      </c>
      <c r="K1265">
        <v>0</v>
      </c>
      <c r="L1265">
        <v>91311</v>
      </c>
      <c r="M1265">
        <v>0</v>
      </c>
      <c r="N1265">
        <v>0</v>
      </c>
      <c r="O1265">
        <v>0</v>
      </c>
      <c r="Q1265">
        <v>1</v>
      </c>
      <c r="R1265">
        <v>0</v>
      </c>
      <c r="S1265">
        <v>0</v>
      </c>
      <c r="T1265">
        <v>5</v>
      </c>
      <c r="U1265">
        <v>1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</row>
    <row r="1266" spans="1:29" x14ac:dyDescent="0.35">
      <c r="A1266">
        <v>4187</v>
      </c>
      <c r="B1266">
        <v>4187</v>
      </c>
      <c r="C1266">
        <v>33</v>
      </c>
      <c r="D1266">
        <v>9</v>
      </c>
      <c r="E1266">
        <v>10</v>
      </c>
      <c r="F1266">
        <v>4</v>
      </c>
      <c r="G1266">
        <v>1</v>
      </c>
      <c r="H1266">
        <v>1</v>
      </c>
      <c r="I1266">
        <v>81</v>
      </c>
      <c r="J1266">
        <v>0</v>
      </c>
      <c r="K1266">
        <v>1</v>
      </c>
      <c r="L1266">
        <v>90005</v>
      </c>
      <c r="M1266">
        <v>0</v>
      </c>
      <c r="N1266">
        <v>0</v>
      </c>
      <c r="O1266">
        <v>0</v>
      </c>
      <c r="Q1266">
        <v>1</v>
      </c>
      <c r="R1266">
        <v>0</v>
      </c>
      <c r="S1266">
        <v>0</v>
      </c>
      <c r="T1266">
        <v>5</v>
      </c>
      <c r="U1266">
        <v>1</v>
      </c>
      <c r="V1266">
        <v>0</v>
      </c>
      <c r="W1266">
        <v>1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</row>
    <row r="1267" spans="1:29" x14ac:dyDescent="0.35">
      <c r="A1267">
        <v>4189</v>
      </c>
      <c r="B1267">
        <v>4189</v>
      </c>
      <c r="C1267">
        <v>30</v>
      </c>
      <c r="D1267">
        <v>4</v>
      </c>
      <c r="E1267">
        <v>45</v>
      </c>
      <c r="F1267">
        <v>4</v>
      </c>
      <c r="G1267">
        <v>1.3</v>
      </c>
      <c r="H1267">
        <v>3</v>
      </c>
      <c r="I1267">
        <v>0</v>
      </c>
      <c r="J1267">
        <v>0</v>
      </c>
      <c r="K1267">
        <v>0</v>
      </c>
      <c r="L1267">
        <v>90041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5</v>
      </c>
      <c r="U1267">
        <v>1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</row>
    <row r="1268" spans="1:29" x14ac:dyDescent="0.35">
      <c r="A1268">
        <v>4191</v>
      </c>
      <c r="B1268">
        <v>4191</v>
      </c>
      <c r="C1268">
        <v>40</v>
      </c>
      <c r="D1268">
        <v>16</v>
      </c>
      <c r="E1268">
        <v>89</v>
      </c>
      <c r="F1268">
        <v>3</v>
      </c>
      <c r="G1268">
        <v>3.9</v>
      </c>
      <c r="H1268">
        <v>2</v>
      </c>
      <c r="I1268">
        <v>216</v>
      </c>
      <c r="J1268">
        <v>1</v>
      </c>
      <c r="K1268">
        <v>0</v>
      </c>
      <c r="L1268">
        <v>95814</v>
      </c>
      <c r="M1268">
        <v>1</v>
      </c>
      <c r="N1268">
        <v>1</v>
      </c>
      <c r="O1268">
        <v>1</v>
      </c>
      <c r="Q1268">
        <v>0</v>
      </c>
      <c r="R1268">
        <v>1</v>
      </c>
      <c r="S1268">
        <v>1</v>
      </c>
      <c r="T1268">
        <v>11</v>
      </c>
      <c r="U1268">
        <v>0.27272727272726999</v>
      </c>
      <c r="V1268">
        <v>0.72727272727271997</v>
      </c>
      <c r="W1268">
        <v>0.27272727272726999</v>
      </c>
      <c r="X1268">
        <v>0.72727272727271997</v>
      </c>
      <c r="Y1268">
        <v>0</v>
      </c>
      <c r="Z1268">
        <v>1</v>
      </c>
      <c r="AA1268">
        <v>-0.27272727272726999</v>
      </c>
      <c r="AB1268">
        <v>0.27272727272727998</v>
      </c>
      <c r="AC1268">
        <v>1</v>
      </c>
    </row>
    <row r="1269" spans="1:29" x14ac:dyDescent="0.35">
      <c r="A1269">
        <v>4193</v>
      </c>
      <c r="B1269">
        <v>4193</v>
      </c>
      <c r="C1269">
        <v>50</v>
      </c>
      <c r="D1269">
        <v>26</v>
      </c>
      <c r="E1269">
        <v>21</v>
      </c>
      <c r="F1269">
        <v>1</v>
      </c>
      <c r="G1269">
        <v>0.2</v>
      </c>
      <c r="H1269">
        <v>1</v>
      </c>
      <c r="I1269">
        <v>89</v>
      </c>
      <c r="J1269">
        <v>1</v>
      </c>
      <c r="K1269">
        <v>0</v>
      </c>
      <c r="L1269">
        <v>91768</v>
      </c>
      <c r="M1269">
        <v>0</v>
      </c>
      <c r="N1269">
        <v>0</v>
      </c>
      <c r="O1269">
        <v>0</v>
      </c>
      <c r="Q1269">
        <v>1</v>
      </c>
      <c r="R1269">
        <v>0</v>
      </c>
      <c r="S1269">
        <v>0</v>
      </c>
      <c r="T1269">
        <v>5</v>
      </c>
      <c r="U1269">
        <v>1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</row>
    <row r="1270" spans="1:29" x14ac:dyDescent="0.35">
      <c r="A1270">
        <v>4195</v>
      </c>
      <c r="B1270">
        <v>4195</v>
      </c>
      <c r="C1270">
        <v>63</v>
      </c>
      <c r="D1270">
        <v>37</v>
      </c>
      <c r="E1270">
        <v>31</v>
      </c>
      <c r="F1270">
        <v>1</v>
      </c>
      <c r="G1270">
        <v>0.5</v>
      </c>
      <c r="H1270">
        <v>3</v>
      </c>
      <c r="I1270">
        <v>0</v>
      </c>
      <c r="J1270">
        <v>1</v>
      </c>
      <c r="K1270">
        <v>0</v>
      </c>
      <c r="L1270">
        <v>95819</v>
      </c>
      <c r="M1270">
        <v>0</v>
      </c>
      <c r="N1270">
        <v>0</v>
      </c>
      <c r="O1270">
        <v>0</v>
      </c>
      <c r="Q1270">
        <v>0</v>
      </c>
      <c r="R1270">
        <v>0</v>
      </c>
      <c r="S1270">
        <v>0</v>
      </c>
      <c r="T1270">
        <v>5</v>
      </c>
      <c r="U1270">
        <v>1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</row>
    <row r="1271" spans="1:29" x14ac:dyDescent="0.35">
      <c r="A1271">
        <v>4196</v>
      </c>
      <c r="B1271">
        <v>4196</v>
      </c>
      <c r="C1271">
        <v>43</v>
      </c>
      <c r="D1271">
        <v>19</v>
      </c>
      <c r="E1271">
        <v>52</v>
      </c>
      <c r="F1271">
        <v>4</v>
      </c>
      <c r="G1271">
        <v>2.2000000000000002</v>
      </c>
      <c r="H1271">
        <v>2</v>
      </c>
      <c r="I1271">
        <v>0</v>
      </c>
      <c r="J1271">
        <v>0</v>
      </c>
      <c r="K1271">
        <v>0</v>
      </c>
      <c r="L1271">
        <v>95054</v>
      </c>
      <c r="M1271">
        <v>0</v>
      </c>
      <c r="N1271">
        <v>0</v>
      </c>
      <c r="O1271">
        <v>0</v>
      </c>
      <c r="Q1271">
        <v>0</v>
      </c>
      <c r="R1271">
        <v>0</v>
      </c>
      <c r="S1271">
        <v>0</v>
      </c>
      <c r="T1271">
        <v>5</v>
      </c>
      <c r="U1271">
        <v>1</v>
      </c>
      <c r="V1271">
        <v>0</v>
      </c>
      <c r="W1271">
        <v>1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</row>
    <row r="1272" spans="1:29" x14ac:dyDescent="0.35">
      <c r="A1272">
        <v>4198</v>
      </c>
      <c r="B1272">
        <v>4198</v>
      </c>
      <c r="C1272">
        <v>51</v>
      </c>
      <c r="D1272">
        <v>25</v>
      </c>
      <c r="E1272">
        <v>21</v>
      </c>
      <c r="F1272">
        <v>2</v>
      </c>
      <c r="G1272">
        <v>0.4</v>
      </c>
      <c r="H1272">
        <v>3</v>
      </c>
      <c r="I1272">
        <v>76</v>
      </c>
      <c r="J1272">
        <v>1</v>
      </c>
      <c r="K1272">
        <v>0</v>
      </c>
      <c r="L1272">
        <v>90840</v>
      </c>
      <c r="M1272">
        <v>0</v>
      </c>
      <c r="N1272">
        <v>1</v>
      </c>
      <c r="O1272">
        <v>0</v>
      </c>
      <c r="Q1272">
        <v>0</v>
      </c>
      <c r="R1272">
        <v>0</v>
      </c>
      <c r="S1272">
        <v>0</v>
      </c>
      <c r="T1272">
        <v>5</v>
      </c>
      <c r="U1272">
        <v>1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</row>
    <row r="1273" spans="1:29" x14ac:dyDescent="0.35">
      <c r="A1273">
        <v>4199</v>
      </c>
      <c r="B1273">
        <v>4199</v>
      </c>
      <c r="C1273">
        <v>61</v>
      </c>
      <c r="D1273">
        <v>36</v>
      </c>
      <c r="E1273">
        <v>50</v>
      </c>
      <c r="F1273">
        <v>4</v>
      </c>
      <c r="G1273">
        <v>1.7</v>
      </c>
      <c r="H1273">
        <v>1</v>
      </c>
      <c r="I1273">
        <v>189</v>
      </c>
      <c r="J1273">
        <v>1</v>
      </c>
      <c r="K1273">
        <v>0</v>
      </c>
      <c r="L1273">
        <v>96003</v>
      </c>
      <c r="M1273">
        <v>0</v>
      </c>
      <c r="N1273">
        <v>0</v>
      </c>
      <c r="O1273">
        <v>0</v>
      </c>
      <c r="Q1273">
        <v>1</v>
      </c>
      <c r="R1273">
        <v>0</v>
      </c>
      <c r="S1273">
        <v>0</v>
      </c>
      <c r="T1273">
        <v>5</v>
      </c>
      <c r="U1273">
        <v>1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</row>
    <row r="1274" spans="1:29" x14ac:dyDescent="0.35">
      <c r="A1274">
        <v>4206</v>
      </c>
      <c r="B1274">
        <v>4206</v>
      </c>
      <c r="C1274">
        <v>61</v>
      </c>
      <c r="D1274">
        <v>36</v>
      </c>
      <c r="E1274">
        <v>139</v>
      </c>
      <c r="F1274">
        <v>2</v>
      </c>
      <c r="G1274">
        <v>3.9</v>
      </c>
      <c r="H1274">
        <v>1</v>
      </c>
      <c r="I1274">
        <v>0</v>
      </c>
      <c r="J1274">
        <v>0</v>
      </c>
      <c r="K1274">
        <v>0</v>
      </c>
      <c r="L1274">
        <v>95133</v>
      </c>
      <c r="M1274">
        <v>0</v>
      </c>
      <c r="N1274">
        <v>0</v>
      </c>
      <c r="O1274">
        <v>0</v>
      </c>
      <c r="Q1274">
        <v>1</v>
      </c>
      <c r="R1274">
        <v>0</v>
      </c>
      <c r="S1274">
        <v>0</v>
      </c>
      <c r="T1274">
        <v>22</v>
      </c>
      <c r="U1274">
        <v>1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</row>
    <row r="1275" spans="1:29" x14ac:dyDescent="0.35">
      <c r="A1275">
        <v>4214</v>
      </c>
      <c r="B1275">
        <v>4214</v>
      </c>
      <c r="C1275">
        <v>49</v>
      </c>
      <c r="D1275">
        <v>25</v>
      </c>
      <c r="E1275">
        <v>39</v>
      </c>
      <c r="F1275">
        <v>3</v>
      </c>
      <c r="G1275">
        <v>1.9</v>
      </c>
      <c r="H1275">
        <v>2</v>
      </c>
      <c r="I1275">
        <v>0</v>
      </c>
      <c r="J1275">
        <v>0</v>
      </c>
      <c r="K1275">
        <v>0</v>
      </c>
      <c r="L1275">
        <v>91125</v>
      </c>
      <c r="M1275">
        <v>0</v>
      </c>
      <c r="N1275">
        <v>0</v>
      </c>
      <c r="O1275">
        <v>0</v>
      </c>
      <c r="Q1275">
        <v>0</v>
      </c>
      <c r="R1275">
        <v>0</v>
      </c>
      <c r="S1275">
        <v>0</v>
      </c>
      <c r="T1275">
        <v>5</v>
      </c>
      <c r="U1275">
        <v>1</v>
      </c>
      <c r="V1275">
        <v>0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</row>
    <row r="1276" spans="1:29" x14ac:dyDescent="0.35">
      <c r="A1276">
        <v>4215</v>
      </c>
      <c r="B1276">
        <v>4215</v>
      </c>
      <c r="C1276">
        <v>46</v>
      </c>
      <c r="D1276">
        <v>22</v>
      </c>
      <c r="E1276">
        <v>89</v>
      </c>
      <c r="F1276">
        <v>1</v>
      </c>
      <c r="G1276">
        <v>2.7</v>
      </c>
      <c r="H1276">
        <v>1</v>
      </c>
      <c r="I1276">
        <v>0</v>
      </c>
      <c r="J1276">
        <v>1</v>
      </c>
      <c r="K1276">
        <v>1</v>
      </c>
      <c r="L1276">
        <v>94303</v>
      </c>
      <c r="M1276">
        <v>0</v>
      </c>
      <c r="N1276">
        <v>1</v>
      </c>
      <c r="O1276">
        <v>1</v>
      </c>
      <c r="Q1276">
        <v>1</v>
      </c>
      <c r="R1276">
        <v>0</v>
      </c>
      <c r="S1276">
        <v>0</v>
      </c>
      <c r="T1276">
        <v>5</v>
      </c>
      <c r="U1276">
        <v>1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</row>
    <row r="1277" spans="1:29" x14ac:dyDescent="0.35">
      <c r="A1277">
        <v>4216</v>
      </c>
      <c r="B1277">
        <v>4216</v>
      </c>
      <c r="C1277">
        <v>64</v>
      </c>
      <c r="D1277">
        <v>40</v>
      </c>
      <c r="E1277">
        <v>21</v>
      </c>
      <c r="F1277">
        <v>2</v>
      </c>
      <c r="G1277">
        <v>0.3</v>
      </c>
      <c r="H1277">
        <v>3</v>
      </c>
      <c r="I1277">
        <v>0</v>
      </c>
      <c r="J1277">
        <v>0</v>
      </c>
      <c r="K1277">
        <v>0</v>
      </c>
      <c r="L1277">
        <v>94028</v>
      </c>
      <c r="M1277">
        <v>0</v>
      </c>
      <c r="N1277">
        <v>0</v>
      </c>
      <c r="O1277">
        <v>0</v>
      </c>
      <c r="Q1277">
        <v>0</v>
      </c>
      <c r="R1277">
        <v>0</v>
      </c>
      <c r="S1277">
        <v>0</v>
      </c>
      <c r="T1277">
        <v>5</v>
      </c>
      <c r="U1277">
        <v>1</v>
      </c>
      <c r="V1277">
        <v>0</v>
      </c>
      <c r="W1277">
        <v>1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</row>
    <row r="1278" spans="1:29" x14ac:dyDescent="0.35">
      <c r="A1278">
        <v>4219</v>
      </c>
      <c r="B1278">
        <v>4219</v>
      </c>
      <c r="C1278">
        <v>52</v>
      </c>
      <c r="D1278">
        <v>27</v>
      </c>
      <c r="E1278">
        <v>43</v>
      </c>
      <c r="F1278">
        <v>4</v>
      </c>
      <c r="G1278">
        <v>0.2</v>
      </c>
      <c r="H1278">
        <v>2</v>
      </c>
      <c r="I1278">
        <v>0</v>
      </c>
      <c r="J1278">
        <v>0</v>
      </c>
      <c r="K1278">
        <v>1</v>
      </c>
      <c r="L1278">
        <v>94005</v>
      </c>
      <c r="M1278">
        <v>0</v>
      </c>
      <c r="N1278">
        <v>0</v>
      </c>
      <c r="O1278">
        <v>0</v>
      </c>
      <c r="Q1278">
        <v>0</v>
      </c>
      <c r="R1278">
        <v>0</v>
      </c>
      <c r="S1278">
        <v>0</v>
      </c>
      <c r="T1278">
        <v>5</v>
      </c>
      <c r="U1278">
        <v>1</v>
      </c>
      <c r="V1278">
        <v>0</v>
      </c>
      <c r="W1278">
        <v>1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</row>
    <row r="1279" spans="1:29" x14ac:dyDescent="0.35">
      <c r="A1279">
        <v>4220</v>
      </c>
      <c r="B1279">
        <v>4220</v>
      </c>
      <c r="C1279">
        <v>58</v>
      </c>
      <c r="D1279">
        <v>34</v>
      </c>
      <c r="E1279">
        <v>30</v>
      </c>
      <c r="F1279">
        <v>3</v>
      </c>
      <c r="G1279">
        <v>0.4</v>
      </c>
      <c r="H1279">
        <v>2</v>
      </c>
      <c r="I1279">
        <v>0</v>
      </c>
      <c r="J1279">
        <v>0</v>
      </c>
      <c r="K1279">
        <v>0</v>
      </c>
      <c r="L1279">
        <v>90066</v>
      </c>
      <c r="M1279">
        <v>0</v>
      </c>
      <c r="N1279">
        <v>0</v>
      </c>
      <c r="O1279">
        <v>0</v>
      </c>
      <c r="Q1279">
        <v>0</v>
      </c>
      <c r="R1279">
        <v>0</v>
      </c>
      <c r="S1279">
        <v>0</v>
      </c>
      <c r="T1279">
        <v>5</v>
      </c>
      <c r="U1279">
        <v>1</v>
      </c>
      <c r="V1279">
        <v>0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</row>
    <row r="1280" spans="1:29" x14ac:dyDescent="0.35">
      <c r="A1280">
        <v>4224</v>
      </c>
      <c r="B1280">
        <v>4224</v>
      </c>
      <c r="C1280">
        <v>53</v>
      </c>
      <c r="D1280">
        <v>26</v>
      </c>
      <c r="E1280">
        <v>8</v>
      </c>
      <c r="F1280">
        <v>1</v>
      </c>
      <c r="G1280">
        <v>0.5</v>
      </c>
      <c r="H1280">
        <v>2</v>
      </c>
      <c r="I1280">
        <v>0</v>
      </c>
      <c r="J1280">
        <v>0</v>
      </c>
      <c r="K1280">
        <v>1</v>
      </c>
      <c r="L1280">
        <v>94709</v>
      </c>
      <c r="M1280">
        <v>0</v>
      </c>
      <c r="N1280">
        <v>0</v>
      </c>
      <c r="O1280">
        <v>0</v>
      </c>
      <c r="Q1280">
        <v>0</v>
      </c>
      <c r="R1280">
        <v>0</v>
      </c>
      <c r="S1280">
        <v>0</v>
      </c>
      <c r="T1280">
        <v>5</v>
      </c>
      <c r="U1280">
        <v>1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</row>
    <row r="1281" spans="1:29" x14ac:dyDescent="0.35">
      <c r="A1281">
        <v>4226</v>
      </c>
      <c r="B1281">
        <v>4226</v>
      </c>
      <c r="C1281">
        <v>43</v>
      </c>
      <c r="D1281">
        <v>18</v>
      </c>
      <c r="E1281">
        <v>204</v>
      </c>
      <c r="F1281">
        <v>2</v>
      </c>
      <c r="G1281">
        <v>8.8000000000000007</v>
      </c>
      <c r="H1281">
        <v>1</v>
      </c>
      <c r="I1281">
        <v>0</v>
      </c>
      <c r="J1281">
        <v>1</v>
      </c>
      <c r="K1281">
        <v>0</v>
      </c>
      <c r="L1281">
        <v>91902</v>
      </c>
      <c r="M1281">
        <v>0</v>
      </c>
      <c r="N1281">
        <v>0</v>
      </c>
      <c r="O1281">
        <v>0</v>
      </c>
      <c r="Q1281">
        <v>1</v>
      </c>
      <c r="R1281">
        <v>0</v>
      </c>
      <c r="S1281">
        <v>0</v>
      </c>
      <c r="T1281">
        <v>22</v>
      </c>
      <c r="U1281">
        <v>1</v>
      </c>
      <c r="V1281">
        <v>0</v>
      </c>
      <c r="W1281">
        <v>1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</row>
    <row r="1282" spans="1:29" x14ac:dyDescent="0.35">
      <c r="A1282">
        <v>4228</v>
      </c>
      <c r="B1282">
        <v>4228</v>
      </c>
      <c r="C1282">
        <v>32</v>
      </c>
      <c r="D1282">
        <v>7</v>
      </c>
      <c r="E1282">
        <v>111</v>
      </c>
      <c r="F1282">
        <v>1</v>
      </c>
      <c r="G1282">
        <v>3.8</v>
      </c>
      <c r="H1282">
        <v>1</v>
      </c>
      <c r="I1282">
        <v>0</v>
      </c>
      <c r="J1282">
        <v>0</v>
      </c>
      <c r="K1282">
        <v>0</v>
      </c>
      <c r="L1282">
        <v>90277</v>
      </c>
      <c r="M1282">
        <v>0</v>
      </c>
      <c r="N1282">
        <v>1</v>
      </c>
      <c r="O1282">
        <v>0</v>
      </c>
      <c r="Q1282">
        <v>1</v>
      </c>
      <c r="R1282">
        <v>0</v>
      </c>
      <c r="S1282">
        <v>0</v>
      </c>
      <c r="T1282">
        <v>22</v>
      </c>
      <c r="U1282">
        <v>1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</row>
    <row r="1283" spans="1:29" x14ac:dyDescent="0.35">
      <c r="A1283">
        <v>4234</v>
      </c>
      <c r="B1283">
        <v>4234</v>
      </c>
      <c r="C1283">
        <v>32</v>
      </c>
      <c r="D1283">
        <v>7</v>
      </c>
      <c r="E1283">
        <v>134</v>
      </c>
      <c r="F1283">
        <v>2</v>
      </c>
      <c r="G1283">
        <v>3.3</v>
      </c>
      <c r="H1283">
        <v>1</v>
      </c>
      <c r="I1283">
        <v>0</v>
      </c>
      <c r="J1283">
        <v>1</v>
      </c>
      <c r="K1283">
        <v>0</v>
      </c>
      <c r="L1283">
        <v>95929</v>
      </c>
      <c r="M1283">
        <v>0</v>
      </c>
      <c r="N1283">
        <v>0</v>
      </c>
      <c r="O1283">
        <v>0</v>
      </c>
      <c r="Q1283">
        <v>1</v>
      </c>
      <c r="R1283">
        <v>0</v>
      </c>
      <c r="S1283">
        <v>0</v>
      </c>
      <c r="T1283">
        <v>22</v>
      </c>
      <c r="U1283">
        <v>1</v>
      </c>
      <c r="V1283">
        <v>0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</row>
    <row r="1284" spans="1:29" x14ac:dyDescent="0.35">
      <c r="A1284">
        <v>4235</v>
      </c>
      <c r="B1284">
        <v>4235</v>
      </c>
      <c r="C1284">
        <v>50</v>
      </c>
      <c r="D1284">
        <v>24</v>
      </c>
      <c r="E1284">
        <v>91</v>
      </c>
      <c r="F1284">
        <v>1</v>
      </c>
      <c r="G1284">
        <v>0.8</v>
      </c>
      <c r="H1284">
        <v>3</v>
      </c>
      <c r="I1284">
        <v>0</v>
      </c>
      <c r="J1284">
        <v>1</v>
      </c>
      <c r="K1284">
        <v>0</v>
      </c>
      <c r="L1284">
        <v>93555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5</v>
      </c>
      <c r="U1284">
        <v>1</v>
      </c>
      <c r="V1284">
        <v>0</v>
      </c>
      <c r="W1284">
        <v>1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</row>
    <row r="1285" spans="1:29" x14ac:dyDescent="0.35">
      <c r="A1285">
        <v>4247</v>
      </c>
      <c r="B1285">
        <v>4247</v>
      </c>
      <c r="C1285">
        <v>60</v>
      </c>
      <c r="D1285">
        <v>35</v>
      </c>
      <c r="E1285">
        <v>24</v>
      </c>
      <c r="F1285">
        <v>1</v>
      </c>
      <c r="G1285">
        <v>1.5</v>
      </c>
      <c r="H1285">
        <v>2</v>
      </c>
      <c r="I1285">
        <v>0</v>
      </c>
      <c r="J1285">
        <v>0</v>
      </c>
      <c r="K1285">
        <v>0</v>
      </c>
      <c r="L1285">
        <v>94920</v>
      </c>
      <c r="M1285">
        <v>0</v>
      </c>
      <c r="N1285">
        <v>0</v>
      </c>
      <c r="O1285">
        <v>0</v>
      </c>
      <c r="Q1285">
        <v>0</v>
      </c>
      <c r="R1285">
        <v>0</v>
      </c>
      <c r="S1285">
        <v>0</v>
      </c>
      <c r="T1285">
        <v>5</v>
      </c>
      <c r="U1285">
        <v>1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</row>
    <row r="1286" spans="1:29" x14ac:dyDescent="0.35">
      <c r="A1286">
        <v>4250</v>
      </c>
      <c r="B1286">
        <v>4250</v>
      </c>
      <c r="C1286">
        <v>37</v>
      </c>
      <c r="D1286">
        <v>12</v>
      </c>
      <c r="E1286">
        <v>63</v>
      </c>
      <c r="F1286">
        <v>4</v>
      </c>
      <c r="G1286">
        <v>2.1</v>
      </c>
      <c r="H1286">
        <v>3</v>
      </c>
      <c r="I1286">
        <v>0</v>
      </c>
      <c r="J1286">
        <v>1</v>
      </c>
      <c r="K1286">
        <v>0</v>
      </c>
      <c r="L1286">
        <v>91942</v>
      </c>
      <c r="M1286">
        <v>0</v>
      </c>
      <c r="N1286">
        <v>0</v>
      </c>
      <c r="O1286">
        <v>0</v>
      </c>
      <c r="Q1286">
        <v>0</v>
      </c>
      <c r="R1286">
        <v>0</v>
      </c>
      <c r="S1286">
        <v>0</v>
      </c>
      <c r="T1286">
        <v>5</v>
      </c>
      <c r="U1286">
        <v>1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</row>
    <row r="1287" spans="1:29" x14ac:dyDescent="0.35">
      <c r="A1287">
        <v>4251</v>
      </c>
      <c r="B1287">
        <v>4251</v>
      </c>
      <c r="C1287">
        <v>52</v>
      </c>
      <c r="D1287">
        <v>28</v>
      </c>
      <c r="E1287">
        <v>54</v>
      </c>
      <c r="F1287">
        <v>4</v>
      </c>
      <c r="G1287">
        <v>0.1</v>
      </c>
      <c r="H1287">
        <v>3</v>
      </c>
      <c r="I1287">
        <v>0</v>
      </c>
      <c r="J1287">
        <v>0</v>
      </c>
      <c r="K1287">
        <v>1</v>
      </c>
      <c r="L1287">
        <v>90041</v>
      </c>
      <c r="M1287">
        <v>0</v>
      </c>
      <c r="N1287">
        <v>0</v>
      </c>
      <c r="O1287">
        <v>0</v>
      </c>
      <c r="Q1287">
        <v>0</v>
      </c>
      <c r="R1287">
        <v>0</v>
      </c>
      <c r="S1287">
        <v>0</v>
      </c>
      <c r="T1287">
        <v>5</v>
      </c>
      <c r="U1287">
        <v>1</v>
      </c>
      <c r="V1287">
        <v>0</v>
      </c>
      <c r="W1287">
        <v>1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</row>
    <row r="1288" spans="1:29" x14ac:dyDescent="0.35">
      <c r="A1288">
        <v>4253</v>
      </c>
      <c r="B1288">
        <v>4253</v>
      </c>
      <c r="C1288">
        <v>54</v>
      </c>
      <c r="D1288">
        <v>29</v>
      </c>
      <c r="E1288">
        <v>81</v>
      </c>
      <c r="F1288">
        <v>1</v>
      </c>
      <c r="G1288">
        <v>0.1</v>
      </c>
      <c r="H1288">
        <v>3</v>
      </c>
      <c r="I1288">
        <v>0</v>
      </c>
      <c r="J1288">
        <v>0</v>
      </c>
      <c r="K1288">
        <v>0</v>
      </c>
      <c r="L1288">
        <v>91107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5</v>
      </c>
      <c r="U1288">
        <v>1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</row>
    <row r="1289" spans="1:29" x14ac:dyDescent="0.35">
      <c r="A1289">
        <v>4255</v>
      </c>
      <c r="B1289">
        <v>4255</v>
      </c>
      <c r="C1289">
        <v>51</v>
      </c>
      <c r="D1289">
        <v>27</v>
      </c>
      <c r="E1289">
        <v>68</v>
      </c>
      <c r="F1289">
        <v>1</v>
      </c>
      <c r="G1289">
        <v>1.6</v>
      </c>
      <c r="H1289">
        <v>3</v>
      </c>
      <c r="I1289">
        <v>0</v>
      </c>
      <c r="J1289">
        <v>1</v>
      </c>
      <c r="K1289">
        <v>0</v>
      </c>
      <c r="L1289">
        <v>91711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5</v>
      </c>
      <c r="U1289">
        <v>1</v>
      </c>
      <c r="V1289">
        <v>0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</row>
    <row r="1290" spans="1:29" x14ac:dyDescent="0.35">
      <c r="A1290">
        <v>4256</v>
      </c>
      <c r="B1290">
        <v>4256</v>
      </c>
      <c r="C1290">
        <v>59</v>
      </c>
      <c r="D1290">
        <v>35</v>
      </c>
      <c r="E1290">
        <v>78</v>
      </c>
      <c r="F1290">
        <v>2</v>
      </c>
      <c r="G1290">
        <v>2.8</v>
      </c>
      <c r="H1290">
        <v>1</v>
      </c>
      <c r="I1290">
        <v>0</v>
      </c>
      <c r="J1290">
        <v>1</v>
      </c>
      <c r="K1290">
        <v>0</v>
      </c>
      <c r="L1290">
        <v>90095</v>
      </c>
      <c r="M1290">
        <v>0</v>
      </c>
      <c r="N1290">
        <v>0</v>
      </c>
      <c r="O1290">
        <v>0</v>
      </c>
      <c r="Q1290">
        <v>1</v>
      </c>
      <c r="R1290">
        <v>0</v>
      </c>
      <c r="S1290">
        <v>0</v>
      </c>
      <c r="T1290">
        <v>5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</row>
    <row r="1291" spans="1:29" x14ac:dyDescent="0.35">
      <c r="A1291">
        <v>4257</v>
      </c>
      <c r="B1291">
        <v>4257</v>
      </c>
      <c r="C1291">
        <v>41</v>
      </c>
      <c r="D1291">
        <v>17</v>
      </c>
      <c r="E1291">
        <v>165</v>
      </c>
      <c r="F1291">
        <v>2</v>
      </c>
      <c r="G1291">
        <v>7.6</v>
      </c>
      <c r="H1291">
        <v>1</v>
      </c>
      <c r="I1291">
        <v>157</v>
      </c>
      <c r="J1291">
        <v>0</v>
      </c>
      <c r="K1291">
        <v>0</v>
      </c>
      <c r="L1291">
        <v>91311</v>
      </c>
      <c r="M1291">
        <v>0</v>
      </c>
      <c r="N1291">
        <v>0</v>
      </c>
      <c r="O1291">
        <v>0</v>
      </c>
      <c r="Q1291">
        <v>1</v>
      </c>
      <c r="R1291">
        <v>0</v>
      </c>
      <c r="S1291">
        <v>0</v>
      </c>
      <c r="T1291">
        <v>22</v>
      </c>
      <c r="U1291">
        <v>1</v>
      </c>
      <c r="V1291">
        <v>0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</row>
    <row r="1292" spans="1:29" x14ac:dyDescent="0.35">
      <c r="A1292">
        <v>4267</v>
      </c>
      <c r="B1292">
        <v>4267</v>
      </c>
      <c r="C1292">
        <v>42</v>
      </c>
      <c r="D1292">
        <v>16</v>
      </c>
      <c r="E1292">
        <v>11</v>
      </c>
      <c r="F1292">
        <v>1</v>
      </c>
      <c r="G1292">
        <v>0.2</v>
      </c>
      <c r="H1292">
        <v>1</v>
      </c>
      <c r="I1292">
        <v>87</v>
      </c>
      <c r="J1292">
        <v>0</v>
      </c>
      <c r="K1292">
        <v>1</v>
      </c>
      <c r="L1292">
        <v>94015</v>
      </c>
      <c r="M1292">
        <v>0</v>
      </c>
      <c r="N1292">
        <v>0</v>
      </c>
      <c r="O1292">
        <v>0</v>
      </c>
      <c r="Q1292">
        <v>1</v>
      </c>
      <c r="R1292">
        <v>0</v>
      </c>
      <c r="S1292">
        <v>0</v>
      </c>
      <c r="T1292">
        <v>5</v>
      </c>
      <c r="U1292">
        <v>1</v>
      </c>
      <c r="V1292">
        <v>0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</row>
    <row r="1293" spans="1:29" x14ac:dyDescent="0.35">
      <c r="A1293">
        <v>4269</v>
      </c>
      <c r="B1293">
        <v>4269</v>
      </c>
      <c r="C1293">
        <v>49</v>
      </c>
      <c r="D1293">
        <v>23</v>
      </c>
      <c r="E1293">
        <v>108</v>
      </c>
      <c r="F1293">
        <v>2</v>
      </c>
      <c r="G1293">
        <v>2.4</v>
      </c>
      <c r="H1293">
        <v>2</v>
      </c>
      <c r="I1293">
        <v>0</v>
      </c>
      <c r="J1293">
        <v>1</v>
      </c>
      <c r="K1293">
        <v>0</v>
      </c>
      <c r="L1293">
        <v>95616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13</v>
      </c>
      <c r="U1293">
        <v>0.88607594936708001</v>
      </c>
      <c r="V1293">
        <v>0.11392405063291</v>
      </c>
      <c r="W1293">
        <v>0.88607594936708001</v>
      </c>
      <c r="X1293">
        <v>0.11392405063291</v>
      </c>
      <c r="Y1293">
        <v>0.86842105263156999</v>
      </c>
      <c r="Z1293">
        <v>0.13157894736841999</v>
      </c>
      <c r="AA1293">
        <v>0.11392405063291999</v>
      </c>
      <c r="AB1293">
        <v>-0.11392405063291</v>
      </c>
      <c r="AC1293">
        <v>0</v>
      </c>
    </row>
    <row r="1294" spans="1:29" x14ac:dyDescent="0.35">
      <c r="A1294">
        <v>4270</v>
      </c>
      <c r="B1294">
        <v>4270</v>
      </c>
      <c r="C1294">
        <v>47</v>
      </c>
      <c r="D1294">
        <v>23</v>
      </c>
      <c r="E1294">
        <v>12</v>
      </c>
      <c r="F1294">
        <v>4</v>
      </c>
      <c r="G1294">
        <v>0.5</v>
      </c>
      <c r="H1294">
        <v>2</v>
      </c>
      <c r="I1294">
        <v>0</v>
      </c>
      <c r="J1294">
        <v>0</v>
      </c>
      <c r="K1294">
        <v>0</v>
      </c>
      <c r="L1294">
        <v>92518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5</v>
      </c>
      <c r="U1294">
        <v>1</v>
      </c>
      <c r="V1294">
        <v>0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</row>
    <row r="1295" spans="1:29" x14ac:dyDescent="0.35">
      <c r="A1295">
        <v>4271</v>
      </c>
      <c r="B1295">
        <v>4271</v>
      </c>
      <c r="C1295">
        <v>45</v>
      </c>
      <c r="D1295">
        <v>19</v>
      </c>
      <c r="E1295">
        <v>19</v>
      </c>
      <c r="F1295">
        <v>3</v>
      </c>
      <c r="G1295">
        <v>1.5</v>
      </c>
      <c r="H1295">
        <v>1</v>
      </c>
      <c r="I1295">
        <v>94</v>
      </c>
      <c r="J1295">
        <v>1</v>
      </c>
      <c r="K1295">
        <v>1</v>
      </c>
      <c r="L1295">
        <v>93117</v>
      </c>
      <c r="M1295">
        <v>0</v>
      </c>
      <c r="N1295">
        <v>0</v>
      </c>
      <c r="O1295">
        <v>0</v>
      </c>
      <c r="Q1295">
        <v>1</v>
      </c>
      <c r="R1295">
        <v>0</v>
      </c>
      <c r="S1295">
        <v>0</v>
      </c>
      <c r="T1295">
        <v>5</v>
      </c>
      <c r="U1295">
        <v>1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</row>
    <row r="1296" spans="1:29" x14ac:dyDescent="0.35">
      <c r="A1296">
        <v>4279</v>
      </c>
      <c r="B1296">
        <v>4279</v>
      </c>
      <c r="C1296">
        <v>56</v>
      </c>
      <c r="D1296">
        <v>31</v>
      </c>
      <c r="E1296">
        <v>51</v>
      </c>
      <c r="F1296">
        <v>3</v>
      </c>
      <c r="G1296">
        <v>1.7</v>
      </c>
      <c r="H1296">
        <v>1</v>
      </c>
      <c r="I1296">
        <v>0</v>
      </c>
      <c r="J1296">
        <v>1</v>
      </c>
      <c r="K1296">
        <v>1</v>
      </c>
      <c r="L1296">
        <v>92028</v>
      </c>
      <c r="M1296">
        <v>0</v>
      </c>
      <c r="N1296">
        <v>0</v>
      </c>
      <c r="O1296">
        <v>0</v>
      </c>
      <c r="Q1296">
        <v>1</v>
      </c>
      <c r="R1296">
        <v>0</v>
      </c>
      <c r="S1296">
        <v>0</v>
      </c>
      <c r="T1296">
        <v>5</v>
      </c>
      <c r="U1296">
        <v>1</v>
      </c>
      <c r="V1296">
        <v>0</v>
      </c>
      <c r="W1296">
        <v>1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</row>
    <row r="1297" spans="1:29" x14ac:dyDescent="0.35">
      <c r="A1297">
        <v>4282</v>
      </c>
      <c r="B1297">
        <v>4282</v>
      </c>
      <c r="C1297">
        <v>28</v>
      </c>
      <c r="D1297">
        <v>1</v>
      </c>
      <c r="E1297">
        <v>34</v>
      </c>
      <c r="F1297">
        <v>4</v>
      </c>
      <c r="G1297">
        <v>1.5</v>
      </c>
      <c r="H1297">
        <v>2</v>
      </c>
      <c r="I1297">
        <v>162</v>
      </c>
      <c r="J1297">
        <v>0</v>
      </c>
      <c r="K1297">
        <v>1</v>
      </c>
      <c r="L1297">
        <v>94949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5</v>
      </c>
      <c r="U1297">
        <v>1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</row>
    <row r="1298" spans="1:29" x14ac:dyDescent="0.35">
      <c r="A1298">
        <v>4287</v>
      </c>
      <c r="B1298">
        <v>4287</v>
      </c>
      <c r="C1298">
        <v>53</v>
      </c>
      <c r="D1298">
        <v>29</v>
      </c>
      <c r="E1298">
        <v>20</v>
      </c>
      <c r="F1298">
        <v>1</v>
      </c>
      <c r="G1298">
        <v>0.2</v>
      </c>
      <c r="H1298">
        <v>1</v>
      </c>
      <c r="I1298">
        <v>131</v>
      </c>
      <c r="J1298">
        <v>1</v>
      </c>
      <c r="K1298">
        <v>1</v>
      </c>
      <c r="L1298">
        <v>93955</v>
      </c>
      <c r="M1298">
        <v>0</v>
      </c>
      <c r="N1298">
        <v>0</v>
      </c>
      <c r="O1298">
        <v>0</v>
      </c>
      <c r="Q1298">
        <v>1</v>
      </c>
      <c r="R1298">
        <v>0</v>
      </c>
      <c r="S1298">
        <v>0</v>
      </c>
      <c r="T1298">
        <v>5</v>
      </c>
      <c r="U1298">
        <v>1</v>
      </c>
      <c r="V1298">
        <v>0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</row>
    <row r="1299" spans="1:29" x14ac:dyDescent="0.35">
      <c r="A1299">
        <v>4288</v>
      </c>
      <c r="B1299">
        <v>4288</v>
      </c>
      <c r="C1299">
        <v>54</v>
      </c>
      <c r="D1299">
        <v>28</v>
      </c>
      <c r="E1299">
        <v>42</v>
      </c>
      <c r="F1299">
        <v>4</v>
      </c>
      <c r="G1299">
        <v>2.5</v>
      </c>
      <c r="H1299">
        <v>1</v>
      </c>
      <c r="I1299">
        <v>0</v>
      </c>
      <c r="J1299">
        <v>1</v>
      </c>
      <c r="K1299">
        <v>1</v>
      </c>
      <c r="L1299">
        <v>95207</v>
      </c>
      <c r="M1299">
        <v>0</v>
      </c>
      <c r="N1299">
        <v>0</v>
      </c>
      <c r="O1299">
        <v>0</v>
      </c>
      <c r="Q1299">
        <v>1</v>
      </c>
      <c r="R1299">
        <v>0</v>
      </c>
      <c r="S1299">
        <v>0</v>
      </c>
      <c r="T1299">
        <v>5</v>
      </c>
      <c r="U1299">
        <v>1</v>
      </c>
      <c r="V1299">
        <v>0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</row>
    <row r="1300" spans="1:29" x14ac:dyDescent="0.35">
      <c r="A1300">
        <v>4289</v>
      </c>
      <c r="B1300">
        <v>4289</v>
      </c>
      <c r="C1300">
        <v>42</v>
      </c>
      <c r="D1300">
        <v>17</v>
      </c>
      <c r="E1300">
        <v>28</v>
      </c>
      <c r="F1300">
        <v>1</v>
      </c>
      <c r="G1300">
        <v>0.6</v>
      </c>
      <c r="H1300">
        <v>3</v>
      </c>
      <c r="I1300">
        <v>0</v>
      </c>
      <c r="J1300">
        <v>0</v>
      </c>
      <c r="K1300">
        <v>1</v>
      </c>
      <c r="L1300">
        <v>94010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5</v>
      </c>
      <c r="U1300">
        <v>1</v>
      </c>
      <c r="V1300">
        <v>0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</row>
    <row r="1301" spans="1:29" x14ac:dyDescent="0.35">
      <c r="A1301">
        <v>4293</v>
      </c>
      <c r="B1301">
        <v>4293</v>
      </c>
      <c r="C1301">
        <v>63</v>
      </c>
      <c r="D1301">
        <v>37</v>
      </c>
      <c r="E1301">
        <v>191</v>
      </c>
      <c r="F1301">
        <v>2</v>
      </c>
      <c r="G1301">
        <v>4.3</v>
      </c>
      <c r="H1301">
        <v>3</v>
      </c>
      <c r="I1301">
        <v>205</v>
      </c>
      <c r="J1301">
        <v>0</v>
      </c>
      <c r="K1301">
        <v>0</v>
      </c>
      <c r="L1301">
        <v>94131</v>
      </c>
      <c r="M1301">
        <v>1</v>
      </c>
      <c r="N1301">
        <v>0</v>
      </c>
      <c r="O1301">
        <v>0</v>
      </c>
      <c r="Q1301">
        <v>0</v>
      </c>
      <c r="R1301">
        <v>1</v>
      </c>
      <c r="S1301">
        <v>1</v>
      </c>
      <c r="T1301">
        <v>10</v>
      </c>
      <c r="U1301">
        <v>0</v>
      </c>
      <c r="V1301">
        <v>1</v>
      </c>
      <c r="W1301">
        <v>0</v>
      </c>
      <c r="X1301">
        <v>1</v>
      </c>
      <c r="Y1301">
        <v>0</v>
      </c>
      <c r="Z1301">
        <v>1</v>
      </c>
      <c r="AA1301">
        <v>0</v>
      </c>
      <c r="AB1301">
        <v>0</v>
      </c>
      <c r="AC1301">
        <v>1</v>
      </c>
    </row>
    <row r="1302" spans="1:29" x14ac:dyDescent="0.35">
      <c r="A1302">
        <v>4297</v>
      </c>
      <c r="B1302">
        <v>4297</v>
      </c>
      <c r="C1302">
        <v>35</v>
      </c>
      <c r="D1302">
        <v>9</v>
      </c>
      <c r="E1302">
        <v>84</v>
      </c>
      <c r="F1302">
        <v>4</v>
      </c>
      <c r="G1302">
        <v>2.2000000000000002</v>
      </c>
      <c r="H1302">
        <v>2</v>
      </c>
      <c r="I1302">
        <v>0</v>
      </c>
      <c r="J1302">
        <v>1</v>
      </c>
      <c r="K1302">
        <v>0</v>
      </c>
      <c r="L1302">
        <v>94709</v>
      </c>
      <c r="M1302">
        <v>0</v>
      </c>
      <c r="N1302">
        <v>0</v>
      </c>
      <c r="O1302">
        <v>0</v>
      </c>
      <c r="Q1302">
        <v>0</v>
      </c>
      <c r="R1302">
        <v>0</v>
      </c>
      <c r="S1302">
        <v>0</v>
      </c>
      <c r="T1302">
        <v>5</v>
      </c>
      <c r="U1302">
        <v>1</v>
      </c>
      <c r="V1302">
        <v>0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</row>
    <row r="1303" spans="1:29" x14ac:dyDescent="0.35">
      <c r="A1303">
        <v>4300</v>
      </c>
      <c r="B1303">
        <v>4300</v>
      </c>
      <c r="C1303">
        <v>30</v>
      </c>
      <c r="D1303">
        <v>5</v>
      </c>
      <c r="E1303">
        <v>73</v>
      </c>
      <c r="F1303">
        <v>1</v>
      </c>
      <c r="G1303">
        <v>2.6</v>
      </c>
      <c r="H1303">
        <v>2</v>
      </c>
      <c r="I1303">
        <v>133</v>
      </c>
      <c r="J1303">
        <v>1</v>
      </c>
      <c r="K1303">
        <v>0</v>
      </c>
      <c r="L1303">
        <v>90065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5</v>
      </c>
      <c r="U1303">
        <v>1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</row>
    <row r="1304" spans="1:29" x14ac:dyDescent="0.35">
      <c r="A1304">
        <v>4302</v>
      </c>
      <c r="B1304">
        <v>4302</v>
      </c>
      <c r="C1304">
        <v>49</v>
      </c>
      <c r="D1304">
        <v>24</v>
      </c>
      <c r="E1304">
        <v>130</v>
      </c>
      <c r="F1304">
        <v>4</v>
      </c>
      <c r="G1304">
        <v>1.1000000000000001</v>
      </c>
      <c r="H1304">
        <v>1</v>
      </c>
      <c r="I1304">
        <v>281</v>
      </c>
      <c r="J1304">
        <v>1</v>
      </c>
      <c r="K1304">
        <v>0</v>
      </c>
      <c r="L1304">
        <v>92677</v>
      </c>
      <c r="M1304">
        <v>1</v>
      </c>
      <c r="N1304">
        <v>0</v>
      </c>
      <c r="O1304">
        <v>1</v>
      </c>
      <c r="Q1304">
        <v>1</v>
      </c>
      <c r="R1304">
        <v>1</v>
      </c>
      <c r="S1304">
        <v>1</v>
      </c>
      <c r="T1304">
        <v>20</v>
      </c>
      <c r="U1304">
        <v>0</v>
      </c>
      <c r="V1304">
        <v>1</v>
      </c>
      <c r="W1304">
        <v>0</v>
      </c>
      <c r="X1304">
        <v>1</v>
      </c>
      <c r="Y1304">
        <v>0</v>
      </c>
      <c r="Z1304">
        <v>1</v>
      </c>
      <c r="AA1304">
        <v>0</v>
      </c>
      <c r="AB1304">
        <v>0</v>
      </c>
      <c r="AC1304">
        <v>1</v>
      </c>
    </row>
    <row r="1305" spans="1:29" x14ac:dyDescent="0.35">
      <c r="A1305">
        <v>4303</v>
      </c>
      <c r="B1305">
        <v>4303</v>
      </c>
      <c r="C1305">
        <v>52</v>
      </c>
      <c r="D1305">
        <v>27</v>
      </c>
      <c r="E1305">
        <v>85</v>
      </c>
      <c r="F1305">
        <v>3</v>
      </c>
      <c r="G1305">
        <v>3.4</v>
      </c>
      <c r="H1305">
        <v>3</v>
      </c>
      <c r="I1305">
        <v>0</v>
      </c>
      <c r="J1305">
        <v>0</v>
      </c>
      <c r="K1305">
        <v>0</v>
      </c>
      <c r="L1305">
        <v>92037</v>
      </c>
      <c r="M1305">
        <v>1</v>
      </c>
      <c r="N1305">
        <v>0</v>
      </c>
      <c r="O1305">
        <v>0</v>
      </c>
      <c r="Q1305">
        <v>0</v>
      </c>
      <c r="R1305">
        <v>1</v>
      </c>
      <c r="S1305">
        <v>0</v>
      </c>
      <c r="T1305">
        <v>15</v>
      </c>
      <c r="U1305">
        <v>0.91935483870967005</v>
      </c>
      <c r="V1305">
        <v>8.0645161290319997E-2</v>
      </c>
      <c r="W1305">
        <v>0.91935483870967005</v>
      </c>
      <c r="X1305">
        <v>8.0645161290319997E-2</v>
      </c>
      <c r="Y1305">
        <v>0.86</v>
      </c>
      <c r="Z1305">
        <v>0.14000000000000001</v>
      </c>
      <c r="AA1305">
        <v>-0.91935483870967005</v>
      </c>
      <c r="AB1305">
        <v>0.91935483870968004</v>
      </c>
      <c r="AC1305">
        <v>0</v>
      </c>
    </row>
    <row r="1306" spans="1:29" x14ac:dyDescent="0.35">
      <c r="A1306">
        <v>4307</v>
      </c>
      <c r="B1306">
        <v>4307</v>
      </c>
      <c r="C1306">
        <v>35</v>
      </c>
      <c r="D1306">
        <v>11</v>
      </c>
      <c r="E1306">
        <v>41</v>
      </c>
      <c r="F1306">
        <v>3</v>
      </c>
      <c r="G1306">
        <v>2</v>
      </c>
      <c r="H1306">
        <v>1</v>
      </c>
      <c r="I1306">
        <v>0</v>
      </c>
      <c r="J1306">
        <v>1</v>
      </c>
      <c r="K1306">
        <v>0</v>
      </c>
      <c r="L1306">
        <v>92123</v>
      </c>
      <c r="M1306">
        <v>0</v>
      </c>
      <c r="N1306">
        <v>0</v>
      </c>
      <c r="O1306">
        <v>0</v>
      </c>
      <c r="Q1306">
        <v>1</v>
      </c>
      <c r="R1306">
        <v>0</v>
      </c>
      <c r="S1306">
        <v>0</v>
      </c>
      <c r="T1306">
        <v>5</v>
      </c>
      <c r="U1306">
        <v>1</v>
      </c>
      <c r="V1306">
        <v>0</v>
      </c>
      <c r="W1306">
        <v>1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</row>
    <row r="1307" spans="1:29" x14ac:dyDescent="0.35">
      <c r="A1307">
        <v>4308</v>
      </c>
      <c r="B1307">
        <v>4308</v>
      </c>
      <c r="C1307">
        <v>45</v>
      </c>
      <c r="D1307">
        <v>19</v>
      </c>
      <c r="E1307">
        <v>128</v>
      </c>
      <c r="F1307">
        <v>4</v>
      </c>
      <c r="G1307">
        <v>6</v>
      </c>
      <c r="H1307">
        <v>3</v>
      </c>
      <c r="I1307">
        <v>0</v>
      </c>
      <c r="J1307">
        <v>1</v>
      </c>
      <c r="K1307">
        <v>0</v>
      </c>
      <c r="L1307">
        <v>94928</v>
      </c>
      <c r="M1307">
        <v>1</v>
      </c>
      <c r="N1307">
        <v>0</v>
      </c>
      <c r="O1307">
        <v>0</v>
      </c>
      <c r="Q1307">
        <v>0</v>
      </c>
      <c r="R1307">
        <v>1</v>
      </c>
      <c r="S1307">
        <v>1</v>
      </c>
      <c r="T1307">
        <v>10</v>
      </c>
      <c r="U1307">
        <v>0</v>
      </c>
      <c r="V1307">
        <v>1</v>
      </c>
      <c r="W1307">
        <v>0</v>
      </c>
      <c r="X1307">
        <v>1</v>
      </c>
      <c r="Y1307">
        <v>0</v>
      </c>
      <c r="Z1307">
        <v>1</v>
      </c>
      <c r="AA1307">
        <v>0</v>
      </c>
      <c r="AB1307">
        <v>0</v>
      </c>
      <c r="AC1307">
        <v>1</v>
      </c>
    </row>
    <row r="1308" spans="1:29" x14ac:dyDescent="0.35">
      <c r="A1308">
        <v>4311</v>
      </c>
      <c r="B1308">
        <v>4311</v>
      </c>
      <c r="C1308">
        <v>65</v>
      </c>
      <c r="D1308">
        <v>41</v>
      </c>
      <c r="E1308">
        <v>170</v>
      </c>
      <c r="F1308">
        <v>4</v>
      </c>
      <c r="G1308">
        <v>6.1</v>
      </c>
      <c r="H1308">
        <v>2</v>
      </c>
      <c r="I1308">
        <v>0</v>
      </c>
      <c r="J1308">
        <v>1</v>
      </c>
      <c r="K1308">
        <v>1</v>
      </c>
      <c r="L1308">
        <v>94143</v>
      </c>
      <c r="M1308">
        <v>1</v>
      </c>
      <c r="N1308">
        <v>0</v>
      </c>
      <c r="O1308">
        <v>1</v>
      </c>
      <c r="Q1308">
        <v>0</v>
      </c>
      <c r="R1308">
        <v>1</v>
      </c>
      <c r="S1308">
        <v>1</v>
      </c>
      <c r="T1308">
        <v>10</v>
      </c>
      <c r="U1308">
        <v>0</v>
      </c>
      <c r="V1308">
        <v>1</v>
      </c>
      <c r="W1308">
        <v>0</v>
      </c>
      <c r="X1308">
        <v>1</v>
      </c>
      <c r="Y1308">
        <v>0</v>
      </c>
      <c r="Z1308">
        <v>1</v>
      </c>
      <c r="AA1308">
        <v>0</v>
      </c>
      <c r="AB1308">
        <v>0</v>
      </c>
      <c r="AC1308">
        <v>1</v>
      </c>
    </row>
    <row r="1309" spans="1:29" x14ac:dyDescent="0.35">
      <c r="A1309">
        <v>4314</v>
      </c>
      <c r="B1309">
        <v>4314</v>
      </c>
      <c r="C1309">
        <v>52</v>
      </c>
      <c r="D1309">
        <v>28</v>
      </c>
      <c r="E1309">
        <v>79</v>
      </c>
      <c r="F1309">
        <v>1</v>
      </c>
      <c r="G1309">
        <v>2.7</v>
      </c>
      <c r="H1309">
        <v>2</v>
      </c>
      <c r="I1309">
        <v>0</v>
      </c>
      <c r="J1309">
        <v>1</v>
      </c>
      <c r="K1309">
        <v>1</v>
      </c>
      <c r="L1309">
        <v>94596</v>
      </c>
      <c r="M1309">
        <v>0</v>
      </c>
      <c r="N1309">
        <v>0</v>
      </c>
      <c r="O1309">
        <v>0</v>
      </c>
      <c r="Q1309">
        <v>0</v>
      </c>
      <c r="R1309">
        <v>0</v>
      </c>
      <c r="S1309">
        <v>0</v>
      </c>
      <c r="T1309">
        <v>5</v>
      </c>
      <c r="U1309">
        <v>1</v>
      </c>
      <c r="V1309">
        <v>0</v>
      </c>
      <c r="W1309">
        <v>1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</row>
    <row r="1310" spans="1:29" x14ac:dyDescent="0.35">
      <c r="A1310">
        <v>4315</v>
      </c>
      <c r="B1310">
        <v>4315</v>
      </c>
      <c r="C1310">
        <v>35</v>
      </c>
      <c r="D1310">
        <v>9</v>
      </c>
      <c r="E1310">
        <v>79</v>
      </c>
      <c r="F1310">
        <v>4</v>
      </c>
      <c r="G1310">
        <v>2.2000000000000002</v>
      </c>
      <c r="H1310">
        <v>2</v>
      </c>
      <c r="I1310">
        <v>0</v>
      </c>
      <c r="J1310">
        <v>0</v>
      </c>
      <c r="K1310">
        <v>0</v>
      </c>
      <c r="L1310">
        <v>94305</v>
      </c>
      <c r="M1310">
        <v>0</v>
      </c>
      <c r="N1310">
        <v>0</v>
      </c>
      <c r="O1310">
        <v>0</v>
      </c>
      <c r="Q1310">
        <v>0</v>
      </c>
      <c r="R1310">
        <v>0</v>
      </c>
      <c r="S1310">
        <v>0</v>
      </c>
      <c r="T1310">
        <v>5</v>
      </c>
      <c r="U1310">
        <v>1</v>
      </c>
      <c r="V1310">
        <v>0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</row>
    <row r="1311" spans="1:29" x14ac:dyDescent="0.35">
      <c r="A1311">
        <v>4318</v>
      </c>
      <c r="B1311">
        <v>4318</v>
      </c>
      <c r="C1311">
        <v>58</v>
      </c>
      <c r="D1311">
        <v>33</v>
      </c>
      <c r="E1311">
        <v>60</v>
      </c>
      <c r="F1311">
        <v>4</v>
      </c>
      <c r="G1311">
        <v>1.3</v>
      </c>
      <c r="H1311">
        <v>3</v>
      </c>
      <c r="I1311">
        <v>0</v>
      </c>
      <c r="J1311">
        <v>1</v>
      </c>
      <c r="K1311">
        <v>0</v>
      </c>
      <c r="L1311">
        <v>92672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5</v>
      </c>
      <c r="U1311">
        <v>1</v>
      </c>
      <c r="V1311">
        <v>0</v>
      </c>
      <c r="W1311">
        <v>1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</row>
    <row r="1312" spans="1:29" x14ac:dyDescent="0.35">
      <c r="A1312">
        <v>4319</v>
      </c>
      <c r="B1312">
        <v>4319</v>
      </c>
      <c r="C1312">
        <v>49</v>
      </c>
      <c r="D1312">
        <v>23</v>
      </c>
      <c r="E1312">
        <v>75</v>
      </c>
      <c r="F1312">
        <v>1</v>
      </c>
      <c r="G1312">
        <v>1.5</v>
      </c>
      <c r="H1312">
        <v>2</v>
      </c>
      <c r="I1312">
        <v>0</v>
      </c>
      <c r="J1312">
        <v>0</v>
      </c>
      <c r="K1312">
        <v>1</v>
      </c>
      <c r="L1312">
        <v>92374</v>
      </c>
      <c r="M1312">
        <v>0</v>
      </c>
      <c r="N1312">
        <v>0</v>
      </c>
      <c r="O1312">
        <v>0</v>
      </c>
      <c r="Q1312">
        <v>0</v>
      </c>
      <c r="R1312">
        <v>0</v>
      </c>
      <c r="S1312">
        <v>0</v>
      </c>
      <c r="T1312">
        <v>5</v>
      </c>
      <c r="U1312">
        <v>1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</row>
    <row r="1313" spans="1:29" x14ac:dyDescent="0.35">
      <c r="A1313">
        <v>4322</v>
      </c>
      <c r="B1313">
        <v>4322</v>
      </c>
      <c r="C1313">
        <v>27</v>
      </c>
      <c r="D1313">
        <v>0</v>
      </c>
      <c r="E1313">
        <v>34</v>
      </c>
      <c r="F1313">
        <v>1</v>
      </c>
      <c r="G1313">
        <v>2</v>
      </c>
      <c r="H1313">
        <v>2</v>
      </c>
      <c r="I1313">
        <v>112</v>
      </c>
      <c r="J1313">
        <v>0</v>
      </c>
      <c r="K1313">
        <v>1</v>
      </c>
      <c r="L1313">
        <v>92717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5</v>
      </c>
      <c r="U1313">
        <v>1</v>
      </c>
      <c r="V1313">
        <v>0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</row>
    <row r="1314" spans="1:29" x14ac:dyDescent="0.35">
      <c r="A1314">
        <v>4328</v>
      </c>
      <c r="B1314">
        <v>4328</v>
      </c>
      <c r="C1314">
        <v>30</v>
      </c>
      <c r="D1314">
        <v>4</v>
      </c>
      <c r="E1314">
        <v>102</v>
      </c>
      <c r="F1314">
        <v>4</v>
      </c>
      <c r="G1314">
        <v>2.1</v>
      </c>
      <c r="H1314">
        <v>3</v>
      </c>
      <c r="I1314">
        <v>139</v>
      </c>
      <c r="J1314">
        <v>0</v>
      </c>
      <c r="K1314">
        <v>1</v>
      </c>
      <c r="L1314">
        <v>91775</v>
      </c>
      <c r="M1314">
        <v>0</v>
      </c>
      <c r="N1314">
        <v>0</v>
      </c>
      <c r="O1314">
        <v>0</v>
      </c>
      <c r="Q1314">
        <v>0</v>
      </c>
      <c r="R1314">
        <v>0</v>
      </c>
      <c r="S1314">
        <v>0</v>
      </c>
      <c r="T1314">
        <v>13</v>
      </c>
      <c r="U1314">
        <v>0.88607594936708001</v>
      </c>
      <c r="V1314">
        <v>0.11392405063291</v>
      </c>
      <c r="W1314">
        <v>0.88607594936708001</v>
      </c>
      <c r="X1314">
        <v>0.11392405063291</v>
      </c>
      <c r="Y1314">
        <v>0.86842105263156999</v>
      </c>
      <c r="Z1314">
        <v>0.13157894736841999</v>
      </c>
      <c r="AA1314">
        <v>0.11392405063291999</v>
      </c>
      <c r="AB1314">
        <v>-0.11392405063291</v>
      </c>
      <c r="AC1314">
        <v>0</v>
      </c>
    </row>
    <row r="1315" spans="1:29" x14ac:dyDescent="0.35">
      <c r="A1315">
        <v>4332</v>
      </c>
      <c r="B1315">
        <v>4332</v>
      </c>
      <c r="C1315">
        <v>61</v>
      </c>
      <c r="D1315">
        <v>37</v>
      </c>
      <c r="E1315">
        <v>158</v>
      </c>
      <c r="F1315">
        <v>2</v>
      </c>
      <c r="G1315">
        <v>6</v>
      </c>
      <c r="H1315">
        <v>1</v>
      </c>
      <c r="I1315">
        <v>306</v>
      </c>
      <c r="J1315">
        <v>1</v>
      </c>
      <c r="K1315">
        <v>1</v>
      </c>
      <c r="L1315">
        <v>94720</v>
      </c>
      <c r="M1315">
        <v>0</v>
      </c>
      <c r="N1315">
        <v>1</v>
      </c>
      <c r="O1315">
        <v>1</v>
      </c>
      <c r="Q1315">
        <v>1</v>
      </c>
      <c r="R1315">
        <v>0</v>
      </c>
      <c r="S1315">
        <v>0</v>
      </c>
      <c r="T1315">
        <v>22</v>
      </c>
      <c r="U1315">
        <v>1</v>
      </c>
      <c r="V1315">
        <v>0</v>
      </c>
      <c r="W1315">
        <v>1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</row>
    <row r="1316" spans="1:29" x14ac:dyDescent="0.35">
      <c r="A1316">
        <v>4340</v>
      </c>
      <c r="B1316">
        <v>4340</v>
      </c>
      <c r="C1316">
        <v>35</v>
      </c>
      <c r="D1316">
        <v>11</v>
      </c>
      <c r="E1316">
        <v>38</v>
      </c>
      <c r="F1316">
        <v>1</v>
      </c>
      <c r="G1316">
        <v>1.7</v>
      </c>
      <c r="H1316">
        <v>1</v>
      </c>
      <c r="I1316">
        <v>0</v>
      </c>
      <c r="J1316">
        <v>0</v>
      </c>
      <c r="K1316">
        <v>1</v>
      </c>
      <c r="L1316">
        <v>95518</v>
      </c>
      <c r="M1316">
        <v>0</v>
      </c>
      <c r="N1316">
        <v>0</v>
      </c>
      <c r="O1316">
        <v>0</v>
      </c>
      <c r="Q1316">
        <v>1</v>
      </c>
      <c r="R1316">
        <v>0</v>
      </c>
      <c r="S1316">
        <v>0</v>
      </c>
      <c r="T1316">
        <v>5</v>
      </c>
      <c r="U1316">
        <v>1</v>
      </c>
      <c r="V1316">
        <v>0</v>
      </c>
      <c r="W1316">
        <v>1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</row>
    <row r="1317" spans="1:29" x14ac:dyDescent="0.35">
      <c r="A1317">
        <v>4342</v>
      </c>
      <c r="B1317">
        <v>4342</v>
      </c>
      <c r="C1317">
        <v>28</v>
      </c>
      <c r="D1317">
        <v>3</v>
      </c>
      <c r="E1317">
        <v>53</v>
      </c>
      <c r="F1317">
        <v>2</v>
      </c>
      <c r="G1317">
        <v>1.6</v>
      </c>
      <c r="H1317">
        <v>3</v>
      </c>
      <c r="I1317">
        <v>0</v>
      </c>
      <c r="J1317">
        <v>0</v>
      </c>
      <c r="K1317">
        <v>0</v>
      </c>
      <c r="L1317">
        <v>94305</v>
      </c>
      <c r="M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5</v>
      </c>
      <c r="U1317">
        <v>1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</row>
    <row r="1318" spans="1:29" x14ac:dyDescent="0.35">
      <c r="A1318">
        <v>4345</v>
      </c>
      <c r="B1318">
        <v>4345</v>
      </c>
      <c r="C1318">
        <v>53</v>
      </c>
      <c r="D1318">
        <v>28</v>
      </c>
      <c r="E1318">
        <v>181</v>
      </c>
      <c r="F1318">
        <v>1</v>
      </c>
      <c r="G1318">
        <v>8.1</v>
      </c>
      <c r="H1318">
        <v>1</v>
      </c>
      <c r="I1318">
        <v>0</v>
      </c>
      <c r="J1318">
        <v>1</v>
      </c>
      <c r="K1318">
        <v>0</v>
      </c>
      <c r="L1318">
        <v>95051</v>
      </c>
      <c r="M1318">
        <v>0</v>
      </c>
      <c r="N1318">
        <v>0</v>
      </c>
      <c r="O1318">
        <v>0</v>
      </c>
      <c r="Q1318">
        <v>1</v>
      </c>
      <c r="R1318">
        <v>0</v>
      </c>
      <c r="S1318">
        <v>0</v>
      </c>
      <c r="T1318">
        <v>22</v>
      </c>
      <c r="U1318">
        <v>1</v>
      </c>
      <c r="V1318">
        <v>0</v>
      </c>
      <c r="W1318">
        <v>1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</row>
    <row r="1319" spans="1:29" x14ac:dyDescent="0.35">
      <c r="A1319">
        <v>4349</v>
      </c>
      <c r="B1319">
        <v>4349</v>
      </c>
      <c r="C1319">
        <v>59</v>
      </c>
      <c r="D1319">
        <v>33</v>
      </c>
      <c r="E1319">
        <v>99</v>
      </c>
      <c r="F1319">
        <v>2</v>
      </c>
      <c r="G1319">
        <v>2.7</v>
      </c>
      <c r="H1319">
        <v>1</v>
      </c>
      <c r="I1319">
        <v>0</v>
      </c>
      <c r="J1319">
        <v>0</v>
      </c>
      <c r="K1319">
        <v>0</v>
      </c>
      <c r="L1319">
        <v>92093</v>
      </c>
      <c r="M1319">
        <v>0</v>
      </c>
      <c r="N1319">
        <v>0</v>
      </c>
      <c r="O1319">
        <v>0</v>
      </c>
      <c r="Q1319">
        <v>1</v>
      </c>
      <c r="R1319">
        <v>0</v>
      </c>
      <c r="S1319">
        <v>0</v>
      </c>
      <c r="T1319">
        <v>25</v>
      </c>
      <c r="U1319">
        <v>1</v>
      </c>
      <c r="V1319">
        <v>0</v>
      </c>
      <c r="W1319">
        <v>1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</row>
    <row r="1320" spans="1:29" x14ac:dyDescent="0.35">
      <c r="A1320">
        <v>4351</v>
      </c>
      <c r="B1320">
        <v>4351</v>
      </c>
      <c r="C1320">
        <v>64</v>
      </c>
      <c r="D1320">
        <v>39</v>
      </c>
      <c r="E1320">
        <v>101</v>
      </c>
      <c r="F1320">
        <v>4</v>
      </c>
      <c r="G1320">
        <v>3.4</v>
      </c>
      <c r="H1320">
        <v>2</v>
      </c>
      <c r="I1320">
        <v>0</v>
      </c>
      <c r="J1320">
        <v>0</v>
      </c>
      <c r="K1320">
        <v>1</v>
      </c>
      <c r="L1320">
        <v>95134</v>
      </c>
      <c r="M1320">
        <v>0</v>
      </c>
      <c r="N1320">
        <v>0</v>
      </c>
      <c r="O1320">
        <v>0</v>
      </c>
      <c r="Q1320">
        <v>0</v>
      </c>
      <c r="R1320">
        <v>0</v>
      </c>
      <c r="S1320">
        <v>1</v>
      </c>
      <c r="T1320">
        <v>14</v>
      </c>
      <c r="U1320">
        <v>0.24242424242423999</v>
      </c>
      <c r="V1320">
        <v>0.75757575757575002</v>
      </c>
      <c r="W1320">
        <v>0.24242424242423999</v>
      </c>
      <c r="X1320">
        <v>0.75757575757575002</v>
      </c>
      <c r="Y1320">
        <v>0.44444444444443998</v>
      </c>
      <c r="Z1320">
        <v>0.55555555555555003</v>
      </c>
      <c r="AA1320">
        <v>0.75757575757576001</v>
      </c>
      <c r="AB1320">
        <v>-0.75757575757575002</v>
      </c>
      <c r="AC1320">
        <v>1</v>
      </c>
    </row>
    <row r="1321" spans="1:29" x14ac:dyDescent="0.35">
      <c r="A1321">
        <v>4353</v>
      </c>
      <c r="B1321">
        <v>4353</v>
      </c>
      <c r="C1321">
        <v>40</v>
      </c>
      <c r="D1321">
        <v>16</v>
      </c>
      <c r="E1321">
        <v>59</v>
      </c>
      <c r="F1321">
        <v>4</v>
      </c>
      <c r="G1321">
        <v>2.67</v>
      </c>
      <c r="H1321">
        <v>1</v>
      </c>
      <c r="I1321">
        <v>0</v>
      </c>
      <c r="J1321">
        <v>1</v>
      </c>
      <c r="K1321">
        <v>0</v>
      </c>
      <c r="L1321">
        <v>94305</v>
      </c>
      <c r="M1321">
        <v>0</v>
      </c>
      <c r="N1321">
        <v>0</v>
      </c>
      <c r="O1321">
        <v>0</v>
      </c>
      <c r="Q1321">
        <v>1</v>
      </c>
      <c r="R1321">
        <v>0</v>
      </c>
      <c r="S1321">
        <v>0</v>
      </c>
      <c r="T1321">
        <v>5</v>
      </c>
      <c r="U1321">
        <v>1</v>
      </c>
      <c r="V1321">
        <v>0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</row>
    <row r="1322" spans="1:29" x14ac:dyDescent="0.35">
      <c r="A1322">
        <v>4355</v>
      </c>
      <c r="B1322">
        <v>4355</v>
      </c>
      <c r="C1322">
        <v>40</v>
      </c>
      <c r="D1322">
        <v>16</v>
      </c>
      <c r="E1322">
        <v>140</v>
      </c>
      <c r="F1322">
        <v>3</v>
      </c>
      <c r="G1322">
        <v>5.6</v>
      </c>
      <c r="H1322">
        <v>1</v>
      </c>
      <c r="I1322">
        <v>0</v>
      </c>
      <c r="J1322">
        <v>0</v>
      </c>
      <c r="K1322">
        <v>0</v>
      </c>
      <c r="L1322">
        <v>93940</v>
      </c>
      <c r="M1322">
        <v>1</v>
      </c>
      <c r="N1322">
        <v>0</v>
      </c>
      <c r="O1322">
        <v>0</v>
      </c>
      <c r="Q1322">
        <v>1</v>
      </c>
      <c r="R1322">
        <v>1</v>
      </c>
      <c r="S1322">
        <v>1</v>
      </c>
      <c r="T1322">
        <v>20</v>
      </c>
      <c r="U1322">
        <v>0</v>
      </c>
      <c r="V1322">
        <v>1</v>
      </c>
      <c r="W1322">
        <v>0</v>
      </c>
      <c r="X1322">
        <v>1</v>
      </c>
      <c r="Y1322">
        <v>0</v>
      </c>
      <c r="Z1322">
        <v>1</v>
      </c>
      <c r="AA1322">
        <v>0</v>
      </c>
      <c r="AB1322">
        <v>0</v>
      </c>
      <c r="AC1322">
        <v>1</v>
      </c>
    </row>
    <row r="1323" spans="1:29" x14ac:dyDescent="0.35">
      <c r="A1323">
        <v>4356</v>
      </c>
      <c r="B1323">
        <v>4356</v>
      </c>
      <c r="C1323">
        <v>40</v>
      </c>
      <c r="D1323">
        <v>10</v>
      </c>
      <c r="E1323">
        <v>29</v>
      </c>
      <c r="F1323">
        <v>1</v>
      </c>
      <c r="G1323">
        <v>0.75</v>
      </c>
      <c r="H1323">
        <v>3</v>
      </c>
      <c r="I1323">
        <v>0</v>
      </c>
      <c r="J1323">
        <v>1</v>
      </c>
      <c r="K1323">
        <v>0</v>
      </c>
      <c r="L1323">
        <v>94720</v>
      </c>
      <c r="M1323">
        <v>0</v>
      </c>
      <c r="N1323">
        <v>0</v>
      </c>
      <c r="O1323">
        <v>0</v>
      </c>
      <c r="Q1323">
        <v>0</v>
      </c>
      <c r="R1323">
        <v>0</v>
      </c>
      <c r="S1323">
        <v>0</v>
      </c>
      <c r="T1323">
        <v>5</v>
      </c>
      <c r="U1323">
        <v>1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</row>
    <row r="1324" spans="1:29" x14ac:dyDescent="0.35">
      <c r="A1324">
        <v>4361</v>
      </c>
      <c r="B1324">
        <v>4361</v>
      </c>
      <c r="C1324">
        <v>67</v>
      </c>
      <c r="D1324">
        <v>43</v>
      </c>
      <c r="E1324">
        <v>41</v>
      </c>
      <c r="F1324">
        <v>2</v>
      </c>
      <c r="G1324">
        <v>1.1000000000000001</v>
      </c>
      <c r="H1324">
        <v>1</v>
      </c>
      <c r="I1324">
        <v>0</v>
      </c>
      <c r="J1324">
        <v>0</v>
      </c>
      <c r="K1324">
        <v>0</v>
      </c>
      <c r="L1324">
        <v>90024</v>
      </c>
      <c r="M1324">
        <v>0</v>
      </c>
      <c r="N1324">
        <v>0</v>
      </c>
      <c r="O1324">
        <v>0</v>
      </c>
      <c r="Q1324">
        <v>1</v>
      </c>
      <c r="R1324">
        <v>0</v>
      </c>
      <c r="S1324">
        <v>0</v>
      </c>
      <c r="T1324">
        <v>5</v>
      </c>
      <c r="U1324">
        <v>1</v>
      </c>
      <c r="V1324">
        <v>0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</row>
    <row r="1325" spans="1:29" x14ac:dyDescent="0.35">
      <c r="A1325">
        <v>4366</v>
      </c>
      <c r="B1325">
        <v>4366</v>
      </c>
      <c r="C1325">
        <v>26</v>
      </c>
      <c r="D1325">
        <v>2</v>
      </c>
      <c r="E1325">
        <v>85</v>
      </c>
      <c r="F1325">
        <v>2</v>
      </c>
      <c r="G1325">
        <v>2.5</v>
      </c>
      <c r="H1325">
        <v>1</v>
      </c>
      <c r="I1325">
        <v>0</v>
      </c>
      <c r="J1325">
        <v>0</v>
      </c>
      <c r="K1325">
        <v>0</v>
      </c>
      <c r="L1325">
        <v>95020</v>
      </c>
      <c r="M1325">
        <v>0</v>
      </c>
      <c r="N1325">
        <v>0</v>
      </c>
      <c r="O1325">
        <v>0</v>
      </c>
      <c r="Q1325">
        <v>1</v>
      </c>
      <c r="R1325">
        <v>0</v>
      </c>
      <c r="S1325">
        <v>0</v>
      </c>
      <c r="T1325">
        <v>5</v>
      </c>
      <c r="U1325">
        <v>1</v>
      </c>
      <c r="V1325">
        <v>0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</row>
    <row r="1326" spans="1:29" x14ac:dyDescent="0.35">
      <c r="A1326">
        <v>4371</v>
      </c>
      <c r="B1326">
        <v>4371</v>
      </c>
      <c r="C1326">
        <v>27</v>
      </c>
      <c r="D1326">
        <v>3</v>
      </c>
      <c r="E1326">
        <v>18</v>
      </c>
      <c r="F1326">
        <v>1</v>
      </c>
      <c r="G1326">
        <v>0.4</v>
      </c>
      <c r="H1326">
        <v>3</v>
      </c>
      <c r="I1326">
        <v>0</v>
      </c>
      <c r="J1326">
        <v>0</v>
      </c>
      <c r="K1326">
        <v>0</v>
      </c>
      <c r="L1326">
        <v>93524</v>
      </c>
      <c r="M1326">
        <v>0</v>
      </c>
      <c r="N1326">
        <v>0</v>
      </c>
      <c r="O1326">
        <v>0</v>
      </c>
      <c r="Q1326">
        <v>0</v>
      </c>
      <c r="R1326">
        <v>0</v>
      </c>
      <c r="S1326">
        <v>0</v>
      </c>
      <c r="T1326">
        <v>5</v>
      </c>
      <c r="U1326">
        <v>1</v>
      </c>
      <c r="V1326">
        <v>0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</row>
    <row r="1327" spans="1:29" x14ac:dyDescent="0.35">
      <c r="A1327">
        <v>4382</v>
      </c>
      <c r="B1327">
        <v>4382</v>
      </c>
      <c r="C1327">
        <v>33</v>
      </c>
      <c r="D1327">
        <v>8</v>
      </c>
      <c r="E1327">
        <v>39</v>
      </c>
      <c r="F1327">
        <v>4</v>
      </c>
      <c r="G1327">
        <v>0.8</v>
      </c>
      <c r="H1327">
        <v>1</v>
      </c>
      <c r="I1327">
        <v>0</v>
      </c>
      <c r="J1327">
        <v>1</v>
      </c>
      <c r="K1327">
        <v>0</v>
      </c>
      <c r="L1327">
        <v>94542</v>
      </c>
      <c r="M1327">
        <v>0</v>
      </c>
      <c r="N1327">
        <v>0</v>
      </c>
      <c r="O1327">
        <v>0</v>
      </c>
      <c r="Q1327">
        <v>1</v>
      </c>
      <c r="R1327">
        <v>0</v>
      </c>
      <c r="S1327">
        <v>0</v>
      </c>
      <c r="T1327">
        <v>5</v>
      </c>
      <c r="U1327">
        <v>1</v>
      </c>
      <c r="V1327">
        <v>0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</row>
    <row r="1328" spans="1:29" x14ac:dyDescent="0.35">
      <c r="A1328">
        <v>4383</v>
      </c>
      <c r="B1328">
        <v>4383</v>
      </c>
      <c r="C1328">
        <v>60</v>
      </c>
      <c r="D1328">
        <v>34</v>
      </c>
      <c r="E1328">
        <v>38</v>
      </c>
      <c r="F1328">
        <v>3</v>
      </c>
      <c r="G1328">
        <v>2.2000000000000002</v>
      </c>
      <c r="H1328">
        <v>3</v>
      </c>
      <c r="I1328">
        <v>0</v>
      </c>
      <c r="J1328">
        <v>0</v>
      </c>
      <c r="K1328">
        <v>0</v>
      </c>
      <c r="L1328">
        <v>92182</v>
      </c>
      <c r="M1328">
        <v>0</v>
      </c>
      <c r="N1328">
        <v>1</v>
      </c>
      <c r="O1328">
        <v>0</v>
      </c>
      <c r="Q1328">
        <v>0</v>
      </c>
      <c r="R1328">
        <v>0</v>
      </c>
      <c r="S1328">
        <v>0</v>
      </c>
      <c r="T1328">
        <v>5</v>
      </c>
      <c r="U1328">
        <v>1</v>
      </c>
      <c r="V1328">
        <v>0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</row>
    <row r="1329" spans="1:29" x14ac:dyDescent="0.35">
      <c r="A1329">
        <v>4384</v>
      </c>
      <c r="B1329">
        <v>4384</v>
      </c>
      <c r="C1329">
        <v>28</v>
      </c>
      <c r="D1329">
        <v>4</v>
      </c>
      <c r="E1329">
        <v>85</v>
      </c>
      <c r="F1329">
        <v>3</v>
      </c>
      <c r="G1329">
        <v>2.5</v>
      </c>
      <c r="H1329">
        <v>1</v>
      </c>
      <c r="I1329">
        <v>0</v>
      </c>
      <c r="J1329">
        <v>1</v>
      </c>
      <c r="K1329">
        <v>0</v>
      </c>
      <c r="L1329">
        <v>94709</v>
      </c>
      <c r="M1329">
        <v>0</v>
      </c>
      <c r="N1329">
        <v>0</v>
      </c>
      <c r="O1329">
        <v>0</v>
      </c>
      <c r="Q1329">
        <v>1</v>
      </c>
      <c r="R1329">
        <v>0</v>
      </c>
      <c r="S1329">
        <v>0</v>
      </c>
      <c r="T1329">
        <v>5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</row>
    <row r="1330" spans="1:29" x14ac:dyDescent="0.35">
      <c r="A1330">
        <v>4385</v>
      </c>
      <c r="B1330">
        <v>4385</v>
      </c>
      <c r="C1330">
        <v>45</v>
      </c>
      <c r="D1330">
        <v>20</v>
      </c>
      <c r="E1330">
        <v>61</v>
      </c>
      <c r="F1330">
        <v>3</v>
      </c>
      <c r="G1330">
        <v>2.7</v>
      </c>
      <c r="H1330">
        <v>2</v>
      </c>
      <c r="I1330">
        <v>0</v>
      </c>
      <c r="J1330">
        <v>0</v>
      </c>
      <c r="K1330">
        <v>1</v>
      </c>
      <c r="L1330">
        <v>92717</v>
      </c>
      <c r="M1330">
        <v>0</v>
      </c>
      <c r="N1330">
        <v>0</v>
      </c>
      <c r="O1330">
        <v>0</v>
      </c>
      <c r="Q1330">
        <v>0</v>
      </c>
      <c r="R1330">
        <v>0</v>
      </c>
      <c r="S1330">
        <v>0</v>
      </c>
      <c r="T1330">
        <v>5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</row>
    <row r="1331" spans="1:29" x14ac:dyDescent="0.35">
      <c r="A1331">
        <v>4388</v>
      </c>
      <c r="B1331">
        <v>4388</v>
      </c>
      <c r="C1331">
        <v>37</v>
      </c>
      <c r="D1331">
        <v>12</v>
      </c>
      <c r="E1331">
        <v>72</v>
      </c>
      <c r="F1331">
        <v>4</v>
      </c>
      <c r="G1331">
        <v>0.7</v>
      </c>
      <c r="H1331">
        <v>3</v>
      </c>
      <c r="I1331">
        <v>0</v>
      </c>
      <c r="J1331">
        <v>0</v>
      </c>
      <c r="K1331">
        <v>0</v>
      </c>
      <c r="L1331">
        <v>91380</v>
      </c>
      <c r="M1331">
        <v>0</v>
      </c>
      <c r="N1331">
        <v>0</v>
      </c>
      <c r="O1331">
        <v>0</v>
      </c>
      <c r="Q1331">
        <v>0</v>
      </c>
      <c r="R1331">
        <v>0</v>
      </c>
      <c r="S1331">
        <v>0</v>
      </c>
      <c r="T1331">
        <v>5</v>
      </c>
      <c r="U1331">
        <v>1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</row>
    <row r="1332" spans="1:29" x14ac:dyDescent="0.35">
      <c r="A1332">
        <v>4390</v>
      </c>
      <c r="B1332">
        <v>4390</v>
      </c>
      <c r="C1332">
        <v>58</v>
      </c>
      <c r="D1332">
        <v>32</v>
      </c>
      <c r="E1332">
        <v>40</v>
      </c>
      <c r="F1332">
        <v>1</v>
      </c>
      <c r="G1332">
        <v>1.6</v>
      </c>
      <c r="H1332">
        <v>1</v>
      </c>
      <c r="I1332">
        <v>0</v>
      </c>
      <c r="J1332">
        <v>1</v>
      </c>
      <c r="K1332">
        <v>1</v>
      </c>
      <c r="L1332">
        <v>90057</v>
      </c>
      <c r="M1332">
        <v>0</v>
      </c>
      <c r="N1332">
        <v>1</v>
      </c>
      <c r="O1332">
        <v>1</v>
      </c>
      <c r="Q1332">
        <v>1</v>
      </c>
      <c r="R1332">
        <v>0</v>
      </c>
      <c r="S1332">
        <v>0</v>
      </c>
      <c r="T1332">
        <v>5</v>
      </c>
      <c r="U1332">
        <v>1</v>
      </c>
      <c r="V1332">
        <v>0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</row>
    <row r="1333" spans="1:29" x14ac:dyDescent="0.35">
      <c r="A1333">
        <v>4391</v>
      </c>
      <c r="B1333">
        <v>4391</v>
      </c>
      <c r="C1333">
        <v>52</v>
      </c>
      <c r="D1333">
        <v>26</v>
      </c>
      <c r="E1333">
        <v>62</v>
      </c>
      <c r="F1333">
        <v>4</v>
      </c>
      <c r="G1333">
        <v>2.8</v>
      </c>
      <c r="H1333">
        <v>2</v>
      </c>
      <c r="I1333">
        <v>0</v>
      </c>
      <c r="J1333">
        <v>1</v>
      </c>
      <c r="K1333">
        <v>0</v>
      </c>
      <c r="L1333">
        <v>95134</v>
      </c>
      <c r="M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5</v>
      </c>
      <c r="U1333">
        <v>1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</row>
    <row r="1334" spans="1:29" x14ac:dyDescent="0.35">
      <c r="A1334">
        <v>4393</v>
      </c>
      <c r="B1334">
        <v>4393</v>
      </c>
      <c r="C1334">
        <v>52</v>
      </c>
      <c r="D1334">
        <v>27</v>
      </c>
      <c r="E1334">
        <v>81</v>
      </c>
      <c r="F1334">
        <v>4</v>
      </c>
      <c r="G1334">
        <v>3.8</v>
      </c>
      <c r="H1334">
        <v>2</v>
      </c>
      <c r="I1334">
        <v>0</v>
      </c>
      <c r="J1334">
        <v>0</v>
      </c>
      <c r="K1334">
        <v>0</v>
      </c>
      <c r="L1334">
        <v>92634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15</v>
      </c>
      <c r="U1334">
        <v>0.91935483870967005</v>
      </c>
      <c r="V1334">
        <v>8.0645161290319997E-2</v>
      </c>
      <c r="W1334">
        <v>0.91935483870967005</v>
      </c>
      <c r="X1334">
        <v>8.0645161290319997E-2</v>
      </c>
      <c r="Y1334">
        <v>0.86</v>
      </c>
      <c r="Z1334">
        <v>0.14000000000000001</v>
      </c>
      <c r="AA1334">
        <v>8.0645161290329906E-2</v>
      </c>
      <c r="AB1334">
        <v>-8.0645161290319997E-2</v>
      </c>
      <c r="AC1334">
        <v>0</v>
      </c>
    </row>
    <row r="1335" spans="1:29" x14ac:dyDescent="0.35">
      <c r="A1335">
        <v>4394</v>
      </c>
      <c r="B1335">
        <v>4394</v>
      </c>
      <c r="C1335">
        <v>24</v>
      </c>
      <c r="D1335">
        <v>0</v>
      </c>
      <c r="E1335">
        <v>59</v>
      </c>
      <c r="F1335">
        <v>4</v>
      </c>
      <c r="G1335">
        <v>1.6</v>
      </c>
      <c r="H1335">
        <v>1</v>
      </c>
      <c r="I1335">
        <v>0</v>
      </c>
      <c r="J1335">
        <v>0</v>
      </c>
      <c r="K1335">
        <v>0</v>
      </c>
      <c r="L1335">
        <v>95521</v>
      </c>
      <c r="M1335">
        <v>0</v>
      </c>
      <c r="N1335">
        <v>0</v>
      </c>
      <c r="O1335">
        <v>0</v>
      </c>
      <c r="Q1335">
        <v>1</v>
      </c>
      <c r="R1335">
        <v>0</v>
      </c>
      <c r="S1335">
        <v>0</v>
      </c>
      <c r="T1335">
        <v>5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</row>
    <row r="1336" spans="1:29" x14ac:dyDescent="0.35">
      <c r="A1336">
        <v>4396</v>
      </c>
      <c r="B1336">
        <v>4396</v>
      </c>
      <c r="C1336">
        <v>66</v>
      </c>
      <c r="D1336">
        <v>41</v>
      </c>
      <c r="E1336">
        <v>25</v>
      </c>
      <c r="F1336">
        <v>4</v>
      </c>
      <c r="G1336">
        <v>0.6</v>
      </c>
      <c r="H1336">
        <v>2</v>
      </c>
      <c r="I1336">
        <v>0</v>
      </c>
      <c r="J1336">
        <v>1</v>
      </c>
      <c r="K1336">
        <v>1</v>
      </c>
      <c r="L1336">
        <v>94720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5</v>
      </c>
      <c r="U1336">
        <v>1</v>
      </c>
      <c r="V1336">
        <v>0</v>
      </c>
      <c r="W1336">
        <v>1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</row>
    <row r="1337" spans="1:29" x14ac:dyDescent="0.35">
      <c r="A1337">
        <v>4397</v>
      </c>
      <c r="B1337">
        <v>4397</v>
      </c>
      <c r="C1337">
        <v>30</v>
      </c>
      <c r="D1337">
        <v>5</v>
      </c>
      <c r="E1337">
        <v>14</v>
      </c>
      <c r="F1337">
        <v>4</v>
      </c>
      <c r="G1337">
        <v>0.5</v>
      </c>
      <c r="H1337">
        <v>3</v>
      </c>
      <c r="I1337">
        <v>0</v>
      </c>
      <c r="J1337">
        <v>1</v>
      </c>
      <c r="K1337">
        <v>0</v>
      </c>
      <c r="L1337">
        <v>95014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5</v>
      </c>
      <c r="U1337">
        <v>1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</row>
    <row r="1338" spans="1:29" x14ac:dyDescent="0.35">
      <c r="A1338">
        <v>4410</v>
      </c>
      <c r="B1338">
        <v>4410</v>
      </c>
      <c r="C1338">
        <v>43</v>
      </c>
      <c r="D1338">
        <v>19</v>
      </c>
      <c r="E1338">
        <v>75</v>
      </c>
      <c r="F1338">
        <v>4</v>
      </c>
      <c r="G1338">
        <v>0.2</v>
      </c>
      <c r="H1338">
        <v>3</v>
      </c>
      <c r="I1338">
        <v>102</v>
      </c>
      <c r="J1338">
        <v>1</v>
      </c>
      <c r="K1338">
        <v>0</v>
      </c>
      <c r="L1338">
        <v>91765</v>
      </c>
      <c r="M1338">
        <v>0</v>
      </c>
      <c r="N1338">
        <v>0</v>
      </c>
      <c r="O1338">
        <v>0</v>
      </c>
      <c r="Q1338">
        <v>0</v>
      </c>
      <c r="R1338">
        <v>0</v>
      </c>
      <c r="S1338">
        <v>0</v>
      </c>
      <c r="T1338">
        <v>5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</row>
    <row r="1339" spans="1:29" x14ac:dyDescent="0.35">
      <c r="A1339">
        <v>4412</v>
      </c>
      <c r="B1339">
        <v>4412</v>
      </c>
      <c r="C1339">
        <v>23</v>
      </c>
      <c r="D1339">
        <v>-2</v>
      </c>
      <c r="E1339">
        <v>75</v>
      </c>
      <c r="F1339">
        <v>2</v>
      </c>
      <c r="G1339">
        <v>1.8</v>
      </c>
      <c r="H1339">
        <v>2</v>
      </c>
      <c r="I1339">
        <v>0</v>
      </c>
      <c r="J1339">
        <v>1</v>
      </c>
      <c r="K1339">
        <v>1</v>
      </c>
      <c r="L1339">
        <v>90291</v>
      </c>
      <c r="M1339">
        <v>0</v>
      </c>
      <c r="N1339">
        <v>0</v>
      </c>
      <c r="O1339">
        <v>0</v>
      </c>
      <c r="Q1339">
        <v>0</v>
      </c>
      <c r="R1339">
        <v>0</v>
      </c>
      <c r="S1339">
        <v>0</v>
      </c>
      <c r="T1339">
        <v>5</v>
      </c>
      <c r="U1339">
        <v>1</v>
      </c>
      <c r="V1339">
        <v>0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</row>
    <row r="1340" spans="1:29" x14ac:dyDescent="0.35">
      <c r="A1340">
        <v>4414</v>
      </c>
      <c r="B1340">
        <v>4414</v>
      </c>
      <c r="C1340">
        <v>29</v>
      </c>
      <c r="D1340">
        <v>2</v>
      </c>
      <c r="E1340">
        <v>31</v>
      </c>
      <c r="F1340">
        <v>4</v>
      </c>
      <c r="G1340">
        <v>1.5</v>
      </c>
      <c r="H1340">
        <v>2</v>
      </c>
      <c r="I1340">
        <v>0</v>
      </c>
      <c r="J1340">
        <v>0</v>
      </c>
      <c r="K1340">
        <v>1</v>
      </c>
      <c r="L1340">
        <v>91775</v>
      </c>
      <c r="M1340">
        <v>0</v>
      </c>
      <c r="N1340">
        <v>0</v>
      </c>
      <c r="O1340">
        <v>0</v>
      </c>
      <c r="Q1340">
        <v>0</v>
      </c>
      <c r="R1340">
        <v>0</v>
      </c>
      <c r="S1340">
        <v>0</v>
      </c>
      <c r="T1340">
        <v>5</v>
      </c>
      <c r="U1340">
        <v>1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</row>
    <row r="1341" spans="1:29" x14ac:dyDescent="0.35">
      <c r="A1341">
        <v>4418</v>
      </c>
      <c r="B1341">
        <v>4418</v>
      </c>
      <c r="C1341">
        <v>54</v>
      </c>
      <c r="D1341">
        <v>28</v>
      </c>
      <c r="E1341">
        <v>92</v>
      </c>
      <c r="F1341">
        <v>2</v>
      </c>
      <c r="G1341">
        <v>1.1000000000000001</v>
      </c>
      <c r="H1341">
        <v>1</v>
      </c>
      <c r="I1341">
        <v>0</v>
      </c>
      <c r="J1341">
        <v>1</v>
      </c>
      <c r="K1341">
        <v>0</v>
      </c>
      <c r="L1341">
        <v>92374</v>
      </c>
      <c r="M1341">
        <v>0</v>
      </c>
      <c r="N1341">
        <v>0</v>
      </c>
      <c r="O1341">
        <v>0</v>
      </c>
      <c r="Q1341">
        <v>1</v>
      </c>
      <c r="R1341">
        <v>0</v>
      </c>
      <c r="S1341">
        <v>0</v>
      </c>
      <c r="T1341">
        <v>5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</row>
    <row r="1342" spans="1:29" x14ac:dyDescent="0.35">
      <c r="A1342">
        <v>4425</v>
      </c>
      <c r="B1342">
        <v>4425</v>
      </c>
      <c r="C1342">
        <v>35</v>
      </c>
      <c r="D1342">
        <v>10</v>
      </c>
      <c r="E1342">
        <v>54</v>
      </c>
      <c r="F1342">
        <v>1</v>
      </c>
      <c r="G1342">
        <v>2.5</v>
      </c>
      <c r="H1342">
        <v>3</v>
      </c>
      <c r="I1342">
        <v>0</v>
      </c>
      <c r="J1342">
        <v>0</v>
      </c>
      <c r="K1342">
        <v>1</v>
      </c>
      <c r="L1342">
        <v>93943</v>
      </c>
      <c r="M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5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</row>
    <row r="1343" spans="1:29" x14ac:dyDescent="0.35">
      <c r="A1343">
        <v>4426</v>
      </c>
      <c r="B1343">
        <v>4426</v>
      </c>
      <c r="C1343">
        <v>26</v>
      </c>
      <c r="D1343">
        <v>0</v>
      </c>
      <c r="E1343">
        <v>164</v>
      </c>
      <c r="F1343">
        <v>2</v>
      </c>
      <c r="G1343">
        <v>4</v>
      </c>
      <c r="H1343">
        <v>3</v>
      </c>
      <c r="I1343">
        <v>301</v>
      </c>
      <c r="J1343">
        <v>1</v>
      </c>
      <c r="K1343">
        <v>0</v>
      </c>
      <c r="L1343">
        <v>95973</v>
      </c>
      <c r="M1343">
        <v>1</v>
      </c>
      <c r="N1343">
        <v>0</v>
      </c>
      <c r="O1343">
        <v>0</v>
      </c>
      <c r="Q1343">
        <v>0</v>
      </c>
      <c r="R1343">
        <v>1</v>
      </c>
      <c r="S1343">
        <v>1</v>
      </c>
      <c r="T1343">
        <v>10</v>
      </c>
      <c r="U1343">
        <v>0</v>
      </c>
      <c r="V1343">
        <v>1</v>
      </c>
      <c r="W1343">
        <v>0</v>
      </c>
      <c r="X1343">
        <v>1</v>
      </c>
      <c r="Y1343">
        <v>0</v>
      </c>
      <c r="Z1343">
        <v>1</v>
      </c>
      <c r="AA1343">
        <v>0</v>
      </c>
      <c r="AB1343">
        <v>0</v>
      </c>
      <c r="AC1343">
        <v>1</v>
      </c>
    </row>
    <row r="1344" spans="1:29" x14ac:dyDescent="0.35">
      <c r="A1344">
        <v>4428</v>
      </c>
      <c r="B1344">
        <v>4428</v>
      </c>
      <c r="C1344">
        <v>31</v>
      </c>
      <c r="D1344">
        <v>7</v>
      </c>
      <c r="E1344">
        <v>18</v>
      </c>
      <c r="F1344">
        <v>1</v>
      </c>
      <c r="G1344">
        <v>0.4</v>
      </c>
      <c r="H1344">
        <v>3</v>
      </c>
      <c r="I1344">
        <v>0</v>
      </c>
      <c r="J1344">
        <v>0</v>
      </c>
      <c r="K1344">
        <v>0</v>
      </c>
      <c r="L1344">
        <v>91711</v>
      </c>
      <c r="M1344">
        <v>0</v>
      </c>
      <c r="N1344">
        <v>0</v>
      </c>
      <c r="O1344">
        <v>0</v>
      </c>
      <c r="Q1344">
        <v>0</v>
      </c>
      <c r="R1344">
        <v>0</v>
      </c>
      <c r="S1344">
        <v>0</v>
      </c>
      <c r="T1344">
        <v>5</v>
      </c>
      <c r="U1344">
        <v>1</v>
      </c>
      <c r="V1344">
        <v>0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</row>
    <row r="1345" spans="1:29" x14ac:dyDescent="0.35">
      <c r="A1345">
        <v>4438</v>
      </c>
      <c r="B1345">
        <v>4438</v>
      </c>
      <c r="C1345">
        <v>63</v>
      </c>
      <c r="D1345">
        <v>38</v>
      </c>
      <c r="E1345">
        <v>63</v>
      </c>
      <c r="F1345">
        <v>2</v>
      </c>
      <c r="G1345">
        <v>1.5</v>
      </c>
      <c r="H1345">
        <v>1</v>
      </c>
      <c r="I1345">
        <v>0</v>
      </c>
      <c r="J1345">
        <v>1</v>
      </c>
      <c r="K1345">
        <v>0</v>
      </c>
      <c r="L1345">
        <v>92507</v>
      </c>
      <c r="M1345">
        <v>0</v>
      </c>
      <c r="N1345">
        <v>0</v>
      </c>
      <c r="O1345">
        <v>0</v>
      </c>
      <c r="Q1345">
        <v>1</v>
      </c>
      <c r="R1345">
        <v>0</v>
      </c>
      <c r="S1345">
        <v>0</v>
      </c>
      <c r="T1345">
        <v>5</v>
      </c>
      <c r="U1345">
        <v>1</v>
      </c>
      <c r="V1345">
        <v>0</v>
      </c>
      <c r="W1345">
        <v>1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</row>
    <row r="1346" spans="1:29" x14ac:dyDescent="0.35">
      <c r="A1346">
        <v>4441</v>
      </c>
      <c r="B1346">
        <v>4441</v>
      </c>
      <c r="C1346">
        <v>43</v>
      </c>
      <c r="D1346">
        <v>19</v>
      </c>
      <c r="E1346">
        <v>75</v>
      </c>
      <c r="F1346">
        <v>3</v>
      </c>
      <c r="G1346">
        <v>0.3</v>
      </c>
      <c r="H1346">
        <v>3</v>
      </c>
      <c r="I1346">
        <v>0</v>
      </c>
      <c r="J1346">
        <v>0</v>
      </c>
      <c r="K1346">
        <v>0</v>
      </c>
      <c r="L1346">
        <v>90041</v>
      </c>
      <c r="M1346">
        <v>0</v>
      </c>
      <c r="N1346">
        <v>0</v>
      </c>
      <c r="O1346">
        <v>0</v>
      </c>
      <c r="Q1346">
        <v>0</v>
      </c>
      <c r="R1346">
        <v>0</v>
      </c>
      <c r="S1346">
        <v>0</v>
      </c>
      <c r="T1346">
        <v>5</v>
      </c>
      <c r="U1346">
        <v>1</v>
      </c>
      <c r="V1346">
        <v>0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</row>
    <row r="1347" spans="1:29" x14ac:dyDescent="0.35">
      <c r="A1347">
        <v>4443</v>
      </c>
      <c r="B1347">
        <v>4443</v>
      </c>
      <c r="C1347">
        <v>48</v>
      </c>
      <c r="D1347">
        <v>23</v>
      </c>
      <c r="E1347">
        <v>62</v>
      </c>
      <c r="F1347">
        <v>4</v>
      </c>
      <c r="G1347">
        <v>3.6</v>
      </c>
      <c r="H1347">
        <v>3</v>
      </c>
      <c r="I1347">
        <v>83</v>
      </c>
      <c r="J1347">
        <v>0</v>
      </c>
      <c r="K1347">
        <v>1</v>
      </c>
      <c r="L1347">
        <v>91367</v>
      </c>
      <c r="M1347">
        <v>0</v>
      </c>
      <c r="N1347">
        <v>0</v>
      </c>
      <c r="O1347">
        <v>0</v>
      </c>
      <c r="Q1347">
        <v>0</v>
      </c>
      <c r="R1347">
        <v>0</v>
      </c>
      <c r="S1347">
        <v>0</v>
      </c>
      <c r="T1347">
        <v>15</v>
      </c>
      <c r="U1347">
        <v>0.91935483870967005</v>
      </c>
      <c r="V1347">
        <v>8.0645161290319997E-2</v>
      </c>
      <c r="W1347">
        <v>0.91935483870967005</v>
      </c>
      <c r="X1347">
        <v>8.0645161290319997E-2</v>
      </c>
      <c r="Y1347">
        <v>0.86</v>
      </c>
      <c r="Z1347">
        <v>0.14000000000000001</v>
      </c>
      <c r="AA1347">
        <v>8.0645161290329906E-2</v>
      </c>
      <c r="AB1347">
        <v>-8.0645161290319997E-2</v>
      </c>
      <c r="AC1347">
        <v>0</v>
      </c>
    </row>
    <row r="1348" spans="1:29" x14ac:dyDescent="0.35">
      <c r="A1348">
        <v>4446</v>
      </c>
      <c r="B1348">
        <v>4446</v>
      </c>
      <c r="C1348">
        <v>49</v>
      </c>
      <c r="D1348">
        <v>25</v>
      </c>
      <c r="E1348">
        <v>135</v>
      </c>
      <c r="F1348">
        <v>2</v>
      </c>
      <c r="G1348">
        <v>1.4</v>
      </c>
      <c r="H1348">
        <v>1</v>
      </c>
      <c r="I1348">
        <v>82</v>
      </c>
      <c r="J1348">
        <v>1</v>
      </c>
      <c r="K1348">
        <v>1</v>
      </c>
      <c r="L1348">
        <v>90064</v>
      </c>
      <c r="M1348">
        <v>0</v>
      </c>
      <c r="N1348">
        <v>0</v>
      </c>
      <c r="O1348">
        <v>0</v>
      </c>
      <c r="Q1348">
        <v>1</v>
      </c>
      <c r="R1348">
        <v>0</v>
      </c>
      <c r="S1348">
        <v>0</v>
      </c>
      <c r="T1348">
        <v>22</v>
      </c>
      <c r="U1348">
        <v>1</v>
      </c>
      <c r="V1348">
        <v>0</v>
      </c>
      <c r="W1348">
        <v>1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</row>
    <row r="1349" spans="1:29" x14ac:dyDescent="0.35">
      <c r="A1349">
        <v>4454</v>
      </c>
      <c r="B1349">
        <v>4454</v>
      </c>
      <c r="C1349">
        <v>37</v>
      </c>
      <c r="D1349">
        <v>11</v>
      </c>
      <c r="E1349">
        <v>11</v>
      </c>
      <c r="F1349">
        <v>3</v>
      </c>
      <c r="G1349">
        <v>0.1</v>
      </c>
      <c r="H1349">
        <v>2</v>
      </c>
      <c r="I1349">
        <v>0</v>
      </c>
      <c r="J1349">
        <v>0</v>
      </c>
      <c r="K1349">
        <v>0</v>
      </c>
      <c r="L1349">
        <v>94112</v>
      </c>
      <c r="M1349">
        <v>0</v>
      </c>
      <c r="N1349">
        <v>0</v>
      </c>
      <c r="O1349">
        <v>0</v>
      </c>
      <c r="Q1349">
        <v>0</v>
      </c>
      <c r="R1349">
        <v>0</v>
      </c>
      <c r="S1349">
        <v>0</v>
      </c>
      <c r="T1349">
        <v>5</v>
      </c>
      <c r="U1349">
        <v>1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</row>
    <row r="1350" spans="1:29" x14ac:dyDescent="0.35">
      <c r="A1350">
        <v>4456</v>
      </c>
      <c r="B1350">
        <v>4456</v>
      </c>
      <c r="C1350">
        <v>56</v>
      </c>
      <c r="D1350">
        <v>31</v>
      </c>
      <c r="E1350">
        <v>28</v>
      </c>
      <c r="F1350">
        <v>1</v>
      </c>
      <c r="G1350">
        <v>1.5</v>
      </c>
      <c r="H1350">
        <v>2</v>
      </c>
      <c r="I1350">
        <v>0</v>
      </c>
      <c r="J1350">
        <v>1</v>
      </c>
      <c r="K1350">
        <v>1</v>
      </c>
      <c r="L1350">
        <v>94040</v>
      </c>
      <c r="M1350">
        <v>0</v>
      </c>
      <c r="N1350">
        <v>1</v>
      </c>
      <c r="O1350">
        <v>1</v>
      </c>
      <c r="Q1350">
        <v>0</v>
      </c>
      <c r="R1350">
        <v>0</v>
      </c>
      <c r="S1350">
        <v>0</v>
      </c>
      <c r="T1350">
        <v>5</v>
      </c>
      <c r="U1350">
        <v>1</v>
      </c>
      <c r="V1350">
        <v>0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</row>
    <row r="1351" spans="1:29" x14ac:dyDescent="0.35">
      <c r="A1351">
        <v>4457</v>
      </c>
      <c r="B1351">
        <v>4457</v>
      </c>
      <c r="C1351">
        <v>29</v>
      </c>
      <c r="D1351">
        <v>3</v>
      </c>
      <c r="E1351">
        <v>35</v>
      </c>
      <c r="F1351">
        <v>2</v>
      </c>
      <c r="G1351">
        <v>0.3</v>
      </c>
      <c r="H1351">
        <v>1</v>
      </c>
      <c r="I1351">
        <v>88</v>
      </c>
      <c r="J1351">
        <v>1</v>
      </c>
      <c r="K1351">
        <v>1</v>
      </c>
      <c r="L1351">
        <v>94040</v>
      </c>
      <c r="M1351">
        <v>0</v>
      </c>
      <c r="N1351">
        <v>0</v>
      </c>
      <c r="O1351">
        <v>1</v>
      </c>
      <c r="Q1351">
        <v>1</v>
      </c>
      <c r="R1351">
        <v>0</v>
      </c>
      <c r="S1351">
        <v>0</v>
      </c>
      <c r="T1351">
        <v>5</v>
      </c>
      <c r="U1351">
        <v>1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</row>
    <row r="1352" spans="1:29" x14ac:dyDescent="0.35">
      <c r="A1352">
        <v>4464</v>
      </c>
      <c r="B1352">
        <v>4464</v>
      </c>
      <c r="C1352">
        <v>39</v>
      </c>
      <c r="D1352">
        <v>13</v>
      </c>
      <c r="E1352">
        <v>69</v>
      </c>
      <c r="F1352">
        <v>3</v>
      </c>
      <c r="G1352">
        <v>0.1</v>
      </c>
      <c r="H1352">
        <v>1</v>
      </c>
      <c r="I1352">
        <v>0</v>
      </c>
      <c r="J1352">
        <v>0</v>
      </c>
      <c r="K1352">
        <v>0</v>
      </c>
      <c r="L1352">
        <v>94123</v>
      </c>
      <c r="M1352">
        <v>0</v>
      </c>
      <c r="N1352">
        <v>0</v>
      </c>
      <c r="O1352">
        <v>0</v>
      </c>
      <c r="Q1352">
        <v>1</v>
      </c>
      <c r="R1352">
        <v>0</v>
      </c>
      <c r="S1352">
        <v>0</v>
      </c>
      <c r="T1352">
        <v>5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</row>
    <row r="1353" spans="1:29" x14ac:dyDescent="0.35">
      <c r="A1353">
        <v>4465</v>
      </c>
      <c r="B1353">
        <v>4465</v>
      </c>
      <c r="C1353">
        <v>60</v>
      </c>
      <c r="D1353">
        <v>35</v>
      </c>
      <c r="E1353">
        <v>29</v>
      </c>
      <c r="F1353">
        <v>3</v>
      </c>
      <c r="G1353">
        <v>0.2</v>
      </c>
      <c r="H1353">
        <v>1</v>
      </c>
      <c r="I1353">
        <v>79</v>
      </c>
      <c r="J1353">
        <v>1</v>
      </c>
      <c r="K1353">
        <v>1</v>
      </c>
      <c r="L1353">
        <v>93943</v>
      </c>
      <c r="M1353">
        <v>0</v>
      </c>
      <c r="N1353">
        <v>0</v>
      </c>
      <c r="O1353">
        <v>0</v>
      </c>
      <c r="Q1353">
        <v>1</v>
      </c>
      <c r="R1353">
        <v>0</v>
      </c>
      <c r="S1353">
        <v>0</v>
      </c>
      <c r="T1353">
        <v>5</v>
      </c>
      <c r="U1353">
        <v>1</v>
      </c>
      <c r="V1353">
        <v>0</v>
      </c>
      <c r="W1353">
        <v>1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</row>
    <row r="1354" spans="1:29" x14ac:dyDescent="0.35">
      <c r="A1354">
        <v>4467</v>
      </c>
      <c r="B1354">
        <v>4467</v>
      </c>
      <c r="C1354">
        <v>34</v>
      </c>
      <c r="D1354">
        <v>10</v>
      </c>
      <c r="E1354">
        <v>60</v>
      </c>
      <c r="F1354">
        <v>3</v>
      </c>
      <c r="G1354">
        <v>2.8</v>
      </c>
      <c r="H1354">
        <v>1</v>
      </c>
      <c r="I1354">
        <v>0</v>
      </c>
      <c r="J1354">
        <v>1</v>
      </c>
      <c r="K1354">
        <v>1</v>
      </c>
      <c r="L1354">
        <v>90071</v>
      </c>
      <c r="M1354">
        <v>0</v>
      </c>
      <c r="N1354">
        <v>0</v>
      </c>
      <c r="O1354">
        <v>1</v>
      </c>
      <c r="Q1354">
        <v>1</v>
      </c>
      <c r="R1354">
        <v>0</v>
      </c>
      <c r="S1354">
        <v>0</v>
      </c>
      <c r="T1354">
        <v>5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</row>
    <row r="1355" spans="1:29" x14ac:dyDescent="0.35">
      <c r="A1355">
        <v>4469</v>
      </c>
      <c r="B1355">
        <v>4469</v>
      </c>
      <c r="C1355">
        <v>67</v>
      </c>
      <c r="D1355">
        <v>42</v>
      </c>
      <c r="E1355">
        <v>51</v>
      </c>
      <c r="F1355">
        <v>3</v>
      </c>
      <c r="G1355">
        <v>2.2000000000000002</v>
      </c>
      <c r="H1355">
        <v>1</v>
      </c>
      <c r="I1355">
        <v>0</v>
      </c>
      <c r="J1355">
        <v>1</v>
      </c>
      <c r="K1355">
        <v>1</v>
      </c>
      <c r="L1355">
        <v>94117</v>
      </c>
      <c r="M1355">
        <v>0</v>
      </c>
      <c r="N1355">
        <v>0</v>
      </c>
      <c r="O1355">
        <v>0</v>
      </c>
      <c r="Q1355">
        <v>1</v>
      </c>
      <c r="R1355">
        <v>0</v>
      </c>
      <c r="S1355">
        <v>0</v>
      </c>
      <c r="T1355">
        <v>5</v>
      </c>
      <c r="U1355">
        <v>1</v>
      </c>
      <c r="V1355">
        <v>0</v>
      </c>
      <c r="W1355">
        <v>1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</row>
    <row r="1356" spans="1:29" x14ac:dyDescent="0.35">
      <c r="A1356">
        <v>4470</v>
      </c>
      <c r="B1356">
        <v>4470</v>
      </c>
      <c r="C1356">
        <v>40</v>
      </c>
      <c r="D1356">
        <v>14</v>
      </c>
      <c r="E1356">
        <v>53</v>
      </c>
      <c r="F1356">
        <v>3</v>
      </c>
      <c r="G1356">
        <v>0.5</v>
      </c>
      <c r="H1356">
        <v>3</v>
      </c>
      <c r="I1356">
        <v>0</v>
      </c>
      <c r="J1356">
        <v>1</v>
      </c>
      <c r="K1356">
        <v>1</v>
      </c>
      <c r="L1356">
        <v>94025</v>
      </c>
      <c r="M1356">
        <v>0</v>
      </c>
      <c r="N1356">
        <v>1</v>
      </c>
      <c r="O1356">
        <v>1</v>
      </c>
      <c r="Q1356">
        <v>0</v>
      </c>
      <c r="R1356">
        <v>0</v>
      </c>
      <c r="S1356">
        <v>0</v>
      </c>
      <c r="T1356">
        <v>5</v>
      </c>
      <c r="U1356">
        <v>1</v>
      </c>
      <c r="V1356">
        <v>0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</row>
    <row r="1357" spans="1:29" x14ac:dyDescent="0.35">
      <c r="A1357">
        <v>4477</v>
      </c>
      <c r="B1357">
        <v>4477</v>
      </c>
      <c r="C1357">
        <v>58</v>
      </c>
      <c r="D1357">
        <v>32</v>
      </c>
      <c r="E1357">
        <v>40</v>
      </c>
      <c r="F1357">
        <v>2</v>
      </c>
      <c r="G1357">
        <v>0.3</v>
      </c>
      <c r="H1357">
        <v>1</v>
      </c>
      <c r="I1357">
        <v>0</v>
      </c>
      <c r="J1357">
        <v>0</v>
      </c>
      <c r="K1357">
        <v>0</v>
      </c>
      <c r="L1357">
        <v>95833</v>
      </c>
      <c r="M1357">
        <v>0</v>
      </c>
      <c r="N1357">
        <v>0</v>
      </c>
      <c r="O1357">
        <v>0</v>
      </c>
      <c r="Q1357">
        <v>1</v>
      </c>
      <c r="R1357">
        <v>0</v>
      </c>
      <c r="S1357">
        <v>0</v>
      </c>
      <c r="T1357">
        <v>5</v>
      </c>
      <c r="U1357">
        <v>1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</row>
    <row r="1358" spans="1:29" x14ac:dyDescent="0.35">
      <c r="A1358">
        <v>4482</v>
      </c>
      <c r="B1358">
        <v>4482</v>
      </c>
      <c r="C1358">
        <v>25</v>
      </c>
      <c r="D1358">
        <v>-2</v>
      </c>
      <c r="E1358">
        <v>35</v>
      </c>
      <c r="F1358">
        <v>4</v>
      </c>
      <c r="G1358">
        <v>1</v>
      </c>
      <c r="H1358">
        <v>3</v>
      </c>
      <c r="I1358">
        <v>0</v>
      </c>
      <c r="J1358">
        <v>1</v>
      </c>
      <c r="K1358">
        <v>0</v>
      </c>
      <c r="L1358">
        <v>95045</v>
      </c>
      <c r="M1358">
        <v>0</v>
      </c>
      <c r="N1358">
        <v>0</v>
      </c>
      <c r="O1358">
        <v>0</v>
      </c>
      <c r="Q1358">
        <v>0</v>
      </c>
      <c r="R1358">
        <v>0</v>
      </c>
      <c r="S1358">
        <v>0</v>
      </c>
      <c r="T1358">
        <v>5</v>
      </c>
      <c r="U1358">
        <v>1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</row>
    <row r="1359" spans="1:29" x14ac:dyDescent="0.35">
      <c r="A1359">
        <v>4483</v>
      </c>
      <c r="B1359">
        <v>4483</v>
      </c>
      <c r="C1359">
        <v>40</v>
      </c>
      <c r="D1359">
        <v>14</v>
      </c>
      <c r="E1359">
        <v>28</v>
      </c>
      <c r="F1359">
        <v>2</v>
      </c>
      <c r="G1359">
        <v>0.8</v>
      </c>
      <c r="H1359">
        <v>3</v>
      </c>
      <c r="I1359">
        <v>0</v>
      </c>
      <c r="J1359">
        <v>0</v>
      </c>
      <c r="K1359">
        <v>0</v>
      </c>
      <c r="L1359">
        <v>90404</v>
      </c>
      <c r="M1359">
        <v>0</v>
      </c>
      <c r="N1359">
        <v>0</v>
      </c>
      <c r="O1359">
        <v>0</v>
      </c>
      <c r="Q1359">
        <v>0</v>
      </c>
      <c r="R1359">
        <v>0</v>
      </c>
      <c r="S1359">
        <v>0</v>
      </c>
      <c r="T1359">
        <v>5</v>
      </c>
      <c r="U1359">
        <v>1</v>
      </c>
      <c r="V1359">
        <v>0</v>
      </c>
      <c r="W1359">
        <v>1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</row>
    <row r="1360" spans="1:29" x14ac:dyDescent="0.35">
      <c r="A1360">
        <v>4490</v>
      </c>
      <c r="B1360">
        <v>4490</v>
      </c>
      <c r="C1360">
        <v>39</v>
      </c>
      <c r="D1360">
        <v>13</v>
      </c>
      <c r="E1360">
        <v>21</v>
      </c>
      <c r="F1360">
        <v>3</v>
      </c>
      <c r="G1360">
        <v>0.2</v>
      </c>
      <c r="H1360">
        <v>2</v>
      </c>
      <c r="I1360">
        <v>0</v>
      </c>
      <c r="J1360">
        <v>1</v>
      </c>
      <c r="K1360">
        <v>0</v>
      </c>
      <c r="L1360">
        <v>95518</v>
      </c>
      <c r="M1360">
        <v>0</v>
      </c>
      <c r="N1360">
        <v>0</v>
      </c>
      <c r="O1360">
        <v>0</v>
      </c>
      <c r="Q1360">
        <v>0</v>
      </c>
      <c r="R1360">
        <v>0</v>
      </c>
      <c r="S1360">
        <v>0</v>
      </c>
      <c r="T1360">
        <v>5</v>
      </c>
      <c r="U1360">
        <v>1</v>
      </c>
      <c r="V1360">
        <v>0</v>
      </c>
      <c r="W1360">
        <v>1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</row>
    <row r="1361" spans="1:29" x14ac:dyDescent="0.35">
      <c r="A1361">
        <v>4494</v>
      </c>
      <c r="B1361">
        <v>4494</v>
      </c>
      <c r="C1361">
        <v>52</v>
      </c>
      <c r="D1361">
        <v>28</v>
      </c>
      <c r="E1361">
        <v>74</v>
      </c>
      <c r="F1361">
        <v>1</v>
      </c>
      <c r="G1361">
        <v>2.6</v>
      </c>
      <c r="H1361">
        <v>2</v>
      </c>
      <c r="I1361">
        <v>0</v>
      </c>
      <c r="J1361">
        <v>1</v>
      </c>
      <c r="K1361">
        <v>1</v>
      </c>
      <c r="L1361">
        <v>96064</v>
      </c>
      <c r="M1361">
        <v>0</v>
      </c>
      <c r="N1361">
        <v>0</v>
      </c>
      <c r="O1361">
        <v>0</v>
      </c>
      <c r="Q1361">
        <v>0</v>
      </c>
      <c r="R1361">
        <v>0</v>
      </c>
      <c r="S1361">
        <v>0</v>
      </c>
      <c r="T1361">
        <v>5</v>
      </c>
      <c r="U1361">
        <v>1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</row>
    <row r="1362" spans="1:29" x14ac:dyDescent="0.35">
      <c r="A1362">
        <v>4497</v>
      </c>
      <c r="B1362">
        <v>4497</v>
      </c>
      <c r="C1362">
        <v>51</v>
      </c>
      <c r="D1362">
        <v>25</v>
      </c>
      <c r="E1362">
        <v>45</v>
      </c>
      <c r="F1362">
        <v>4</v>
      </c>
      <c r="G1362">
        <v>2.6</v>
      </c>
      <c r="H1362">
        <v>1</v>
      </c>
      <c r="I1362">
        <v>0</v>
      </c>
      <c r="J1362">
        <v>0</v>
      </c>
      <c r="K1362">
        <v>0</v>
      </c>
      <c r="L1362">
        <v>95616</v>
      </c>
      <c r="M1362">
        <v>0</v>
      </c>
      <c r="N1362">
        <v>0</v>
      </c>
      <c r="O1362">
        <v>0</v>
      </c>
      <c r="Q1362">
        <v>1</v>
      </c>
      <c r="R1362">
        <v>0</v>
      </c>
      <c r="S1362">
        <v>0</v>
      </c>
      <c r="T1362">
        <v>5</v>
      </c>
      <c r="U1362">
        <v>1</v>
      </c>
      <c r="V1362">
        <v>0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</row>
    <row r="1363" spans="1:29" x14ac:dyDescent="0.35">
      <c r="A1363">
        <v>4501</v>
      </c>
      <c r="B1363">
        <v>4501</v>
      </c>
      <c r="C1363">
        <v>50</v>
      </c>
      <c r="D1363">
        <v>26</v>
      </c>
      <c r="E1363">
        <v>24</v>
      </c>
      <c r="F1363">
        <v>4</v>
      </c>
      <c r="G1363">
        <v>0.5</v>
      </c>
      <c r="H1363">
        <v>2</v>
      </c>
      <c r="I1363">
        <v>0</v>
      </c>
      <c r="J1363">
        <v>0</v>
      </c>
      <c r="K1363">
        <v>1</v>
      </c>
      <c r="L1363">
        <v>94305</v>
      </c>
      <c r="M1363">
        <v>0</v>
      </c>
      <c r="N1363">
        <v>0</v>
      </c>
      <c r="O1363">
        <v>0</v>
      </c>
      <c r="Q1363">
        <v>0</v>
      </c>
      <c r="R1363">
        <v>0</v>
      </c>
      <c r="S1363">
        <v>0</v>
      </c>
      <c r="T1363">
        <v>5</v>
      </c>
      <c r="U1363">
        <v>1</v>
      </c>
      <c r="V1363">
        <v>0</v>
      </c>
      <c r="W1363">
        <v>1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</row>
    <row r="1364" spans="1:29" x14ac:dyDescent="0.35">
      <c r="A1364">
        <v>4503</v>
      </c>
      <c r="B1364">
        <v>4503</v>
      </c>
      <c r="C1364">
        <v>57</v>
      </c>
      <c r="D1364">
        <v>32</v>
      </c>
      <c r="E1364">
        <v>80</v>
      </c>
      <c r="F1364">
        <v>2</v>
      </c>
      <c r="G1364">
        <v>0</v>
      </c>
      <c r="H1364">
        <v>3</v>
      </c>
      <c r="I1364">
        <v>0</v>
      </c>
      <c r="J1364">
        <v>0</v>
      </c>
      <c r="K1364">
        <v>0</v>
      </c>
      <c r="L1364">
        <v>92647</v>
      </c>
      <c r="M1364">
        <v>0</v>
      </c>
      <c r="N1364">
        <v>0</v>
      </c>
      <c r="O1364">
        <v>0</v>
      </c>
      <c r="Q1364">
        <v>0</v>
      </c>
      <c r="R1364">
        <v>0</v>
      </c>
      <c r="S1364">
        <v>0</v>
      </c>
      <c r="T1364">
        <v>5</v>
      </c>
      <c r="U1364">
        <v>1</v>
      </c>
      <c r="V1364">
        <v>0</v>
      </c>
      <c r="W1364">
        <v>1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</row>
    <row r="1365" spans="1:29" x14ac:dyDescent="0.35">
      <c r="A1365">
        <v>4506</v>
      </c>
      <c r="B1365">
        <v>4506</v>
      </c>
      <c r="C1365">
        <v>40</v>
      </c>
      <c r="D1365">
        <v>15</v>
      </c>
      <c r="E1365">
        <v>90</v>
      </c>
      <c r="F1365">
        <v>4</v>
      </c>
      <c r="G1365">
        <v>1.1000000000000001</v>
      </c>
      <c r="H1365">
        <v>2</v>
      </c>
      <c r="I1365">
        <v>0</v>
      </c>
      <c r="J1365">
        <v>1</v>
      </c>
      <c r="K1365">
        <v>0</v>
      </c>
      <c r="L1365">
        <v>94063</v>
      </c>
      <c r="M1365">
        <v>0</v>
      </c>
      <c r="N1365">
        <v>1</v>
      </c>
      <c r="O1365">
        <v>0</v>
      </c>
      <c r="Q1365">
        <v>0</v>
      </c>
      <c r="R1365">
        <v>0</v>
      </c>
      <c r="S1365">
        <v>0</v>
      </c>
      <c r="T1365">
        <v>5</v>
      </c>
      <c r="U1365">
        <v>1</v>
      </c>
      <c r="V1365">
        <v>0</v>
      </c>
      <c r="W1365">
        <v>1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</row>
    <row r="1366" spans="1:29" x14ac:dyDescent="0.35">
      <c r="A1366">
        <v>4515</v>
      </c>
      <c r="B1366">
        <v>4515</v>
      </c>
      <c r="C1366">
        <v>24</v>
      </c>
      <c r="D1366">
        <v>-3</v>
      </c>
      <c r="E1366">
        <v>41</v>
      </c>
      <c r="F1366">
        <v>4</v>
      </c>
      <c r="G1366">
        <v>1</v>
      </c>
      <c r="H1366">
        <v>3</v>
      </c>
      <c r="I1366">
        <v>0</v>
      </c>
      <c r="J1366">
        <v>1</v>
      </c>
      <c r="K1366">
        <v>0</v>
      </c>
      <c r="L1366">
        <v>91768</v>
      </c>
      <c r="M1366">
        <v>0</v>
      </c>
      <c r="N1366">
        <v>0</v>
      </c>
      <c r="O1366">
        <v>0</v>
      </c>
      <c r="Q1366">
        <v>0</v>
      </c>
      <c r="R1366">
        <v>0</v>
      </c>
      <c r="S1366">
        <v>0</v>
      </c>
      <c r="T1366">
        <v>5</v>
      </c>
      <c r="U1366">
        <v>1</v>
      </c>
      <c r="V1366">
        <v>0</v>
      </c>
      <c r="W1366">
        <v>1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</row>
    <row r="1367" spans="1:29" x14ac:dyDescent="0.35">
      <c r="A1367">
        <v>4521</v>
      </c>
      <c r="B1367">
        <v>4521</v>
      </c>
      <c r="C1367">
        <v>32</v>
      </c>
      <c r="D1367">
        <v>7</v>
      </c>
      <c r="E1367">
        <v>41</v>
      </c>
      <c r="F1367">
        <v>4</v>
      </c>
      <c r="G1367">
        <v>2</v>
      </c>
      <c r="H1367">
        <v>2</v>
      </c>
      <c r="I1367">
        <v>0</v>
      </c>
      <c r="J1367">
        <v>0</v>
      </c>
      <c r="K1367">
        <v>0</v>
      </c>
      <c r="L1367">
        <v>94706</v>
      </c>
      <c r="M1367">
        <v>0</v>
      </c>
      <c r="N1367">
        <v>0</v>
      </c>
      <c r="O1367">
        <v>0</v>
      </c>
      <c r="Q1367">
        <v>0</v>
      </c>
      <c r="R1367">
        <v>0</v>
      </c>
      <c r="S1367">
        <v>0</v>
      </c>
      <c r="T1367">
        <v>5</v>
      </c>
      <c r="U1367">
        <v>1</v>
      </c>
      <c r="V1367">
        <v>0</v>
      </c>
      <c r="W1367">
        <v>1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</row>
    <row r="1368" spans="1:29" x14ac:dyDescent="0.35">
      <c r="A1368">
        <v>4522</v>
      </c>
      <c r="B1368">
        <v>4522</v>
      </c>
      <c r="C1368">
        <v>56</v>
      </c>
      <c r="D1368">
        <v>31</v>
      </c>
      <c r="E1368">
        <v>25</v>
      </c>
      <c r="F1368">
        <v>3</v>
      </c>
      <c r="G1368">
        <v>0.1</v>
      </c>
      <c r="H1368">
        <v>2</v>
      </c>
      <c r="I1368">
        <v>0</v>
      </c>
      <c r="J1368">
        <v>0</v>
      </c>
      <c r="K1368">
        <v>0</v>
      </c>
      <c r="L1368">
        <v>95123</v>
      </c>
      <c r="M1368">
        <v>0</v>
      </c>
      <c r="N1368">
        <v>0</v>
      </c>
      <c r="O1368">
        <v>0</v>
      </c>
      <c r="Q1368">
        <v>0</v>
      </c>
      <c r="R1368">
        <v>0</v>
      </c>
      <c r="S1368">
        <v>0</v>
      </c>
      <c r="T1368">
        <v>5</v>
      </c>
      <c r="U1368">
        <v>1</v>
      </c>
      <c r="V1368">
        <v>0</v>
      </c>
      <c r="W1368">
        <v>1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</row>
    <row r="1369" spans="1:29" x14ac:dyDescent="0.35">
      <c r="A1369">
        <v>4525</v>
      </c>
      <c r="B1369">
        <v>4525</v>
      </c>
      <c r="C1369">
        <v>48</v>
      </c>
      <c r="D1369">
        <v>24</v>
      </c>
      <c r="E1369">
        <v>79</v>
      </c>
      <c r="F1369">
        <v>3</v>
      </c>
      <c r="G1369">
        <v>0.7</v>
      </c>
      <c r="H1369">
        <v>1</v>
      </c>
      <c r="I1369">
        <v>0</v>
      </c>
      <c r="J1369">
        <v>1</v>
      </c>
      <c r="K1369">
        <v>1</v>
      </c>
      <c r="L1369">
        <v>94542</v>
      </c>
      <c r="M1369">
        <v>0</v>
      </c>
      <c r="N1369">
        <v>0</v>
      </c>
      <c r="O1369">
        <v>0</v>
      </c>
      <c r="Q1369">
        <v>1</v>
      </c>
      <c r="R1369">
        <v>0</v>
      </c>
      <c r="S1369">
        <v>0</v>
      </c>
      <c r="T1369">
        <v>5</v>
      </c>
      <c r="U1369">
        <v>1</v>
      </c>
      <c r="V1369">
        <v>0</v>
      </c>
      <c r="W1369">
        <v>1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</row>
    <row r="1370" spans="1:29" x14ac:dyDescent="0.35">
      <c r="A1370">
        <v>4527</v>
      </c>
      <c r="B1370">
        <v>4527</v>
      </c>
      <c r="C1370">
        <v>36</v>
      </c>
      <c r="D1370">
        <v>9</v>
      </c>
      <c r="E1370">
        <v>40</v>
      </c>
      <c r="F1370">
        <v>2</v>
      </c>
      <c r="G1370">
        <v>1.67</v>
      </c>
      <c r="H1370">
        <v>2</v>
      </c>
      <c r="I1370">
        <v>129</v>
      </c>
      <c r="J1370">
        <v>1</v>
      </c>
      <c r="K1370">
        <v>0</v>
      </c>
      <c r="L1370">
        <v>92518</v>
      </c>
      <c r="M1370">
        <v>0</v>
      </c>
      <c r="N1370">
        <v>1</v>
      </c>
      <c r="O1370">
        <v>0</v>
      </c>
      <c r="Q1370">
        <v>0</v>
      </c>
      <c r="R1370">
        <v>0</v>
      </c>
      <c r="S1370">
        <v>0</v>
      </c>
      <c r="T1370">
        <v>5</v>
      </c>
      <c r="U1370">
        <v>1</v>
      </c>
      <c r="V1370">
        <v>0</v>
      </c>
      <c r="W1370">
        <v>1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</row>
    <row r="1371" spans="1:29" x14ac:dyDescent="0.35">
      <c r="A1371">
        <v>4529</v>
      </c>
      <c r="B1371">
        <v>4529</v>
      </c>
      <c r="C1371">
        <v>48</v>
      </c>
      <c r="D1371">
        <v>23</v>
      </c>
      <c r="E1371">
        <v>48</v>
      </c>
      <c r="F1371">
        <v>1</v>
      </c>
      <c r="G1371">
        <v>0.3</v>
      </c>
      <c r="H1371">
        <v>1</v>
      </c>
      <c r="I1371">
        <v>0</v>
      </c>
      <c r="J1371">
        <v>0</v>
      </c>
      <c r="K1371">
        <v>0</v>
      </c>
      <c r="L1371">
        <v>94086</v>
      </c>
      <c r="M1371">
        <v>0</v>
      </c>
      <c r="N1371">
        <v>0</v>
      </c>
      <c r="O1371">
        <v>0</v>
      </c>
      <c r="Q1371">
        <v>1</v>
      </c>
      <c r="R1371">
        <v>0</v>
      </c>
      <c r="S1371">
        <v>0</v>
      </c>
      <c r="T1371">
        <v>5</v>
      </c>
      <c r="U1371">
        <v>1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</row>
    <row r="1372" spans="1:29" x14ac:dyDescent="0.35">
      <c r="A1372">
        <v>4531</v>
      </c>
      <c r="B1372">
        <v>4531</v>
      </c>
      <c r="C1372">
        <v>33</v>
      </c>
      <c r="D1372">
        <v>9</v>
      </c>
      <c r="E1372">
        <v>19</v>
      </c>
      <c r="F1372">
        <v>2</v>
      </c>
      <c r="G1372">
        <v>1</v>
      </c>
      <c r="H1372">
        <v>2</v>
      </c>
      <c r="I1372">
        <v>92</v>
      </c>
      <c r="J1372">
        <v>1</v>
      </c>
      <c r="K1372">
        <v>0</v>
      </c>
      <c r="L1372">
        <v>95370</v>
      </c>
      <c r="M1372">
        <v>0</v>
      </c>
      <c r="N1372">
        <v>0</v>
      </c>
      <c r="O1372">
        <v>0</v>
      </c>
      <c r="Q1372">
        <v>0</v>
      </c>
      <c r="R1372">
        <v>0</v>
      </c>
      <c r="S1372">
        <v>0</v>
      </c>
      <c r="T1372">
        <v>5</v>
      </c>
      <c r="U1372">
        <v>1</v>
      </c>
      <c r="V1372">
        <v>0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</row>
    <row r="1373" spans="1:29" x14ac:dyDescent="0.35">
      <c r="A1373">
        <v>4533</v>
      </c>
      <c r="B1373">
        <v>4533</v>
      </c>
      <c r="C1373">
        <v>48</v>
      </c>
      <c r="D1373">
        <v>22</v>
      </c>
      <c r="E1373">
        <v>133</v>
      </c>
      <c r="F1373">
        <v>2</v>
      </c>
      <c r="G1373">
        <v>3.1</v>
      </c>
      <c r="H1373">
        <v>2</v>
      </c>
      <c r="I1373">
        <v>0</v>
      </c>
      <c r="J1373">
        <v>1</v>
      </c>
      <c r="K1373">
        <v>0</v>
      </c>
      <c r="L1373">
        <v>90073</v>
      </c>
      <c r="M1373">
        <v>1</v>
      </c>
      <c r="N1373">
        <v>0</v>
      </c>
      <c r="O1373">
        <v>0</v>
      </c>
      <c r="Q1373">
        <v>0</v>
      </c>
      <c r="R1373">
        <v>1</v>
      </c>
      <c r="S1373">
        <v>1</v>
      </c>
      <c r="T1373">
        <v>10</v>
      </c>
      <c r="U1373">
        <v>0</v>
      </c>
      <c r="V1373">
        <v>1</v>
      </c>
      <c r="W1373">
        <v>0</v>
      </c>
      <c r="X1373">
        <v>1</v>
      </c>
      <c r="Y1373">
        <v>0</v>
      </c>
      <c r="Z1373">
        <v>1</v>
      </c>
      <c r="AA1373">
        <v>0</v>
      </c>
      <c r="AB1373">
        <v>0</v>
      </c>
      <c r="AC1373">
        <v>1</v>
      </c>
    </row>
    <row r="1374" spans="1:29" x14ac:dyDescent="0.35">
      <c r="A1374">
        <v>4534</v>
      </c>
      <c r="B1374">
        <v>4534</v>
      </c>
      <c r="C1374">
        <v>59</v>
      </c>
      <c r="D1374">
        <v>34</v>
      </c>
      <c r="E1374">
        <v>19</v>
      </c>
      <c r="F1374">
        <v>2</v>
      </c>
      <c r="G1374">
        <v>0.5</v>
      </c>
      <c r="H1374">
        <v>2</v>
      </c>
      <c r="I1374">
        <v>0</v>
      </c>
      <c r="J1374">
        <v>1</v>
      </c>
      <c r="K1374">
        <v>0</v>
      </c>
      <c r="L1374">
        <v>95762</v>
      </c>
      <c r="M1374">
        <v>0</v>
      </c>
      <c r="N1374">
        <v>0</v>
      </c>
      <c r="O1374">
        <v>0</v>
      </c>
      <c r="Q1374">
        <v>0</v>
      </c>
      <c r="R1374">
        <v>0</v>
      </c>
      <c r="S1374">
        <v>0</v>
      </c>
      <c r="T1374">
        <v>5</v>
      </c>
      <c r="U1374">
        <v>1</v>
      </c>
      <c r="V1374">
        <v>0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</row>
    <row r="1375" spans="1:29" x14ac:dyDescent="0.35">
      <c r="A1375">
        <v>4537</v>
      </c>
      <c r="B1375">
        <v>4537</v>
      </c>
      <c r="C1375">
        <v>62</v>
      </c>
      <c r="D1375">
        <v>37</v>
      </c>
      <c r="E1375">
        <v>38</v>
      </c>
      <c r="F1375">
        <v>3</v>
      </c>
      <c r="G1375">
        <v>0.5</v>
      </c>
      <c r="H1375">
        <v>2</v>
      </c>
      <c r="I1375">
        <v>0</v>
      </c>
      <c r="J1375">
        <v>0</v>
      </c>
      <c r="K1375">
        <v>0</v>
      </c>
      <c r="L1375">
        <v>92354</v>
      </c>
      <c r="M1375">
        <v>0</v>
      </c>
      <c r="N1375">
        <v>0</v>
      </c>
      <c r="O1375">
        <v>0</v>
      </c>
      <c r="Q1375">
        <v>0</v>
      </c>
      <c r="R1375">
        <v>0</v>
      </c>
      <c r="S1375">
        <v>0</v>
      </c>
      <c r="T1375">
        <v>5</v>
      </c>
      <c r="U1375">
        <v>1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</row>
    <row r="1376" spans="1:29" x14ac:dyDescent="0.35">
      <c r="A1376">
        <v>4542</v>
      </c>
      <c r="B1376">
        <v>4542</v>
      </c>
      <c r="C1376">
        <v>62</v>
      </c>
      <c r="D1376">
        <v>38</v>
      </c>
      <c r="E1376">
        <v>124</v>
      </c>
      <c r="F1376">
        <v>1</v>
      </c>
      <c r="G1376">
        <v>3.8</v>
      </c>
      <c r="H1376">
        <v>1</v>
      </c>
      <c r="I1376">
        <v>405</v>
      </c>
      <c r="J1376">
        <v>1</v>
      </c>
      <c r="K1376">
        <v>0</v>
      </c>
      <c r="L1376">
        <v>95023</v>
      </c>
      <c r="M1376">
        <v>0</v>
      </c>
      <c r="N1376">
        <v>0</v>
      </c>
      <c r="O1376">
        <v>0</v>
      </c>
      <c r="Q1376">
        <v>1</v>
      </c>
      <c r="R1376">
        <v>0</v>
      </c>
      <c r="S1376">
        <v>0</v>
      </c>
      <c r="T1376">
        <v>22</v>
      </c>
      <c r="U1376">
        <v>1</v>
      </c>
      <c r="V1376">
        <v>0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</row>
    <row r="1377" spans="1:29" x14ac:dyDescent="0.35">
      <c r="A1377">
        <v>4543</v>
      </c>
      <c r="B1377">
        <v>4543</v>
      </c>
      <c r="C1377">
        <v>53</v>
      </c>
      <c r="D1377">
        <v>29</v>
      </c>
      <c r="E1377">
        <v>20</v>
      </c>
      <c r="F1377">
        <v>1</v>
      </c>
      <c r="G1377">
        <v>0.2</v>
      </c>
      <c r="H1377">
        <v>1</v>
      </c>
      <c r="I1377">
        <v>0</v>
      </c>
      <c r="J1377">
        <v>1</v>
      </c>
      <c r="K1377">
        <v>1</v>
      </c>
      <c r="L1377">
        <v>94131</v>
      </c>
      <c r="M1377">
        <v>0</v>
      </c>
      <c r="N1377">
        <v>1</v>
      </c>
      <c r="O1377">
        <v>1</v>
      </c>
      <c r="Q1377">
        <v>1</v>
      </c>
      <c r="R1377">
        <v>0</v>
      </c>
      <c r="S1377">
        <v>0</v>
      </c>
      <c r="T1377">
        <v>5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</row>
    <row r="1378" spans="1:29" x14ac:dyDescent="0.35">
      <c r="A1378">
        <v>4548</v>
      </c>
      <c r="B1378">
        <v>4548</v>
      </c>
      <c r="C1378">
        <v>50</v>
      </c>
      <c r="D1378">
        <v>25</v>
      </c>
      <c r="E1378">
        <v>32</v>
      </c>
      <c r="F1378">
        <v>2</v>
      </c>
      <c r="G1378">
        <v>0.7</v>
      </c>
      <c r="H1378">
        <v>2</v>
      </c>
      <c r="I1378">
        <v>0</v>
      </c>
      <c r="J1378">
        <v>1</v>
      </c>
      <c r="K1378">
        <v>0</v>
      </c>
      <c r="L1378">
        <v>94304</v>
      </c>
      <c r="M1378">
        <v>0</v>
      </c>
      <c r="N1378">
        <v>0</v>
      </c>
      <c r="O1378">
        <v>0</v>
      </c>
      <c r="Q1378">
        <v>0</v>
      </c>
      <c r="R1378">
        <v>0</v>
      </c>
      <c r="S1378">
        <v>0</v>
      </c>
      <c r="T1378">
        <v>5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</row>
    <row r="1379" spans="1:29" x14ac:dyDescent="0.35">
      <c r="A1379">
        <v>4550</v>
      </c>
      <c r="B1379">
        <v>4550</v>
      </c>
      <c r="C1379">
        <v>53</v>
      </c>
      <c r="D1379">
        <v>29</v>
      </c>
      <c r="E1379">
        <v>41</v>
      </c>
      <c r="F1379">
        <v>2</v>
      </c>
      <c r="G1379">
        <v>0.8</v>
      </c>
      <c r="H1379">
        <v>1</v>
      </c>
      <c r="I1379">
        <v>0</v>
      </c>
      <c r="J1379">
        <v>1</v>
      </c>
      <c r="K1379">
        <v>0</v>
      </c>
      <c r="L1379">
        <v>94080</v>
      </c>
      <c r="M1379">
        <v>0</v>
      </c>
      <c r="N1379">
        <v>0</v>
      </c>
      <c r="O1379">
        <v>0</v>
      </c>
      <c r="Q1379">
        <v>1</v>
      </c>
      <c r="R1379">
        <v>0</v>
      </c>
      <c r="S1379">
        <v>0</v>
      </c>
      <c r="T1379">
        <v>5</v>
      </c>
      <c r="U1379">
        <v>1</v>
      </c>
      <c r="V1379">
        <v>0</v>
      </c>
      <c r="W1379">
        <v>1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</row>
    <row r="1380" spans="1:29" x14ac:dyDescent="0.35">
      <c r="A1380">
        <v>4552</v>
      </c>
      <c r="B1380">
        <v>4552</v>
      </c>
      <c r="C1380">
        <v>27</v>
      </c>
      <c r="D1380">
        <v>0</v>
      </c>
      <c r="E1380">
        <v>28</v>
      </c>
      <c r="F1380">
        <v>4</v>
      </c>
      <c r="G1380">
        <v>1.5</v>
      </c>
      <c r="H1380">
        <v>2</v>
      </c>
      <c r="I1380">
        <v>0</v>
      </c>
      <c r="J1380">
        <v>1</v>
      </c>
      <c r="K1380">
        <v>0</v>
      </c>
      <c r="L1380">
        <v>91330</v>
      </c>
      <c r="M1380">
        <v>0</v>
      </c>
      <c r="N1380">
        <v>0</v>
      </c>
      <c r="O1380">
        <v>0</v>
      </c>
      <c r="Q1380">
        <v>0</v>
      </c>
      <c r="R1380">
        <v>0</v>
      </c>
      <c r="S1380">
        <v>0</v>
      </c>
      <c r="T1380">
        <v>5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</row>
    <row r="1381" spans="1:29" x14ac:dyDescent="0.35">
      <c r="A1381">
        <v>4553</v>
      </c>
      <c r="B1381">
        <v>4553</v>
      </c>
      <c r="C1381">
        <v>50</v>
      </c>
      <c r="D1381">
        <v>23</v>
      </c>
      <c r="E1381">
        <v>64</v>
      </c>
      <c r="F1381">
        <v>1</v>
      </c>
      <c r="G1381">
        <v>2.67</v>
      </c>
      <c r="H1381">
        <v>2</v>
      </c>
      <c r="I1381">
        <v>0</v>
      </c>
      <c r="J1381">
        <v>0</v>
      </c>
      <c r="K1381">
        <v>0</v>
      </c>
      <c r="L1381">
        <v>92037</v>
      </c>
      <c r="M1381">
        <v>0</v>
      </c>
      <c r="N1381">
        <v>0</v>
      </c>
      <c r="O1381">
        <v>0</v>
      </c>
      <c r="Q1381">
        <v>0</v>
      </c>
      <c r="R1381">
        <v>0</v>
      </c>
      <c r="S1381">
        <v>0</v>
      </c>
      <c r="T1381">
        <v>5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</row>
    <row r="1382" spans="1:29" x14ac:dyDescent="0.35">
      <c r="A1382">
        <v>4555</v>
      </c>
      <c r="B1382">
        <v>4555</v>
      </c>
      <c r="C1382">
        <v>41</v>
      </c>
      <c r="D1382">
        <v>16</v>
      </c>
      <c r="E1382">
        <v>109</v>
      </c>
      <c r="F1382">
        <v>3</v>
      </c>
      <c r="G1382">
        <v>1</v>
      </c>
      <c r="H1382">
        <v>1</v>
      </c>
      <c r="I1382">
        <v>0</v>
      </c>
      <c r="J1382">
        <v>1</v>
      </c>
      <c r="K1382">
        <v>0</v>
      </c>
      <c r="L1382">
        <v>94801</v>
      </c>
      <c r="M1382">
        <v>0</v>
      </c>
      <c r="N1382">
        <v>1</v>
      </c>
      <c r="O1382">
        <v>0</v>
      </c>
      <c r="Q1382">
        <v>1</v>
      </c>
      <c r="R1382">
        <v>0</v>
      </c>
      <c r="S1382">
        <v>0</v>
      </c>
      <c r="T1382">
        <v>24</v>
      </c>
      <c r="U1382">
        <v>0.92857142857142005</v>
      </c>
      <c r="V1382">
        <v>7.1428571428569995E-2</v>
      </c>
      <c r="W1382">
        <v>0.92857142857142005</v>
      </c>
      <c r="X1382">
        <v>7.1428571428569995E-2</v>
      </c>
      <c r="Y1382">
        <v>0.85714285714284999</v>
      </c>
      <c r="Z1382">
        <v>0.14285714285713999</v>
      </c>
      <c r="AA1382">
        <v>7.1428571428579904E-2</v>
      </c>
      <c r="AB1382">
        <v>-7.1428571428569995E-2</v>
      </c>
      <c r="AC1382">
        <v>0</v>
      </c>
    </row>
    <row r="1383" spans="1:29" x14ac:dyDescent="0.35">
      <c r="A1383">
        <v>4556</v>
      </c>
      <c r="B1383">
        <v>4556</v>
      </c>
      <c r="C1383">
        <v>43</v>
      </c>
      <c r="D1383">
        <v>19</v>
      </c>
      <c r="E1383">
        <v>71</v>
      </c>
      <c r="F1383">
        <v>3</v>
      </c>
      <c r="G1383">
        <v>0.3</v>
      </c>
      <c r="H1383">
        <v>3</v>
      </c>
      <c r="I1383">
        <v>179</v>
      </c>
      <c r="J1383">
        <v>0</v>
      </c>
      <c r="K1383">
        <v>0</v>
      </c>
      <c r="L1383">
        <v>95054</v>
      </c>
      <c r="M1383">
        <v>0</v>
      </c>
      <c r="N1383">
        <v>0</v>
      </c>
      <c r="O1383">
        <v>0</v>
      </c>
      <c r="Q1383">
        <v>0</v>
      </c>
      <c r="R1383">
        <v>0</v>
      </c>
      <c r="S1383">
        <v>0</v>
      </c>
      <c r="T1383">
        <v>5</v>
      </c>
      <c r="U1383">
        <v>1</v>
      </c>
      <c r="V1383">
        <v>0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</row>
    <row r="1384" spans="1:29" x14ac:dyDescent="0.35">
      <c r="A1384">
        <v>4561</v>
      </c>
      <c r="B1384">
        <v>4561</v>
      </c>
      <c r="C1384">
        <v>43</v>
      </c>
      <c r="D1384">
        <v>18</v>
      </c>
      <c r="E1384">
        <v>13</v>
      </c>
      <c r="F1384">
        <v>2</v>
      </c>
      <c r="G1384">
        <v>0.1</v>
      </c>
      <c r="H1384">
        <v>2</v>
      </c>
      <c r="I1384">
        <v>0</v>
      </c>
      <c r="J1384">
        <v>1</v>
      </c>
      <c r="K1384">
        <v>1</v>
      </c>
      <c r="L1384">
        <v>94709</v>
      </c>
      <c r="M1384">
        <v>0</v>
      </c>
      <c r="N1384">
        <v>0</v>
      </c>
      <c r="O1384">
        <v>1</v>
      </c>
      <c r="Q1384">
        <v>0</v>
      </c>
      <c r="R1384">
        <v>0</v>
      </c>
      <c r="S1384">
        <v>0</v>
      </c>
      <c r="T1384">
        <v>5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</row>
    <row r="1385" spans="1:29" x14ac:dyDescent="0.35">
      <c r="A1385">
        <v>4562</v>
      </c>
      <c r="B1385">
        <v>4562</v>
      </c>
      <c r="C1385">
        <v>59</v>
      </c>
      <c r="D1385">
        <v>33</v>
      </c>
      <c r="E1385">
        <v>59</v>
      </c>
      <c r="F1385">
        <v>3</v>
      </c>
      <c r="G1385">
        <v>1.4</v>
      </c>
      <c r="H1385">
        <v>3</v>
      </c>
      <c r="I1385">
        <v>0</v>
      </c>
      <c r="J1385">
        <v>0</v>
      </c>
      <c r="K1385">
        <v>0</v>
      </c>
      <c r="L1385">
        <v>91365</v>
      </c>
      <c r="M1385">
        <v>0</v>
      </c>
      <c r="N1385">
        <v>0</v>
      </c>
      <c r="O1385">
        <v>0</v>
      </c>
      <c r="Q1385">
        <v>0</v>
      </c>
      <c r="R1385">
        <v>0</v>
      </c>
      <c r="S1385">
        <v>0</v>
      </c>
      <c r="T1385">
        <v>5</v>
      </c>
      <c r="U1385">
        <v>1</v>
      </c>
      <c r="V1385">
        <v>0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</row>
    <row r="1386" spans="1:29" x14ac:dyDescent="0.35">
      <c r="A1386">
        <v>4563</v>
      </c>
      <c r="B1386">
        <v>4563</v>
      </c>
      <c r="C1386">
        <v>65</v>
      </c>
      <c r="D1386">
        <v>40</v>
      </c>
      <c r="E1386">
        <v>64</v>
      </c>
      <c r="F1386">
        <v>2</v>
      </c>
      <c r="G1386">
        <v>1.5</v>
      </c>
      <c r="H1386">
        <v>1</v>
      </c>
      <c r="I1386">
        <v>0</v>
      </c>
      <c r="J1386">
        <v>0</v>
      </c>
      <c r="K1386">
        <v>1</v>
      </c>
      <c r="L1386">
        <v>94928</v>
      </c>
      <c r="M1386">
        <v>0</v>
      </c>
      <c r="N1386">
        <v>0</v>
      </c>
      <c r="O1386">
        <v>0</v>
      </c>
      <c r="Q1386">
        <v>1</v>
      </c>
      <c r="R1386">
        <v>0</v>
      </c>
      <c r="S1386">
        <v>0</v>
      </c>
      <c r="T1386">
        <v>5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</row>
    <row r="1387" spans="1:29" x14ac:dyDescent="0.35">
      <c r="A1387">
        <v>4564</v>
      </c>
      <c r="B1387">
        <v>4564</v>
      </c>
      <c r="C1387">
        <v>28</v>
      </c>
      <c r="D1387">
        <v>2</v>
      </c>
      <c r="E1387">
        <v>188</v>
      </c>
      <c r="F1387">
        <v>2</v>
      </c>
      <c r="G1387">
        <v>4.5</v>
      </c>
      <c r="H1387">
        <v>1</v>
      </c>
      <c r="I1387">
        <v>0</v>
      </c>
      <c r="J1387">
        <v>1</v>
      </c>
      <c r="K1387">
        <v>0</v>
      </c>
      <c r="L1387">
        <v>92350</v>
      </c>
      <c r="M1387">
        <v>0</v>
      </c>
      <c r="N1387">
        <v>1</v>
      </c>
      <c r="O1387">
        <v>0</v>
      </c>
      <c r="Q1387">
        <v>1</v>
      </c>
      <c r="R1387">
        <v>0</v>
      </c>
      <c r="S1387">
        <v>0</v>
      </c>
      <c r="T1387">
        <v>22</v>
      </c>
      <c r="U1387">
        <v>1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</row>
    <row r="1388" spans="1:29" x14ac:dyDescent="0.35">
      <c r="A1388">
        <v>4568</v>
      </c>
      <c r="B1388">
        <v>4568</v>
      </c>
      <c r="C1388">
        <v>46</v>
      </c>
      <c r="D1388">
        <v>20</v>
      </c>
      <c r="E1388">
        <v>19</v>
      </c>
      <c r="F1388">
        <v>3</v>
      </c>
      <c r="G1388">
        <v>0.5</v>
      </c>
      <c r="H1388">
        <v>2</v>
      </c>
      <c r="I1388">
        <v>97</v>
      </c>
      <c r="J1388">
        <v>1</v>
      </c>
      <c r="K1388">
        <v>0</v>
      </c>
      <c r="L1388">
        <v>94105</v>
      </c>
      <c r="M1388">
        <v>0</v>
      </c>
      <c r="N1388">
        <v>1</v>
      </c>
      <c r="O1388">
        <v>0</v>
      </c>
      <c r="Q1388">
        <v>0</v>
      </c>
      <c r="R1388">
        <v>0</v>
      </c>
      <c r="S1388">
        <v>0</v>
      </c>
      <c r="T1388">
        <v>5</v>
      </c>
      <c r="U1388">
        <v>1</v>
      </c>
      <c r="V1388">
        <v>0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</row>
    <row r="1389" spans="1:29" x14ac:dyDescent="0.35">
      <c r="A1389">
        <v>4569</v>
      </c>
      <c r="B1389">
        <v>4569</v>
      </c>
      <c r="C1389">
        <v>26</v>
      </c>
      <c r="D1389">
        <v>0</v>
      </c>
      <c r="E1389">
        <v>44</v>
      </c>
      <c r="F1389">
        <v>4</v>
      </c>
      <c r="G1389">
        <v>1.3</v>
      </c>
      <c r="H1389">
        <v>3</v>
      </c>
      <c r="I1389">
        <v>0</v>
      </c>
      <c r="J1389">
        <v>0</v>
      </c>
      <c r="K1389">
        <v>0</v>
      </c>
      <c r="L1389">
        <v>94305</v>
      </c>
      <c r="M1389">
        <v>0</v>
      </c>
      <c r="N1389">
        <v>1</v>
      </c>
      <c r="O1389">
        <v>0</v>
      </c>
      <c r="Q1389">
        <v>0</v>
      </c>
      <c r="R1389">
        <v>0</v>
      </c>
      <c r="S1389">
        <v>0</v>
      </c>
      <c r="T1389">
        <v>5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</row>
    <row r="1390" spans="1:29" x14ac:dyDescent="0.35">
      <c r="A1390">
        <v>4571</v>
      </c>
      <c r="B1390">
        <v>4571</v>
      </c>
      <c r="C1390">
        <v>32</v>
      </c>
      <c r="D1390">
        <v>6</v>
      </c>
      <c r="E1390">
        <v>99</v>
      </c>
      <c r="F1390">
        <v>2</v>
      </c>
      <c r="G1390">
        <v>4.5</v>
      </c>
      <c r="H1390">
        <v>3</v>
      </c>
      <c r="I1390">
        <v>249</v>
      </c>
      <c r="J1390">
        <v>1</v>
      </c>
      <c r="K1390">
        <v>0</v>
      </c>
      <c r="L1390">
        <v>91902</v>
      </c>
      <c r="M1390">
        <v>0</v>
      </c>
      <c r="N1390">
        <v>0</v>
      </c>
      <c r="O1390">
        <v>0</v>
      </c>
      <c r="Q1390">
        <v>0</v>
      </c>
      <c r="R1390">
        <v>0</v>
      </c>
      <c r="S1390">
        <v>1</v>
      </c>
      <c r="T1390">
        <v>14</v>
      </c>
      <c r="U1390">
        <v>0.24242424242423999</v>
      </c>
      <c r="V1390">
        <v>0.75757575757575002</v>
      </c>
      <c r="W1390">
        <v>0.24242424242423999</v>
      </c>
      <c r="X1390">
        <v>0.75757575757575002</v>
      </c>
      <c r="Y1390">
        <v>0.44444444444443998</v>
      </c>
      <c r="Z1390">
        <v>0.55555555555555003</v>
      </c>
      <c r="AA1390">
        <v>0.75757575757576001</v>
      </c>
      <c r="AB1390">
        <v>-0.75757575757575002</v>
      </c>
      <c r="AC1390">
        <v>1</v>
      </c>
    </row>
    <row r="1391" spans="1:29" x14ac:dyDescent="0.35">
      <c r="A1391">
        <v>4572</v>
      </c>
      <c r="B1391">
        <v>4572</v>
      </c>
      <c r="C1391">
        <v>58</v>
      </c>
      <c r="D1391">
        <v>28</v>
      </c>
      <c r="E1391">
        <v>95</v>
      </c>
      <c r="F1391">
        <v>1</v>
      </c>
      <c r="G1391">
        <v>3</v>
      </c>
      <c r="H1391">
        <v>3</v>
      </c>
      <c r="I1391">
        <v>0</v>
      </c>
      <c r="J1391">
        <v>0</v>
      </c>
      <c r="K1391">
        <v>0</v>
      </c>
      <c r="L1391">
        <v>94304</v>
      </c>
      <c r="M1391">
        <v>0</v>
      </c>
      <c r="N1391">
        <v>0</v>
      </c>
      <c r="O1391">
        <v>0</v>
      </c>
      <c r="Q1391">
        <v>0</v>
      </c>
      <c r="R1391">
        <v>0</v>
      </c>
      <c r="S1391">
        <v>0</v>
      </c>
      <c r="T1391">
        <v>16</v>
      </c>
      <c r="U1391">
        <v>0.58333333333333004</v>
      </c>
      <c r="V1391">
        <v>0.41666666666666002</v>
      </c>
      <c r="W1391">
        <v>0.58333333333333004</v>
      </c>
      <c r="X1391">
        <v>0.41666666666666002</v>
      </c>
      <c r="Y1391">
        <v>0.77777777777777002</v>
      </c>
      <c r="Z1391">
        <v>0.22222222222221999</v>
      </c>
      <c r="AA1391">
        <v>0.41666666666666902</v>
      </c>
      <c r="AB1391">
        <v>-0.41666666666666002</v>
      </c>
      <c r="AC1391">
        <v>0</v>
      </c>
    </row>
    <row r="1392" spans="1:29" x14ac:dyDescent="0.35">
      <c r="A1392">
        <v>4573</v>
      </c>
      <c r="B1392">
        <v>4573</v>
      </c>
      <c r="C1392">
        <v>32</v>
      </c>
      <c r="D1392">
        <v>7</v>
      </c>
      <c r="E1392">
        <v>81</v>
      </c>
      <c r="F1392">
        <v>4</v>
      </c>
      <c r="G1392">
        <v>1.8</v>
      </c>
      <c r="H1392">
        <v>3</v>
      </c>
      <c r="I1392">
        <v>0</v>
      </c>
      <c r="J1392">
        <v>1</v>
      </c>
      <c r="K1392">
        <v>0</v>
      </c>
      <c r="L1392">
        <v>95112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5</v>
      </c>
      <c r="U1392">
        <v>1</v>
      </c>
      <c r="V1392">
        <v>0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</row>
    <row r="1393" spans="1:29" x14ac:dyDescent="0.35">
      <c r="A1393">
        <v>4574</v>
      </c>
      <c r="B1393">
        <v>4574</v>
      </c>
      <c r="C1393">
        <v>46</v>
      </c>
      <c r="D1393">
        <v>20</v>
      </c>
      <c r="E1393">
        <v>73</v>
      </c>
      <c r="F1393">
        <v>2</v>
      </c>
      <c r="G1393">
        <v>0.8</v>
      </c>
      <c r="H1393">
        <v>3</v>
      </c>
      <c r="I1393">
        <v>264</v>
      </c>
      <c r="J1393">
        <v>1</v>
      </c>
      <c r="K1393">
        <v>1</v>
      </c>
      <c r="L1393">
        <v>95616</v>
      </c>
      <c r="M1393">
        <v>0</v>
      </c>
      <c r="N1393">
        <v>0</v>
      </c>
      <c r="O1393">
        <v>1</v>
      </c>
      <c r="Q1393">
        <v>0</v>
      </c>
      <c r="R1393">
        <v>0</v>
      </c>
      <c r="S1393">
        <v>0</v>
      </c>
      <c r="T1393">
        <v>5</v>
      </c>
      <c r="U1393">
        <v>1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</row>
    <row r="1394" spans="1:29" x14ac:dyDescent="0.35">
      <c r="A1394">
        <v>4575</v>
      </c>
      <c r="B1394">
        <v>4575</v>
      </c>
      <c r="C1394">
        <v>35</v>
      </c>
      <c r="D1394">
        <v>11</v>
      </c>
      <c r="E1394">
        <v>193</v>
      </c>
      <c r="F1394">
        <v>2</v>
      </c>
      <c r="G1394">
        <v>6.5</v>
      </c>
      <c r="H1394">
        <v>1</v>
      </c>
      <c r="I1394">
        <v>0</v>
      </c>
      <c r="J1394">
        <v>0</v>
      </c>
      <c r="K1394">
        <v>1</v>
      </c>
      <c r="L1394">
        <v>91765</v>
      </c>
      <c r="M1394">
        <v>0</v>
      </c>
      <c r="N1394">
        <v>0</v>
      </c>
      <c r="O1394">
        <v>0</v>
      </c>
      <c r="Q1394">
        <v>1</v>
      </c>
      <c r="R1394">
        <v>0</v>
      </c>
      <c r="S1394">
        <v>0</v>
      </c>
      <c r="T1394">
        <v>22</v>
      </c>
      <c r="U1394">
        <v>1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</row>
    <row r="1395" spans="1:29" x14ac:dyDescent="0.35">
      <c r="A1395">
        <v>4576</v>
      </c>
      <c r="B1395">
        <v>4576</v>
      </c>
      <c r="C1395">
        <v>53</v>
      </c>
      <c r="D1395">
        <v>27</v>
      </c>
      <c r="E1395">
        <v>115</v>
      </c>
      <c r="F1395">
        <v>2</v>
      </c>
      <c r="G1395">
        <v>0.5</v>
      </c>
      <c r="H1395">
        <v>3</v>
      </c>
      <c r="I1395">
        <v>0</v>
      </c>
      <c r="J1395">
        <v>0</v>
      </c>
      <c r="K1395">
        <v>0</v>
      </c>
      <c r="L1395">
        <v>90095</v>
      </c>
      <c r="M1395">
        <v>1</v>
      </c>
      <c r="N1395">
        <v>0</v>
      </c>
      <c r="O1395">
        <v>0</v>
      </c>
      <c r="Q1395">
        <v>0</v>
      </c>
      <c r="R1395">
        <v>1</v>
      </c>
      <c r="S1395">
        <v>0</v>
      </c>
      <c r="T1395">
        <v>13</v>
      </c>
      <c r="U1395">
        <v>0.88607594936708001</v>
      </c>
      <c r="V1395">
        <v>0.11392405063291</v>
      </c>
      <c r="W1395">
        <v>0.88607594936708001</v>
      </c>
      <c r="X1395">
        <v>0.11392405063291</v>
      </c>
      <c r="Y1395">
        <v>0.86842105263156999</v>
      </c>
      <c r="Z1395">
        <v>0.13157894736841999</v>
      </c>
      <c r="AA1395">
        <v>-0.88607594936708001</v>
      </c>
      <c r="AB1395">
        <v>0.88607594936709</v>
      </c>
      <c r="AC1395">
        <v>0</v>
      </c>
    </row>
    <row r="1396" spans="1:29" x14ac:dyDescent="0.35">
      <c r="A1396">
        <v>4578</v>
      </c>
      <c r="B1396">
        <v>4578</v>
      </c>
      <c r="C1396">
        <v>63</v>
      </c>
      <c r="D1396">
        <v>37</v>
      </c>
      <c r="E1396">
        <v>80</v>
      </c>
      <c r="F1396">
        <v>2</v>
      </c>
      <c r="G1396">
        <v>1.7</v>
      </c>
      <c r="H1396">
        <v>3</v>
      </c>
      <c r="I1396">
        <v>0</v>
      </c>
      <c r="J1396">
        <v>1</v>
      </c>
      <c r="K1396">
        <v>1</v>
      </c>
      <c r="L1396">
        <v>90401</v>
      </c>
      <c r="M1396">
        <v>0</v>
      </c>
      <c r="N1396">
        <v>0</v>
      </c>
      <c r="O1396">
        <v>0</v>
      </c>
      <c r="Q1396">
        <v>0</v>
      </c>
      <c r="R1396">
        <v>0</v>
      </c>
      <c r="S1396">
        <v>0</v>
      </c>
      <c r="T1396">
        <v>5</v>
      </c>
      <c r="U1396">
        <v>1</v>
      </c>
      <c r="V1396">
        <v>0</v>
      </c>
      <c r="W1396">
        <v>1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</row>
    <row r="1397" spans="1:29" x14ac:dyDescent="0.35">
      <c r="A1397">
        <v>4579</v>
      </c>
      <c r="B1397">
        <v>4579</v>
      </c>
      <c r="C1397">
        <v>45</v>
      </c>
      <c r="D1397">
        <v>20</v>
      </c>
      <c r="E1397">
        <v>90</v>
      </c>
      <c r="F1397">
        <v>4</v>
      </c>
      <c r="G1397">
        <v>1.1000000000000001</v>
      </c>
      <c r="H1397">
        <v>2</v>
      </c>
      <c r="I1397">
        <v>0</v>
      </c>
      <c r="J1397">
        <v>1</v>
      </c>
      <c r="K1397">
        <v>1</v>
      </c>
      <c r="L1397">
        <v>94143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5</v>
      </c>
      <c r="U1397">
        <v>1</v>
      </c>
      <c r="V1397">
        <v>0</v>
      </c>
      <c r="W1397">
        <v>1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</row>
    <row r="1398" spans="1:29" x14ac:dyDescent="0.35">
      <c r="A1398">
        <v>4584</v>
      </c>
      <c r="B1398">
        <v>4584</v>
      </c>
      <c r="C1398">
        <v>52</v>
      </c>
      <c r="D1398">
        <v>26</v>
      </c>
      <c r="E1398">
        <v>83</v>
      </c>
      <c r="F1398">
        <v>1</v>
      </c>
      <c r="G1398">
        <v>3.1</v>
      </c>
      <c r="H1398">
        <v>1</v>
      </c>
      <c r="I1398">
        <v>0</v>
      </c>
      <c r="J1398">
        <v>1</v>
      </c>
      <c r="K1398">
        <v>0</v>
      </c>
      <c r="L1398">
        <v>92521</v>
      </c>
      <c r="M1398">
        <v>1</v>
      </c>
      <c r="N1398">
        <v>0</v>
      </c>
      <c r="O1398">
        <v>0</v>
      </c>
      <c r="Q1398">
        <v>1</v>
      </c>
      <c r="R1398">
        <v>1</v>
      </c>
      <c r="S1398">
        <v>0</v>
      </c>
      <c r="T1398">
        <v>15</v>
      </c>
      <c r="U1398">
        <v>0.91935483870967005</v>
      </c>
      <c r="V1398">
        <v>8.0645161290319997E-2</v>
      </c>
      <c r="W1398">
        <v>0.91935483870967005</v>
      </c>
      <c r="X1398">
        <v>8.0645161290319997E-2</v>
      </c>
      <c r="Y1398">
        <v>0.86</v>
      </c>
      <c r="Z1398">
        <v>0.14000000000000001</v>
      </c>
      <c r="AA1398">
        <v>-0.91935483870967005</v>
      </c>
      <c r="AB1398">
        <v>0.91935483870968004</v>
      </c>
      <c r="AC1398">
        <v>0</v>
      </c>
    </row>
    <row r="1399" spans="1:29" x14ac:dyDescent="0.35">
      <c r="A1399">
        <v>4588</v>
      </c>
      <c r="B1399">
        <v>4588</v>
      </c>
      <c r="C1399">
        <v>37</v>
      </c>
      <c r="D1399">
        <v>11</v>
      </c>
      <c r="E1399">
        <v>59</v>
      </c>
      <c r="F1399">
        <v>4</v>
      </c>
      <c r="G1399">
        <v>0.2</v>
      </c>
      <c r="H1399">
        <v>3</v>
      </c>
      <c r="I1399">
        <v>0</v>
      </c>
      <c r="J1399">
        <v>0</v>
      </c>
      <c r="K1399">
        <v>0</v>
      </c>
      <c r="L1399">
        <v>94720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5</v>
      </c>
      <c r="U1399">
        <v>1</v>
      </c>
      <c r="V1399">
        <v>0</v>
      </c>
      <c r="W1399">
        <v>1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</row>
    <row r="1400" spans="1:29" x14ac:dyDescent="0.35">
      <c r="A1400">
        <v>4590</v>
      </c>
      <c r="B1400">
        <v>4590</v>
      </c>
      <c r="C1400">
        <v>31</v>
      </c>
      <c r="D1400">
        <v>7</v>
      </c>
      <c r="E1400">
        <v>13</v>
      </c>
      <c r="F1400">
        <v>1</v>
      </c>
      <c r="G1400">
        <v>0.5</v>
      </c>
      <c r="H1400">
        <v>3</v>
      </c>
      <c r="I1400">
        <v>0</v>
      </c>
      <c r="J1400">
        <v>1</v>
      </c>
      <c r="K1400">
        <v>0</v>
      </c>
      <c r="L1400">
        <v>93727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5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</row>
    <row r="1401" spans="1:29" x14ac:dyDescent="0.35">
      <c r="A1401">
        <v>4599</v>
      </c>
      <c r="B1401">
        <v>4599</v>
      </c>
      <c r="C1401">
        <v>51</v>
      </c>
      <c r="D1401">
        <v>26</v>
      </c>
      <c r="E1401">
        <v>21</v>
      </c>
      <c r="F1401">
        <v>4</v>
      </c>
      <c r="G1401">
        <v>0.8</v>
      </c>
      <c r="H1401">
        <v>1</v>
      </c>
      <c r="I1401">
        <v>0</v>
      </c>
      <c r="J1401">
        <v>1</v>
      </c>
      <c r="K1401">
        <v>0</v>
      </c>
      <c r="L1401">
        <v>94143</v>
      </c>
      <c r="M1401">
        <v>0</v>
      </c>
      <c r="N1401">
        <v>0</v>
      </c>
      <c r="O1401">
        <v>0</v>
      </c>
      <c r="Q1401">
        <v>1</v>
      </c>
      <c r="R1401">
        <v>0</v>
      </c>
      <c r="S1401">
        <v>0</v>
      </c>
      <c r="T1401">
        <v>5</v>
      </c>
      <c r="U1401">
        <v>1</v>
      </c>
      <c r="V1401">
        <v>0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</row>
    <row r="1402" spans="1:29" x14ac:dyDescent="0.35">
      <c r="A1402">
        <v>4601</v>
      </c>
      <c r="B1402">
        <v>4601</v>
      </c>
      <c r="C1402">
        <v>54</v>
      </c>
      <c r="D1402">
        <v>24</v>
      </c>
      <c r="E1402">
        <v>75</v>
      </c>
      <c r="F1402">
        <v>1</v>
      </c>
      <c r="G1402">
        <v>1.4</v>
      </c>
      <c r="H1402">
        <v>3</v>
      </c>
      <c r="I1402">
        <v>0</v>
      </c>
      <c r="J1402">
        <v>0</v>
      </c>
      <c r="K1402">
        <v>0</v>
      </c>
      <c r="L1402">
        <v>93555</v>
      </c>
      <c r="M1402">
        <v>0</v>
      </c>
      <c r="N1402">
        <v>0</v>
      </c>
      <c r="O1402">
        <v>0</v>
      </c>
      <c r="Q1402">
        <v>0</v>
      </c>
      <c r="R1402">
        <v>0</v>
      </c>
      <c r="S1402">
        <v>0</v>
      </c>
      <c r="T1402">
        <v>5</v>
      </c>
      <c r="U1402">
        <v>1</v>
      </c>
      <c r="V1402">
        <v>0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</row>
    <row r="1403" spans="1:29" x14ac:dyDescent="0.35">
      <c r="A1403">
        <v>4604</v>
      </c>
      <c r="B1403">
        <v>4604</v>
      </c>
      <c r="C1403">
        <v>37</v>
      </c>
      <c r="D1403">
        <v>12</v>
      </c>
      <c r="E1403">
        <v>179</v>
      </c>
      <c r="F1403">
        <v>1</v>
      </c>
      <c r="G1403">
        <v>8.6</v>
      </c>
      <c r="H1403">
        <v>1</v>
      </c>
      <c r="I1403">
        <v>0</v>
      </c>
      <c r="J1403">
        <v>1</v>
      </c>
      <c r="K1403">
        <v>0</v>
      </c>
      <c r="L1403">
        <v>91768</v>
      </c>
      <c r="M1403">
        <v>0</v>
      </c>
      <c r="N1403">
        <v>0</v>
      </c>
      <c r="O1403">
        <v>0</v>
      </c>
      <c r="Q1403">
        <v>1</v>
      </c>
      <c r="R1403">
        <v>0</v>
      </c>
      <c r="S1403">
        <v>0</v>
      </c>
      <c r="T1403">
        <v>22</v>
      </c>
      <c r="U1403">
        <v>1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</row>
    <row r="1404" spans="1:29" x14ac:dyDescent="0.35">
      <c r="A1404">
        <v>4607</v>
      </c>
      <c r="B1404">
        <v>4607</v>
      </c>
      <c r="C1404">
        <v>44</v>
      </c>
      <c r="D1404">
        <v>20</v>
      </c>
      <c r="E1404">
        <v>199</v>
      </c>
      <c r="F1404">
        <v>2</v>
      </c>
      <c r="G1404">
        <v>6.67</v>
      </c>
      <c r="H1404">
        <v>1</v>
      </c>
      <c r="I1404">
        <v>0</v>
      </c>
      <c r="J1404">
        <v>1</v>
      </c>
      <c r="K1404">
        <v>0</v>
      </c>
      <c r="L1404">
        <v>94607</v>
      </c>
      <c r="M1404">
        <v>0</v>
      </c>
      <c r="N1404">
        <v>0</v>
      </c>
      <c r="O1404">
        <v>0</v>
      </c>
      <c r="Q1404">
        <v>1</v>
      </c>
      <c r="R1404">
        <v>0</v>
      </c>
      <c r="S1404">
        <v>0</v>
      </c>
      <c r="T1404">
        <v>22</v>
      </c>
      <c r="U1404">
        <v>1</v>
      </c>
      <c r="V1404">
        <v>0</v>
      </c>
      <c r="W1404">
        <v>1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</row>
    <row r="1405" spans="1:29" x14ac:dyDescent="0.35">
      <c r="A1405">
        <v>4608</v>
      </c>
      <c r="B1405">
        <v>4608</v>
      </c>
      <c r="C1405">
        <v>50</v>
      </c>
      <c r="D1405">
        <v>23</v>
      </c>
      <c r="E1405">
        <v>18</v>
      </c>
      <c r="F1405">
        <v>1</v>
      </c>
      <c r="G1405">
        <v>0.5</v>
      </c>
      <c r="H1405">
        <v>2</v>
      </c>
      <c r="I1405">
        <v>0</v>
      </c>
      <c r="J1405">
        <v>1</v>
      </c>
      <c r="K1405">
        <v>1</v>
      </c>
      <c r="L1405">
        <v>93117</v>
      </c>
      <c r="M1405">
        <v>0</v>
      </c>
      <c r="N1405">
        <v>0</v>
      </c>
      <c r="O1405">
        <v>0</v>
      </c>
      <c r="Q1405">
        <v>0</v>
      </c>
      <c r="R1405">
        <v>0</v>
      </c>
      <c r="S1405">
        <v>0</v>
      </c>
      <c r="T1405">
        <v>5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</row>
    <row r="1406" spans="1:29" x14ac:dyDescent="0.35">
      <c r="A1406">
        <v>4610</v>
      </c>
      <c r="B1406">
        <v>4610</v>
      </c>
      <c r="C1406">
        <v>54</v>
      </c>
      <c r="D1406">
        <v>28</v>
      </c>
      <c r="E1406">
        <v>80</v>
      </c>
      <c r="F1406">
        <v>4</v>
      </c>
      <c r="G1406">
        <v>2.6</v>
      </c>
      <c r="H1406">
        <v>3</v>
      </c>
      <c r="I1406">
        <v>143</v>
      </c>
      <c r="J1406">
        <v>0</v>
      </c>
      <c r="K1406">
        <v>0</v>
      </c>
      <c r="L1406">
        <v>95006</v>
      </c>
      <c r="M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5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</row>
    <row r="1407" spans="1:29" x14ac:dyDescent="0.35">
      <c r="A1407">
        <v>4612</v>
      </c>
      <c r="B1407">
        <v>4612</v>
      </c>
      <c r="C1407">
        <v>34</v>
      </c>
      <c r="D1407">
        <v>7</v>
      </c>
      <c r="E1407">
        <v>52</v>
      </c>
      <c r="F1407">
        <v>2</v>
      </c>
      <c r="G1407">
        <v>1</v>
      </c>
      <c r="H1407">
        <v>2</v>
      </c>
      <c r="I1407">
        <v>0</v>
      </c>
      <c r="J1407">
        <v>1</v>
      </c>
      <c r="K1407">
        <v>0</v>
      </c>
      <c r="L1407">
        <v>93940</v>
      </c>
      <c r="M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5</v>
      </c>
      <c r="U1407">
        <v>1</v>
      </c>
      <c r="V1407">
        <v>0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</row>
    <row r="1408" spans="1:29" x14ac:dyDescent="0.35">
      <c r="A1408">
        <v>4616</v>
      </c>
      <c r="B1408">
        <v>4616</v>
      </c>
      <c r="C1408">
        <v>37</v>
      </c>
      <c r="D1408">
        <v>12</v>
      </c>
      <c r="E1408">
        <v>84</v>
      </c>
      <c r="F1408">
        <v>4</v>
      </c>
      <c r="G1408">
        <v>0.7</v>
      </c>
      <c r="H1408">
        <v>3</v>
      </c>
      <c r="I1408">
        <v>0</v>
      </c>
      <c r="J1408">
        <v>1</v>
      </c>
      <c r="K1408">
        <v>0</v>
      </c>
      <c r="L1408">
        <v>93943</v>
      </c>
      <c r="M1408">
        <v>0</v>
      </c>
      <c r="N1408">
        <v>0</v>
      </c>
      <c r="O1408">
        <v>0</v>
      </c>
      <c r="Q1408">
        <v>0</v>
      </c>
      <c r="R1408">
        <v>0</v>
      </c>
      <c r="S1408">
        <v>0</v>
      </c>
      <c r="T1408">
        <v>5</v>
      </c>
      <c r="U1408">
        <v>1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</row>
    <row r="1409" spans="1:29" x14ac:dyDescent="0.35">
      <c r="A1409">
        <v>4617</v>
      </c>
      <c r="B1409">
        <v>4617</v>
      </c>
      <c r="C1409">
        <v>66</v>
      </c>
      <c r="D1409">
        <v>41</v>
      </c>
      <c r="E1409">
        <v>114</v>
      </c>
      <c r="F1409">
        <v>1</v>
      </c>
      <c r="G1409">
        <v>0.8</v>
      </c>
      <c r="H1409">
        <v>3</v>
      </c>
      <c r="I1409">
        <v>0</v>
      </c>
      <c r="J1409">
        <v>1</v>
      </c>
      <c r="K1409">
        <v>1</v>
      </c>
      <c r="L1409">
        <v>92521</v>
      </c>
      <c r="M1409">
        <v>0</v>
      </c>
      <c r="N1409">
        <v>0</v>
      </c>
      <c r="O1409">
        <v>0</v>
      </c>
      <c r="Q1409">
        <v>0</v>
      </c>
      <c r="R1409">
        <v>0</v>
      </c>
      <c r="S1409">
        <v>0</v>
      </c>
      <c r="T1409">
        <v>13</v>
      </c>
      <c r="U1409">
        <v>0.88607594936708001</v>
      </c>
      <c r="V1409">
        <v>0.11392405063291</v>
      </c>
      <c r="W1409">
        <v>0.88607594936708001</v>
      </c>
      <c r="X1409">
        <v>0.11392405063291</v>
      </c>
      <c r="Y1409">
        <v>0.86842105263156999</v>
      </c>
      <c r="Z1409">
        <v>0.13157894736841999</v>
      </c>
      <c r="AA1409">
        <v>0.11392405063291999</v>
      </c>
      <c r="AB1409">
        <v>-0.11392405063291</v>
      </c>
      <c r="AC1409">
        <v>0</v>
      </c>
    </row>
    <row r="1410" spans="1:29" x14ac:dyDescent="0.35">
      <c r="A1410">
        <v>4619</v>
      </c>
      <c r="B1410">
        <v>4619</v>
      </c>
      <c r="C1410">
        <v>35</v>
      </c>
      <c r="D1410">
        <v>9</v>
      </c>
      <c r="E1410">
        <v>29</v>
      </c>
      <c r="F1410">
        <v>3</v>
      </c>
      <c r="G1410">
        <v>0.9</v>
      </c>
      <c r="H1410">
        <v>1</v>
      </c>
      <c r="I1410">
        <v>126</v>
      </c>
      <c r="J1410">
        <v>1</v>
      </c>
      <c r="K1410">
        <v>0</v>
      </c>
      <c r="L1410">
        <v>95354</v>
      </c>
      <c r="M1410">
        <v>0</v>
      </c>
      <c r="N1410">
        <v>0</v>
      </c>
      <c r="O1410">
        <v>0</v>
      </c>
      <c r="Q1410">
        <v>1</v>
      </c>
      <c r="R1410">
        <v>0</v>
      </c>
      <c r="S1410">
        <v>0</v>
      </c>
      <c r="T1410">
        <v>5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</row>
    <row r="1411" spans="1:29" x14ac:dyDescent="0.35">
      <c r="A1411">
        <v>4624</v>
      </c>
      <c r="B1411">
        <v>4624</v>
      </c>
      <c r="C1411">
        <v>50</v>
      </c>
      <c r="D1411">
        <v>25</v>
      </c>
      <c r="E1411">
        <v>45</v>
      </c>
      <c r="F1411">
        <v>2</v>
      </c>
      <c r="G1411">
        <v>0.6</v>
      </c>
      <c r="H1411">
        <v>3</v>
      </c>
      <c r="I1411">
        <v>0</v>
      </c>
      <c r="J1411">
        <v>0</v>
      </c>
      <c r="K1411">
        <v>0</v>
      </c>
      <c r="L1411">
        <v>90813</v>
      </c>
      <c r="M1411">
        <v>0</v>
      </c>
      <c r="N1411">
        <v>0</v>
      </c>
      <c r="O1411">
        <v>0</v>
      </c>
      <c r="Q1411">
        <v>0</v>
      </c>
      <c r="R1411">
        <v>0</v>
      </c>
      <c r="S1411">
        <v>0</v>
      </c>
      <c r="T1411">
        <v>5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</row>
    <row r="1412" spans="1:29" x14ac:dyDescent="0.35">
      <c r="A1412">
        <v>4632</v>
      </c>
      <c r="B1412">
        <v>4632</v>
      </c>
      <c r="C1412">
        <v>32</v>
      </c>
      <c r="D1412">
        <v>8</v>
      </c>
      <c r="E1412">
        <v>142</v>
      </c>
      <c r="F1412">
        <v>4</v>
      </c>
      <c r="G1412">
        <v>6.2</v>
      </c>
      <c r="H1412">
        <v>2</v>
      </c>
      <c r="I1412">
        <v>120</v>
      </c>
      <c r="J1412">
        <v>1</v>
      </c>
      <c r="K1412">
        <v>1</v>
      </c>
      <c r="L1412">
        <v>90095</v>
      </c>
      <c r="M1412">
        <v>1</v>
      </c>
      <c r="N1412">
        <v>0</v>
      </c>
      <c r="O1412">
        <v>1</v>
      </c>
      <c r="Q1412">
        <v>0</v>
      </c>
      <c r="R1412">
        <v>1</v>
      </c>
      <c r="S1412">
        <v>1</v>
      </c>
      <c r="T1412">
        <v>10</v>
      </c>
      <c r="U1412">
        <v>0</v>
      </c>
      <c r="V1412">
        <v>1</v>
      </c>
      <c r="W1412">
        <v>0</v>
      </c>
      <c r="X1412">
        <v>1</v>
      </c>
      <c r="Y1412">
        <v>0</v>
      </c>
      <c r="Z1412">
        <v>1</v>
      </c>
      <c r="AA1412">
        <v>0</v>
      </c>
      <c r="AB1412">
        <v>0</v>
      </c>
      <c r="AC1412">
        <v>1</v>
      </c>
    </row>
    <row r="1413" spans="1:29" x14ac:dyDescent="0.35">
      <c r="A1413">
        <v>4634</v>
      </c>
      <c r="B1413">
        <v>4634</v>
      </c>
      <c r="C1413">
        <v>31</v>
      </c>
      <c r="D1413">
        <v>5</v>
      </c>
      <c r="E1413">
        <v>50</v>
      </c>
      <c r="F1413">
        <v>1</v>
      </c>
      <c r="G1413">
        <v>1.5</v>
      </c>
      <c r="H1413">
        <v>1</v>
      </c>
      <c r="I1413">
        <v>0</v>
      </c>
      <c r="J1413">
        <v>1</v>
      </c>
      <c r="K1413">
        <v>0</v>
      </c>
      <c r="L1413">
        <v>93106</v>
      </c>
      <c r="M1413">
        <v>0</v>
      </c>
      <c r="N1413">
        <v>0</v>
      </c>
      <c r="O1413">
        <v>0</v>
      </c>
      <c r="Q1413">
        <v>1</v>
      </c>
      <c r="R1413">
        <v>0</v>
      </c>
      <c r="S1413">
        <v>0</v>
      </c>
      <c r="T1413">
        <v>5</v>
      </c>
      <c r="U1413">
        <v>1</v>
      </c>
      <c r="V1413">
        <v>0</v>
      </c>
      <c r="W1413">
        <v>1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</row>
    <row r="1414" spans="1:29" x14ac:dyDescent="0.35">
      <c r="A1414">
        <v>4636</v>
      </c>
      <c r="B1414">
        <v>4636</v>
      </c>
      <c r="C1414">
        <v>30</v>
      </c>
      <c r="D1414">
        <v>5</v>
      </c>
      <c r="E1414">
        <v>85</v>
      </c>
      <c r="F1414">
        <v>2</v>
      </c>
      <c r="G1414">
        <v>2.5</v>
      </c>
      <c r="H1414">
        <v>1</v>
      </c>
      <c r="I1414">
        <v>293</v>
      </c>
      <c r="J1414">
        <v>1</v>
      </c>
      <c r="K1414">
        <v>1</v>
      </c>
      <c r="L1414">
        <v>91910</v>
      </c>
      <c r="M1414">
        <v>0</v>
      </c>
      <c r="N1414">
        <v>1</v>
      </c>
      <c r="O1414">
        <v>1</v>
      </c>
      <c r="Q1414">
        <v>1</v>
      </c>
      <c r="R1414">
        <v>0</v>
      </c>
      <c r="S1414">
        <v>0</v>
      </c>
      <c r="T1414">
        <v>5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</row>
    <row r="1415" spans="1:29" x14ac:dyDescent="0.35">
      <c r="A1415">
        <v>4638</v>
      </c>
      <c r="B1415">
        <v>4638</v>
      </c>
      <c r="C1415">
        <v>44</v>
      </c>
      <c r="D1415">
        <v>19</v>
      </c>
      <c r="E1415">
        <v>85</v>
      </c>
      <c r="F1415">
        <v>4</v>
      </c>
      <c r="G1415">
        <v>1.9</v>
      </c>
      <c r="H1415">
        <v>3</v>
      </c>
      <c r="I1415">
        <v>0</v>
      </c>
      <c r="J1415">
        <v>1</v>
      </c>
      <c r="K1415">
        <v>1</v>
      </c>
      <c r="L1415">
        <v>92054</v>
      </c>
      <c r="M1415">
        <v>0</v>
      </c>
      <c r="N1415">
        <v>0</v>
      </c>
      <c r="O1415">
        <v>0</v>
      </c>
      <c r="Q1415">
        <v>0</v>
      </c>
      <c r="R1415">
        <v>0</v>
      </c>
      <c r="S1415">
        <v>0</v>
      </c>
      <c r="T1415">
        <v>5</v>
      </c>
      <c r="U1415">
        <v>1</v>
      </c>
      <c r="V1415">
        <v>0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</row>
    <row r="1416" spans="1:29" x14ac:dyDescent="0.35">
      <c r="A1416">
        <v>4640</v>
      </c>
      <c r="B1416">
        <v>4640</v>
      </c>
      <c r="C1416">
        <v>51</v>
      </c>
      <c r="D1416">
        <v>25</v>
      </c>
      <c r="E1416">
        <v>33</v>
      </c>
      <c r="F1416">
        <v>3</v>
      </c>
      <c r="G1416">
        <v>0.9</v>
      </c>
      <c r="H1416">
        <v>3</v>
      </c>
      <c r="I1416">
        <v>0</v>
      </c>
      <c r="J1416">
        <v>1</v>
      </c>
      <c r="K1416">
        <v>1</v>
      </c>
      <c r="L1416">
        <v>92866</v>
      </c>
      <c r="M1416">
        <v>0</v>
      </c>
      <c r="N1416">
        <v>0</v>
      </c>
      <c r="O1416">
        <v>0</v>
      </c>
      <c r="Q1416">
        <v>0</v>
      </c>
      <c r="R1416">
        <v>0</v>
      </c>
      <c r="S1416">
        <v>0</v>
      </c>
      <c r="T1416">
        <v>5</v>
      </c>
      <c r="U1416">
        <v>1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</row>
    <row r="1417" spans="1:29" x14ac:dyDescent="0.35">
      <c r="A1417">
        <v>4644</v>
      </c>
      <c r="B1417">
        <v>4644</v>
      </c>
      <c r="C1417">
        <v>33</v>
      </c>
      <c r="D1417">
        <v>7</v>
      </c>
      <c r="E1417">
        <v>35</v>
      </c>
      <c r="F1417">
        <v>4</v>
      </c>
      <c r="G1417">
        <v>0.8</v>
      </c>
      <c r="H1417">
        <v>1</v>
      </c>
      <c r="I1417">
        <v>0</v>
      </c>
      <c r="J1417">
        <v>1</v>
      </c>
      <c r="K1417">
        <v>0</v>
      </c>
      <c r="L1417">
        <v>95616</v>
      </c>
      <c r="M1417">
        <v>0</v>
      </c>
      <c r="N1417">
        <v>0</v>
      </c>
      <c r="O1417">
        <v>0</v>
      </c>
      <c r="Q1417">
        <v>1</v>
      </c>
      <c r="R1417">
        <v>0</v>
      </c>
      <c r="S1417">
        <v>0</v>
      </c>
      <c r="T1417">
        <v>5</v>
      </c>
      <c r="U1417">
        <v>1</v>
      </c>
      <c r="V1417">
        <v>0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</row>
    <row r="1418" spans="1:29" x14ac:dyDescent="0.35">
      <c r="A1418">
        <v>4653</v>
      </c>
      <c r="B1418">
        <v>4653</v>
      </c>
      <c r="C1418">
        <v>38</v>
      </c>
      <c r="D1418">
        <v>12</v>
      </c>
      <c r="E1418">
        <v>184</v>
      </c>
      <c r="F1418">
        <v>3</v>
      </c>
      <c r="G1418">
        <v>8</v>
      </c>
      <c r="H1418">
        <v>1</v>
      </c>
      <c r="I1418">
        <v>0</v>
      </c>
      <c r="J1418">
        <v>1</v>
      </c>
      <c r="K1418">
        <v>0</v>
      </c>
      <c r="L1418">
        <v>91311</v>
      </c>
      <c r="M1418">
        <v>1</v>
      </c>
      <c r="N1418">
        <v>0</v>
      </c>
      <c r="O1418">
        <v>0</v>
      </c>
      <c r="Q1418">
        <v>1</v>
      </c>
      <c r="R1418">
        <v>1</v>
      </c>
      <c r="S1418">
        <v>1</v>
      </c>
      <c r="T1418">
        <v>20</v>
      </c>
      <c r="U1418">
        <v>0</v>
      </c>
      <c r="V1418">
        <v>1</v>
      </c>
      <c r="W1418">
        <v>0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1</v>
      </c>
    </row>
    <row r="1419" spans="1:29" x14ac:dyDescent="0.35">
      <c r="A1419">
        <v>4655</v>
      </c>
      <c r="B1419">
        <v>4655</v>
      </c>
      <c r="C1419">
        <v>44</v>
      </c>
      <c r="D1419">
        <v>17</v>
      </c>
      <c r="E1419">
        <v>69</v>
      </c>
      <c r="F1419">
        <v>3</v>
      </c>
      <c r="G1419">
        <v>2.67</v>
      </c>
      <c r="H1419">
        <v>2</v>
      </c>
      <c r="I1419">
        <v>0</v>
      </c>
      <c r="J1419">
        <v>0</v>
      </c>
      <c r="K1419">
        <v>0</v>
      </c>
      <c r="L1419">
        <v>90095</v>
      </c>
      <c r="M1419">
        <v>0</v>
      </c>
      <c r="N1419">
        <v>0</v>
      </c>
      <c r="O1419">
        <v>0</v>
      </c>
      <c r="Q1419">
        <v>0</v>
      </c>
      <c r="R1419">
        <v>0</v>
      </c>
      <c r="S1419">
        <v>0</v>
      </c>
      <c r="T1419">
        <v>5</v>
      </c>
      <c r="U1419">
        <v>1</v>
      </c>
      <c r="V1419">
        <v>0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</row>
    <row r="1420" spans="1:29" x14ac:dyDescent="0.35">
      <c r="A1420">
        <v>4657</v>
      </c>
      <c r="B1420">
        <v>4657</v>
      </c>
      <c r="C1420">
        <v>47</v>
      </c>
      <c r="D1420">
        <v>21</v>
      </c>
      <c r="E1420">
        <v>38</v>
      </c>
      <c r="F1420">
        <v>3</v>
      </c>
      <c r="G1420">
        <v>0.6</v>
      </c>
      <c r="H1420">
        <v>2</v>
      </c>
      <c r="I1420">
        <v>0</v>
      </c>
      <c r="J1420">
        <v>0</v>
      </c>
      <c r="K1420">
        <v>0</v>
      </c>
      <c r="L1420">
        <v>91101</v>
      </c>
      <c r="M1420">
        <v>0</v>
      </c>
      <c r="N1420">
        <v>1</v>
      </c>
      <c r="O1420">
        <v>0</v>
      </c>
      <c r="Q1420">
        <v>0</v>
      </c>
      <c r="R1420">
        <v>0</v>
      </c>
      <c r="S1420">
        <v>0</v>
      </c>
      <c r="T1420">
        <v>5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</row>
    <row r="1421" spans="1:29" x14ac:dyDescent="0.35">
      <c r="A1421">
        <v>4659</v>
      </c>
      <c r="B1421">
        <v>4659</v>
      </c>
      <c r="C1421">
        <v>36</v>
      </c>
      <c r="D1421">
        <v>11</v>
      </c>
      <c r="E1421">
        <v>69</v>
      </c>
      <c r="F1421">
        <v>4</v>
      </c>
      <c r="G1421">
        <v>2.1</v>
      </c>
      <c r="H1421">
        <v>3</v>
      </c>
      <c r="I1421">
        <v>0</v>
      </c>
      <c r="J1421">
        <v>1</v>
      </c>
      <c r="K1421">
        <v>1</v>
      </c>
      <c r="L1421">
        <v>95929</v>
      </c>
      <c r="M1421">
        <v>0</v>
      </c>
      <c r="N1421">
        <v>0</v>
      </c>
      <c r="O1421">
        <v>0</v>
      </c>
      <c r="Q1421">
        <v>0</v>
      </c>
      <c r="R1421">
        <v>0</v>
      </c>
      <c r="S1421">
        <v>0</v>
      </c>
      <c r="T1421">
        <v>5</v>
      </c>
      <c r="U1421">
        <v>1</v>
      </c>
      <c r="V1421">
        <v>0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</row>
    <row r="1422" spans="1:29" x14ac:dyDescent="0.35">
      <c r="A1422">
        <v>4662</v>
      </c>
      <c r="B1422">
        <v>4662</v>
      </c>
      <c r="C1422">
        <v>43</v>
      </c>
      <c r="D1422">
        <v>19</v>
      </c>
      <c r="E1422">
        <v>129</v>
      </c>
      <c r="F1422">
        <v>1</v>
      </c>
      <c r="G1422">
        <v>5</v>
      </c>
      <c r="H1422">
        <v>1</v>
      </c>
      <c r="I1422">
        <v>0</v>
      </c>
      <c r="J1422">
        <v>1</v>
      </c>
      <c r="K1422">
        <v>0</v>
      </c>
      <c r="L1422">
        <v>95039</v>
      </c>
      <c r="M1422">
        <v>0</v>
      </c>
      <c r="N1422">
        <v>1</v>
      </c>
      <c r="O1422">
        <v>0</v>
      </c>
      <c r="Q1422">
        <v>1</v>
      </c>
      <c r="R1422">
        <v>0</v>
      </c>
      <c r="S1422">
        <v>0</v>
      </c>
      <c r="T1422">
        <v>22</v>
      </c>
      <c r="U1422">
        <v>1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</row>
    <row r="1423" spans="1:29" x14ac:dyDescent="0.35">
      <c r="A1423">
        <v>4663</v>
      </c>
      <c r="B1423">
        <v>4663</v>
      </c>
      <c r="C1423">
        <v>56</v>
      </c>
      <c r="D1423">
        <v>31</v>
      </c>
      <c r="E1423">
        <v>59</v>
      </c>
      <c r="F1423">
        <v>2</v>
      </c>
      <c r="G1423">
        <v>1.9</v>
      </c>
      <c r="H1423">
        <v>2</v>
      </c>
      <c r="I1423">
        <v>0</v>
      </c>
      <c r="J1423">
        <v>1</v>
      </c>
      <c r="K1423">
        <v>0</v>
      </c>
      <c r="L1423">
        <v>94303</v>
      </c>
      <c r="M1423">
        <v>0</v>
      </c>
      <c r="N1423">
        <v>0</v>
      </c>
      <c r="O1423">
        <v>0</v>
      </c>
      <c r="Q1423">
        <v>0</v>
      </c>
      <c r="R1423">
        <v>0</v>
      </c>
      <c r="S1423">
        <v>0</v>
      </c>
      <c r="T1423">
        <v>5</v>
      </c>
      <c r="U1423">
        <v>1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</row>
    <row r="1424" spans="1:29" x14ac:dyDescent="0.35">
      <c r="A1424">
        <v>4665</v>
      </c>
      <c r="B1424">
        <v>4665</v>
      </c>
      <c r="C1424">
        <v>62</v>
      </c>
      <c r="D1424">
        <v>37</v>
      </c>
      <c r="E1424">
        <v>83</v>
      </c>
      <c r="F1424">
        <v>4</v>
      </c>
      <c r="G1424">
        <v>0.1</v>
      </c>
      <c r="H1424">
        <v>2</v>
      </c>
      <c r="I1424">
        <v>0</v>
      </c>
      <c r="J1424">
        <v>0</v>
      </c>
      <c r="K1424">
        <v>0</v>
      </c>
      <c r="L1424">
        <v>93657</v>
      </c>
      <c r="M1424">
        <v>0</v>
      </c>
      <c r="N1424">
        <v>0</v>
      </c>
      <c r="O1424">
        <v>0</v>
      </c>
      <c r="Q1424">
        <v>0</v>
      </c>
      <c r="R1424">
        <v>0</v>
      </c>
      <c r="S1424">
        <v>0</v>
      </c>
      <c r="T1424">
        <v>5</v>
      </c>
      <c r="U1424">
        <v>1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</row>
    <row r="1425" spans="1:29" x14ac:dyDescent="0.35">
      <c r="A1425">
        <v>4667</v>
      </c>
      <c r="B1425">
        <v>4667</v>
      </c>
      <c r="C1425">
        <v>34</v>
      </c>
      <c r="D1425">
        <v>9</v>
      </c>
      <c r="E1425">
        <v>72</v>
      </c>
      <c r="F1425">
        <v>3</v>
      </c>
      <c r="G1425">
        <v>2.2999999999999998</v>
      </c>
      <c r="H1425">
        <v>1</v>
      </c>
      <c r="I1425">
        <v>124</v>
      </c>
      <c r="J1425">
        <v>0</v>
      </c>
      <c r="K1425">
        <v>0</v>
      </c>
      <c r="L1425">
        <v>94555</v>
      </c>
      <c r="M1425">
        <v>0</v>
      </c>
      <c r="N1425">
        <v>0</v>
      </c>
      <c r="O1425">
        <v>0</v>
      </c>
      <c r="Q1425">
        <v>1</v>
      </c>
      <c r="R1425">
        <v>0</v>
      </c>
      <c r="S1425">
        <v>0</v>
      </c>
      <c r="T1425">
        <v>5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</row>
    <row r="1426" spans="1:29" x14ac:dyDescent="0.35">
      <c r="A1426">
        <v>4674</v>
      </c>
      <c r="B1426">
        <v>4674</v>
      </c>
      <c r="C1426">
        <v>50</v>
      </c>
      <c r="D1426">
        <v>23</v>
      </c>
      <c r="E1426">
        <v>18</v>
      </c>
      <c r="F1426">
        <v>2</v>
      </c>
      <c r="G1426">
        <v>1</v>
      </c>
      <c r="H1426">
        <v>2</v>
      </c>
      <c r="I1426">
        <v>88</v>
      </c>
      <c r="J1426">
        <v>1</v>
      </c>
      <c r="K1426">
        <v>1</v>
      </c>
      <c r="L1426">
        <v>95503</v>
      </c>
      <c r="M1426">
        <v>0</v>
      </c>
      <c r="N1426">
        <v>0</v>
      </c>
      <c r="O1426">
        <v>0</v>
      </c>
      <c r="Q1426">
        <v>0</v>
      </c>
      <c r="R1426">
        <v>0</v>
      </c>
      <c r="S1426">
        <v>0</v>
      </c>
      <c r="T1426">
        <v>5</v>
      </c>
      <c r="U1426">
        <v>1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</row>
    <row r="1427" spans="1:29" x14ac:dyDescent="0.35">
      <c r="A1427">
        <v>4675</v>
      </c>
      <c r="B1427">
        <v>4675</v>
      </c>
      <c r="C1427">
        <v>40</v>
      </c>
      <c r="D1427">
        <v>14</v>
      </c>
      <c r="E1427">
        <v>93</v>
      </c>
      <c r="F1427">
        <v>1</v>
      </c>
      <c r="G1427">
        <v>2.8</v>
      </c>
      <c r="H1427">
        <v>3</v>
      </c>
      <c r="I1427">
        <v>328</v>
      </c>
      <c r="J1427">
        <v>1</v>
      </c>
      <c r="K1427">
        <v>1</v>
      </c>
      <c r="L1427">
        <v>93933</v>
      </c>
      <c r="M1427">
        <v>0</v>
      </c>
      <c r="N1427">
        <v>1</v>
      </c>
      <c r="O1427">
        <v>1</v>
      </c>
      <c r="Q1427">
        <v>0</v>
      </c>
      <c r="R1427">
        <v>0</v>
      </c>
      <c r="S1427">
        <v>0</v>
      </c>
      <c r="T1427">
        <v>5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</row>
    <row r="1428" spans="1:29" x14ac:dyDescent="0.35">
      <c r="A1428">
        <v>4678</v>
      </c>
      <c r="B1428">
        <v>4678</v>
      </c>
      <c r="C1428">
        <v>25</v>
      </c>
      <c r="D1428">
        <v>0</v>
      </c>
      <c r="E1428">
        <v>38</v>
      </c>
      <c r="F1428">
        <v>2</v>
      </c>
      <c r="G1428">
        <v>1.6</v>
      </c>
      <c r="H1428">
        <v>3</v>
      </c>
      <c r="I1428">
        <v>0</v>
      </c>
      <c r="J1428">
        <v>0</v>
      </c>
      <c r="K1428">
        <v>0</v>
      </c>
      <c r="L1428">
        <v>93407</v>
      </c>
      <c r="M1428">
        <v>0</v>
      </c>
      <c r="N1428">
        <v>0</v>
      </c>
      <c r="O1428">
        <v>0</v>
      </c>
      <c r="Q1428">
        <v>0</v>
      </c>
      <c r="R1428">
        <v>0</v>
      </c>
      <c r="S1428">
        <v>0</v>
      </c>
      <c r="T1428">
        <v>5</v>
      </c>
      <c r="U1428">
        <v>1</v>
      </c>
      <c r="V1428">
        <v>0</v>
      </c>
      <c r="W1428">
        <v>1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</row>
    <row r="1429" spans="1:29" x14ac:dyDescent="0.35">
      <c r="A1429">
        <v>4679</v>
      </c>
      <c r="B1429">
        <v>4679</v>
      </c>
      <c r="C1429">
        <v>33</v>
      </c>
      <c r="D1429">
        <v>7</v>
      </c>
      <c r="E1429">
        <v>115</v>
      </c>
      <c r="F1429">
        <v>1</v>
      </c>
      <c r="G1429">
        <v>2.7</v>
      </c>
      <c r="H1429">
        <v>2</v>
      </c>
      <c r="I1429">
        <v>283</v>
      </c>
      <c r="J1429">
        <v>1</v>
      </c>
      <c r="K1429">
        <v>0</v>
      </c>
      <c r="L1429">
        <v>93305</v>
      </c>
      <c r="M1429">
        <v>0</v>
      </c>
      <c r="N1429">
        <v>0</v>
      </c>
      <c r="O1429">
        <v>0</v>
      </c>
      <c r="Q1429">
        <v>0</v>
      </c>
      <c r="R1429">
        <v>0</v>
      </c>
      <c r="S1429">
        <v>0</v>
      </c>
      <c r="T1429">
        <v>13</v>
      </c>
      <c r="U1429">
        <v>0.88607594936708001</v>
      </c>
      <c r="V1429">
        <v>0.11392405063291</v>
      </c>
      <c r="W1429">
        <v>0.88607594936708001</v>
      </c>
      <c r="X1429">
        <v>0.11392405063291</v>
      </c>
      <c r="Y1429">
        <v>0.86842105263156999</v>
      </c>
      <c r="Z1429">
        <v>0.13157894736841999</v>
      </c>
      <c r="AA1429">
        <v>0.11392405063291999</v>
      </c>
      <c r="AB1429">
        <v>-0.11392405063291</v>
      </c>
      <c r="AC1429">
        <v>0</v>
      </c>
    </row>
    <row r="1430" spans="1:29" x14ac:dyDescent="0.35">
      <c r="A1430">
        <v>4680</v>
      </c>
      <c r="B1430">
        <v>4680</v>
      </c>
      <c r="C1430">
        <v>26</v>
      </c>
      <c r="D1430">
        <v>0</v>
      </c>
      <c r="E1430">
        <v>161</v>
      </c>
      <c r="F1430">
        <v>2</v>
      </c>
      <c r="G1430">
        <v>7.2</v>
      </c>
      <c r="H1430">
        <v>1</v>
      </c>
      <c r="I1430">
        <v>0</v>
      </c>
      <c r="J1430">
        <v>0</v>
      </c>
      <c r="K1430">
        <v>0</v>
      </c>
      <c r="L1430">
        <v>94551</v>
      </c>
      <c r="M1430">
        <v>0</v>
      </c>
      <c r="N1430">
        <v>0</v>
      </c>
      <c r="O1430">
        <v>0</v>
      </c>
      <c r="Q1430">
        <v>1</v>
      </c>
      <c r="R1430">
        <v>0</v>
      </c>
      <c r="S1430">
        <v>0</v>
      </c>
      <c r="T1430">
        <v>22</v>
      </c>
      <c r="U1430">
        <v>1</v>
      </c>
      <c r="V1430">
        <v>0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</row>
    <row r="1431" spans="1:29" x14ac:dyDescent="0.35">
      <c r="A1431">
        <v>4681</v>
      </c>
      <c r="B1431">
        <v>4681</v>
      </c>
      <c r="C1431">
        <v>46</v>
      </c>
      <c r="D1431">
        <v>21</v>
      </c>
      <c r="E1431">
        <v>154</v>
      </c>
      <c r="F1431">
        <v>2</v>
      </c>
      <c r="G1431">
        <v>2.8</v>
      </c>
      <c r="H1431">
        <v>1</v>
      </c>
      <c r="I1431">
        <v>94</v>
      </c>
      <c r="J1431">
        <v>0</v>
      </c>
      <c r="K1431">
        <v>0</v>
      </c>
      <c r="L1431">
        <v>90245</v>
      </c>
      <c r="M1431">
        <v>0</v>
      </c>
      <c r="N1431">
        <v>0</v>
      </c>
      <c r="O1431">
        <v>0</v>
      </c>
      <c r="Q1431">
        <v>1</v>
      </c>
      <c r="R1431">
        <v>0</v>
      </c>
      <c r="S1431">
        <v>0</v>
      </c>
      <c r="T1431">
        <v>22</v>
      </c>
      <c r="U1431">
        <v>1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</row>
    <row r="1432" spans="1:29" x14ac:dyDescent="0.35">
      <c r="A1432">
        <v>4682</v>
      </c>
      <c r="B1432">
        <v>4682</v>
      </c>
      <c r="C1432">
        <v>27</v>
      </c>
      <c r="D1432">
        <v>3</v>
      </c>
      <c r="E1432">
        <v>68</v>
      </c>
      <c r="F1432">
        <v>4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95503</v>
      </c>
      <c r="M1432">
        <v>0</v>
      </c>
      <c r="N1432">
        <v>0</v>
      </c>
      <c r="O1432">
        <v>0</v>
      </c>
      <c r="Q1432">
        <v>1</v>
      </c>
      <c r="R1432">
        <v>0</v>
      </c>
      <c r="S1432">
        <v>0</v>
      </c>
      <c r="T1432">
        <v>5</v>
      </c>
      <c r="U1432">
        <v>1</v>
      </c>
      <c r="V1432">
        <v>0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</row>
    <row r="1433" spans="1:29" x14ac:dyDescent="0.35">
      <c r="A1433">
        <v>4685</v>
      </c>
      <c r="B1433">
        <v>4685</v>
      </c>
      <c r="C1433">
        <v>59</v>
      </c>
      <c r="D1433">
        <v>34</v>
      </c>
      <c r="E1433">
        <v>103</v>
      </c>
      <c r="F1433">
        <v>1</v>
      </c>
      <c r="G1433">
        <v>2.6</v>
      </c>
      <c r="H1433">
        <v>1</v>
      </c>
      <c r="I1433">
        <v>0</v>
      </c>
      <c r="J1433">
        <v>1</v>
      </c>
      <c r="K1433">
        <v>0</v>
      </c>
      <c r="L1433">
        <v>91360</v>
      </c>
      <c r="M1433">
        <v>0</v>
      </c>
      <c r="N1433">
        <v>0</v>
      </c>
      <c r="O1433">
        <v>0</v>
      </c>
      <c r="Q1433">
        <v>1</v>
      </c>
      <c r="R1433">
        <v>0</v>
      </c>
      <c r="S1433">
        <v>0</v>
      </c>
      <c r="T1433">
        <v>25</v>
      </c>
      <c r="U1433">
        <v>1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</row>
    <row r="1434" spans="1:29" x14ac:dyDescent="0.35">
      <c r="A1434">
        <v>4686</v>
      </c>
      <c r="B1434">
        <v>4686</v>
      </c>
      <c r="C1434">
        <v>63</v>
      </c>
      <c r="D1434">
        <v>39</v>
      </c>
      <c r="E1434">
        <v>41</v>
      </c>
      <c r="F1434">
        <v>4</v>
      </c>
      <c r="G1434">
        <v>1.3</v>
      </c>
      <c r="H1434">
        <v>2</v>
      </c>
      <c r="I1434">
        <v>0</v>
      </c>
      <c r="J1434">
        <v>1</v>
      </c>
      <c r="K1434">
        <v>0</v>
      </c>
      <c r="L1434">
        <v>91355</v>
      </c>
      <c r="M1434">
        <v>0</v>
      </c>
      <c r="N1434">
        <v>0</v>
      </c>
      <c r="O1434">
        <v>0</v>
      </c>
      <c r="Q1434">
        <v>0</v>
      </c>
      <c r="R1434">
        <v>0</v>
      </c>
      <c r="S1434">
        <v>0</v>
      </c>
      <c r="T1434">
        <v>5</v>
      </c>
      <c r="U1434">
        <v>1</v>
      </c>
      <c r="V1434">
        <v>0</v>
      </c>
      <c r="W1434">
        <v>1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</row>
    <row r="1435" spans="1:29" x14ac:dyDescent="0.35">
      <c r="A1435">
        <v>4688</v>
      </c>
      <c r="B1435">
        <v>4688</v>
      </c>
      <c r="C1435">
        <v>58</v>
      </c>
      <c r="D1435">
        <v>34</v>
      </c>
      <c r="E1435">
        <v>48</v>
      </c>
      <c r="F1435">
        <v>4</v>
      </c>
      <c r="G1435">
        <v>1.3</v>
      </c>
      <c r="H1435">
        <v>2</v>
      </c>
      <c r="I1435">
        <v>0</v>
      </c>
      <c r="J1435">
        <v>1</v>
      </c>
      <c r="K1435">
        <v>1</v>
      </c>
      <c r="L1435">
        <v>93460</v>
      </c>
      <c r="M1435">
        <v>0</v>
      </c>
      <c r="N1435">
        <v>0</v>
      </c>
      <c r="O1435">
        <v>0</v>
      </c>
      <c r="Q1435">
        <v>0</v>
      </c>
      <c r="R1435">
        <v>0</v>
      </c>
      <c r="S1435">
        <v>0</v>
      </c>
      <c r="T1435">
        <v>5</v>
      </c>
      <c r="U1435">
        <v>1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</row>
    <row r="1436" spans="1:29" x14ac:dyDescent="0.35">
      <c r="A1436">
        <v>4689</v>
      </c>
      <c r="B1436">
        <v>4689</v>
      </c>
      <c r="C1436">
        <v>29</v>
      </c>
      <c r="D1436">
        <v>3</v>
      </c>
      <c r="E1436">
        <v>69</v>
      </c>
      <c r="F1436">
        <v>4</v>
      </c>
      <c r="G1436">
        <v>1.8</v>
      </c>
      <c r="H1436">
        <v>2</v>
      </c>
      <c r="I1436">
        <v>0</v>
      </c>
      <c r="J1436">
        <v>1</v>
      </c>
      <c r="K1436">
        <v>1</v>
      </c>
      <c r="L1436">
        <v>92093</v>
      </c>
      <c r="M1436">
        <v>0</v>
      </c>
      <c r="N1436">
        <v>0</v>
      </c>
      <c r="O1436">
        <v>0</v>
      </c>
      <c r="Q1436">
        <v>0</v>
      </c>
      <c r="R1436">
        <v>0</v>
      </c>
      <c r="S1436">
        <v>0</v>
      </c>
      <c r="T1436">
        <v>5</v>
      </c>
      <c r="U1436">
        <v>1</v>
      </c>
      <c r="V1436">
        <v>0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</row>
    <row r="1437" spans="1:29" x14ac:dyDescent="0.35">
      <c r="A1437">
        <v>4690</v>
      </c>
      <c r="B1437">
        <v>4690</v>
      </c>
      <c r="C1437">
        <v>51</v>
      </c>
      <c r="D1437">
        <v>27</v>
      </c>
      <c r="E1437">
        <v>43</v>
      </c>
      <c r="F1437">
        <v>4</v>
      </c>
      <c r="G1437">
        <v>1.1000000000000001</v>
      </c>
      <c r="H1437">
        <v>2</v>
      </c>
      <c r="I1437">
        <v>164</v>
      </c>
      <c r="J1437">
        <v>1</v>
      </c>
      <c r="K1437">
        <v>1</v>
      </c>
      <c r="L1437">
        <v>95053</v>
      </c>
      <c r="M1437">
        <v>0</v>
      </c>
      <c r="N1437">
        <v>0</v>
      </c>
      <c r="O1437">
        <v>0</v>
      </c>
      <c r="Q1437">
        <v>0</v>
      </c>
      <c r="R1437">
        <v>0</v>
      </c>
      <c r="S1437">
        <v>0</v>
      </c>
      <c r="T1437">
        <v>5</v>
      </c>
      <c r="U1437">
        <v>1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</row>
    <row r="1438" spans="1:29" x14ac:dyDescent="0.35">
      <c r="A1438">
        <v>4691</v>
      </c>
      <c r="B1438">
        <v>4691</v>
      </c>
      <c r="C1438">
        <v>59</v>
      </c>
      <c r="D1438">
        <v>34</v>
      </c>
      <c r="E1438">
        <v>19</v>
      </c>
      <c r="F1438">
        <v>1</v>
      </c>
      <c r="G1438">
        <v>0.3</v>
      </c>
      <c r="H1438">
        <v>3</v>
      </c>
      <c r="I1438">
        <v>0</v>
      </c>
      <c r="J1438">
        <v>1</v>
      </c>
      <c r="K1438">
        <v>0</v>
      </c>
      <c r="L1438">
        <v>92192</v>
      </c>
      <c r="M1438">
        <v>0</v>
      </c>
      <c r="N1438">
        <v>0</v>
      </c>
      <c r="O1438">
        <v>0</v>
      </c>
      <c r="Q1438">
        <v>0</v>
      </c>
      <c r="R1438">
        <v>0</v>
      </c>
      <c r="S1438">
        <v>0</v>
      </c>
      <c r="T1438">
        <v>5</v>
      </c>
      <c r="U1438">
        <v>1</v>
      </c>
      <c r="V1438">
        <v>0</v>
      </c>
      <c r="W1438">
        <v>1</v>
      </c>
      <c r="X1438">
        <v>0</v>
      </c>
      <c r="Y1438">
        <v>1</v>
      </c>
      <c r="Z1438">
        <v>0</v>
      </c>
      <c r="AA1438">
        <v>0</v>
      </c>
      <c r="AB1438">
        <v>0</v>
      </c>
      <c r="AC1438">
        <v>0</v>
      </c>
    </row>
    <row r="1439" spans="1:29" x14ac:dyDescent="0.35">
      <c r="A1439">
        <v>4695</v>
      </c>
      <c r="B1439">
        <v>4695</v>
      </c>
      <c r="C1439">
        <v>39</v>
      </c>
      <c r="D1439">
        <v>13</v>
      </c>
      <c r="E1439">
        <v>25</v>
      </c>
      <c r="F1439">
        <v>2</v>
      </c>
      <c r="G1439">
        <v>0.8</v>
      </c>
      <c r="H1439">
        <v>3</v>
      </c>
      <c r="I1439">
        <v>0</v>
      </c>
      <c r="J1439">
        <v>0</v>
      </c>
      <c r="K1439">
        <v>0</v>
      </c>
      <c r="L1439">
        <v>94132</v>
      </c>
      <c r="M1439">
        <v>0</v>
      </c>
      <c r="N1439">
        <v>0</v>
      </c>
      <c r="O1439">
        <v>0</v>
      </c>
      <c r="Q1439">
        <v>0</v>
      </c>
      <c r="R1439">
        <v>0</v>
      </c>
      <c r="S1439">
        <v>0</v>
      </c>
      <c r="T1439">
        <v>5</v>
      </c>
      <c r="U1439">
        <v>1</v>
      </c>
      <c r="V1439">
        <v>0</v>
      </c>
      <c r="W1439">
        <v>1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</row>
    <row r="1440" spans="1:29" x14ac:dyDescent="0.35">
      <c r="A1440">
        <v>4696</v>
      </c>
      <c r="B1440">
        <v>4696</v>
      </c>
      <c r="C1440">
        <v>45</v>
      </c>
      <c r="D1440">
        <v>19</v>
      </c>
      <c r="E1440">
        <v>70</v>
      </c>
      <c r="F1440">
        <v>1</v>
      </c>
      <c r="G1440">
        <v>2.8</v>
      </c>
      <c r="H1440">
        <v>1</v>
      </c>
      <c r="I1440">
        <v>0</v>
      </c>
      <c r="J1440">
        <v>0</v>
      </c>
      <c r="K1440">
        <v>1</v>
      </c>
      <c r="L1440">
        <v>95605</v>
      </c>
      <c r="M1440">
        <v>0</v>
      </c>
      <c r="N1440">
        <v>0</v>
      </c>
      <c r="O1440">
        <v>0</v>
      </c>
      <c r="Q1440">
        <v>1</v>
      </c>
      <c r="R1440">
        <v>0</v>
      </c>
      <c r="S1440">
        <v>0</v>
      </c>
      <c r="T1440">
        <v>5</v>
      </c>
      <c r="U1440">
        <v>1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</row>
    <row r="1441" spans="1:29" x14ac:dyDescent="0.35">
      <c r="A1441">
        <v>4700</v>
      </c>
      <c r="B1441">
        <v>4700</v>
      </c>
      <c r="C1441">
        <v>61</v>
      </c>
      <c r="D1441">
        <v>36</v>
      </c>
      <c r="E1441">
        <v>61</v>
      </c>
      <c r="F1441">
        <v>2</v>
      </c>
      <c r="G1441">
        <v>2.8</v>
      </c>
      <c r="H1441">
        <v>1</v>
      </c>
      <c r="I1441">
        <v>153</v>
      </c>
      <c r="J1441">
        <v>0</v>
      </c>
      <c r="K1441">
        <v>1</v>
      </c>
      <c r="L1441">
        <v>91320</v>
      </c>
      <c r="M1441">
        <v>0</v>
      </c>
      <c r="N1441">
        <v>0</v>
      </c>
      <c r="O1441">
        <v>0</v>
      </c>
      <c r="Q1441">
        <v>1</v>
      </c>
      <c r="R1441">
        <v>0</v>
      </c>
      <c r="S1441">
        <v>0</v>
      </c>
      <c r="T1441">
        <v>5</v>
      </c>
      <c r="U1441">
        <v>1</v>
      </c>
      <c r="V1441">
        <v>0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</row>
    <row r="1442" spans="1:29" x14ac:dyDescent="0.35">
      <c r="A1442">
        <v>4701</v>
      </c>
      <c r="B1442">
        <v>4701</v>
      </c>
      <c r="C1442">
        <v>31</v>
      </c>
      <c r="D1442">
        <v>7</v>
      </c>
      <c r="E1442">
        <v>170</v>
      </c>
      <c r="F1442">
        <v>1</v>
      </c>
      <c r="G1442">
        <v>6</v>
      </c>
      <c r="H1442">
        <v>1</v>
      </c>
      <c r="I1442">
        <v>0</v>
      </c>
      <c r="J1442">
        <v>1</v>
      </c>
      <c r="K1442">
        <v>0</v>
      </c>
      <c r="L1442">
        <v>95006</v>
      </c>
      <c r="M1442">
        <v>0</v>
      </c>
      <c r="N1442">
        <v>0</v>
      </c>
      <c r="O1442">
        <v>0</v>
      </c>
      <c r="Q1442">
        <v>1</v>
      </c>
      <c r="R1442">
        <v>0</v>
      </c>
      <c r="S1442">
        <v>0</v>
      </c>
      <c r="T1442">
        <v>22</v>
      </c>
      <c r="U1442">
        <v>1</v>
      </c>
      <c r="V1442">
        <v>0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</row>
    <row r="1443" spans="1:29" x14ac:dyDescent="0.35">
      <c r="A1443">
        <v>4709</v>
      </c>
      <c r="B1443">
        <v>4709</v>
      </c>
      <c r="C1443">
        <v>62</v>
      </c>
      <c r="D1443">
        <v>37</v>
      </c>
      <c r="E1443">
        <v>10</v>
      </c>
      <c r="F1443">
        <v>3</v>
      </c>
      <c r="G1443">
        <v>0.5</v>
      </c>
      <c r="H1443">
        <v>1</v>
      </c>
      <c r="I1443">
        <v>0</v>
      </c>
      <c r="J1443">
        <v>1</v>
      </c>
      <c r="K1443">
        <v>0</v>
      </c>
      <c r="L1443">
        <v>92606</v>
      </c>
      <c r="M1443">
        <v>0</v>
      </c>
      <c r="N1443">
        <v>0</v>
      </c>
      <c r="O1443">
        <v>0</v>
      </c>
      <c r="Q1443">
        <v>1</v>
      </c>
      <c r="R1443">
        <v>0</v>
      </c>
      <c r="S1443">
        <v>0</v>
      </c>
      <c r="T1443">
        <v>5</v>
      </c>
      <c r="U1443">
        <v>1</v>
      </c>
      <c r="V1443">
        <v>0</v>
      </c>
      <c r="W1443">
        <v>1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</row>
    <row r="1444" spans="1:29" x14ac:dyDescent="0.35">
      <c r="A1444">
        <v>4715</v>
      </c>
      <c r="B1444">
        <v>4715</v>
      </c>
      <c r="C1444">
        <v>27</v>
      </c>
      <c r="D1444">
        <v>3</v>
      </c>
      <c r="E1444">
        <v>81</v>
      </c>
      <c r="F1444">
        <v>3</v>
      </c>
      <c r="G1444">
        <v>1.5</v>
      </c>
      <c r="H1444">
        <v>1</v>
      </c>
      <c r="I1444">
        <v>307</v>
      </c>
      <c r="J1444">
        <v>1</v>
      </c>
      <c r="K1444">
        <v>1</v>
      </c>
      <c r="L1444">
        <v>90291</v>
      </c>
      <c r="M1444">
        <v>0</v>
      </c>
      <c r="N1444">
        <v>1</v>
      </c>
      <c r="O1444">
        <v>1</v>
      </c>
      <c r="Q1444">
        <v>1</v>
      </c>
      <c r="R1444">
        <v>0</v>
      </c>
      <c r="S1444">
        <v>0</v>
      </c>
      <c r="T1444">
        <v>5</v>
      </c>
      <c r="U1444">
        <v>1</v>
      </c>
      <c r="V1444">
        <v>0</v>
      </c>
      <c r="W1444">
        <v>1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</row>
    <row r="1445" spans="1:29" x14ac:dyDescent="0.35">
      <c r="A1445">
        <v>4716</v>
      </c>
      <c r="B1445">
        <v>4716</v>
      </c>
      <c r="C1445">
        <v>65</v>
      </c>
      <c r="D1445">
        <v>39</v>
      </c>
      <c r="E1445">
        <v>35</v>
      </c>
      <c r="F1445">
        <v>1</v>
      </c>
      <c r="G1445">
        <v>0.5</v>
      </c>
      <c r="H1445">
        <v>3</v>
      </c>
      <c r="I1445">
        <v>150</v>
      </c>
      <c r="J1445">
        <v>1</v>
      </c>
      <c r="K1445">
        <v>0</v>
      </c>
      <c r="L1445">
        <v>92009</v>
      </c>
      <c r="M1445">
        <v>0</v>
      </c>
      <c r="N1445">
        <v>0</v>
      </c>
      <c r="O1445">
        <v>0</v>
      </c>
      <c r="Q1445">
        <v>0</v>
      </c>
      <c r="R1445">
        <v>0</v>
      </c>
      <c r="S1445">
        <v>0</v>
      </c>
      <c r="T1445">
        <v>5</v>
      </c>
      <c r="U1445">
        <v>1</v>
      </c>
      <c r="V1445">
        <v>0</v>
      </c>
      <c r="W1445">
        <v>1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0</v>
      </c>
    </row>
    <row r="1446" spans="1:29" x14ac:dyDescent="0.35">
      <c r="A1446">
        <v>4723</v>
      </c>
      <c r="B1446">
        <v>4723</v>
      </c>
      <c r="C1446">
        <v>40</v>
      </c>
      <c r="D1446">
        <v>16</v>
      </c>
      <c r="E1446">
        <v>63</v>
      </c>
      <c r="F1446">
        <v>1</v>
      </c>
      <c r="G1446">
        <v>1.5</v>
      </c>
      <c r="H1446">
        <v>3</v>
      </c>
      <c r="I1446">
        <v>0</v>
      </c>
      <c r="J1446">
        <v>0</v>
      </c>
      <c r="K1446">
        <v>0</v>
      </c>
      <c r="L1446">
        <v>92807</v>
      </c>
      <c r="M1446">
        <v>0</v>
      </c>
      <c r="N1446">
        <v>0</v>
      </c>
      <c r="O1446">
        <v>0</v>
      </c>
      <c r="Q1446">
        <v>0</v>
      </c>
      <c r="R1446">
        <v>0</v>
      </c>
      <c r="S1446">
        <v>0</v>
      </c>
      <c r="T1446">
        <v>5</v>
      </c>
      <c r="U1446">
        <v>1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</row>
    <row r="1447" spans="1:29" x14ac:dyDescent="0.35">
      <c r="A1447">
        <v>4728</v>
      </c>
      <c r="B1447">
        <v>4728</v>
      </c>
      <c r="C1447">
        <v>41</v>
      </c>
      <c r="D1447">
        <v>17</v>
      </c>
      <c r="E1447">
        <v>58</v>
      </c>
      <c r="F1447">
        <v>4</v>
      </c>
      <c r="G1447">
        <v>2.67</v>
      </c>
      <c r="H1447">
        <v>1</v>
      </c>
      <c r="I1447">
        <v>0</v>
      </c>
      <c r="J1447">
        <v>1</v>
      </c>
      <c r="K1447">
        <v>1</v>
      </c>
      <c r="L1447">
        <v>92009</v>
      </c>
      <c r="M1447">
        <v>0</v>
      </c>
      <c r="N1447">
        <v>0</v>
      </c>
      <c r="O1447">
        <v>0</v>
      </c>
      <c r="Q1447">
        <v>1</v>
      </c>
      <c r="R1447">
        <v>0</v>
      </c>
      <c r="S1447">
        <v>0</v>
      </c>
      <c r="T1447">
        <v>5</v>
      </c>
      <c r="U1447">
        <v>1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</row>
    <row r="1448" spans="1:29" x14ac:dyDescent="0.35">
      <c r="A1448">
        <v>4732</v>
      </c>
      <c r="B1448">
        <v>4732</v>
      </c>
      <c r="C1448">
        <v>37</v>
      </c>
      <c r="D1448">
        <v>11</v>
      </c>
      <c r="E1448">
        <v>29</v>
      </c>
      <c r="F1448">
        <v>2</v>
      </c>
      <c r="G1448">
        <v>1.4</v>
      </c>
      <c r="H1448">
        <v>3</v>
      </c>
      <c r="I1448">
        <v>0</v>
      </c>
      <c r="J1448">
        <v>1</v>
      </c>
      <c r="K1448">
        <v>1</v>
      </c>
      <c r="L1448">
        <v>91711</v>
      </c>
      <c r="M1448">
        <v>0</v>
      </c>
      <c r="N1448">
        <v>0</v>
      </c>
      <c r="O1448">
        <v>0</v>
      </c>
      <c r="Q1448">
        <v>0</v>
      </c>
      <c r="R1448">
        <v>0</v>
      </c>
      <c r="S1448">
        <v>0</v>
      </c>
      <c r="T1448">
        <v>5</v>
      </c>
      <c r="U1448">
        <v>1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</row>
    <row r="1449" spans="1:29" x14ac:dyDescent="0.35">
      <c r="A1449">
        <v>4737</v>
      </c>
      <c r="B1449">
        <v>4737</v>
      </c>
      <c r="C1449">
        <v>51</v>
      </c>
      <c r="D1449">
        <v>25</v>
      </c>
      <c r="E1449">
        <v>65</v>
      </c>
      <c r="F1449">
        <v>3</v>
      </c>
      <c r="G1449">
        <v>0.7</v>
      </c>
      <c r="H1449">
        <v>2</v>
      </c>
      <c r="I1449">
        <v>0</v>
      </c>
      <c r="J1449">
        <v>0</v>
      </c>
      <c r="K1449">
        <v>0</v>
      </c>
      <c r="L1449">
        <v>94143</v>
      </c>
      <c r="M1449">
        <v>0</v>
      </c>
      <c r="N1449">
        <v>0</v>
      </c>
      <c r="O1449">
        <v>0</v>
      </c>
      <c r="Q1449">
        <v>0</v>
      </c>
      <c r="R1449">
        <v>0</v>
      </c>
      <c r="S1449">
        <v>0</v>
      </c>
      <c r="T1449">
        <v>5</v>
      </c>
      <c r="U1449">
        <v>1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</row>
    <row r="1450" spans="1:29" x14ac:dyDescent="0.35">
      <c r="A1450">
        <v>4739</v>
      </c>
      <c r="B1450">
        <v>4739</v>
      </c>
      <c r="C1450">
        <v>56</v>
      </c>
      <c r="D1450">
        <v>32</v>
      </c>
      <c r="E1450">
        <v>44</v>
      </c>
      <c r="F1450">
        <v>3</v>
      </c>
      <c r="G1450">
        <v>1.5</v>
      </c>
      <c r="H1450">
        <v>1</v>
      </c>
      <c r="I1450">
        <v>153</v>
      </c>
      <c r="J1450">
        <v>1</v>
      </c>
      <c r="K1450">
        <v>0</v>
      </c>
      <c r="L1450">
        <v>94575</v>
      </c>
      <c r="M1450">
        <v>0</v>
      </c>
      <c r="N1450">
        <v>0</v>
      </c>
      <c r="O1450">
        <v>0</v>
      </c>
      <c r="Q1450">
        <v>1</v>
      </c>
      <c r="R1450">
        <v>0</v>
      </c>
      <c r="S1450">
        <v>0</v>
      </c>
      <c r="T1450">
        <v>5</v>
      </c>
      <c r="U1450">
        <v>1</v>
      </c>
      <c r="V1450">
        <v>0</v>
      </c>
      <c r="W1450">
        <v>1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</row>
    <row r="1451" spans="1:29" x14ac:dyDescent="0.35">
      <c r="A1451">
        <v>4743</v>
      </c>
      <c r="B1451">
        <v>4743</v>
      </c>
      <c r="C1451">
        <v>58</v>
      </c>
      <c r="D1451">
        <v>33</v>
      </c>
      <c r="E1451">
        <v>25</v>
      </c>
      <c r="F1451">
        <v>4</v>
      </c>
      <c r="G1451">
        <v>0.9</v>
      </c>
      <c r="H1451">
        <v>2</v>
      </c>
      <c r="I1451">
        <v>90</v>
      </c>
      <c r="J1451">
        <v>1</v>
      </c>
      <c r="K1451">
        <v>1</v>
      </c>
      <c r="L1451">
        <v>92121</v>
      </c>
      <c r="M1451">
        <v>0</v>
      </c>
      <c r="N1451">
        <v>0</v>
      </c>
      <c r="O1451">
        <v>0</v>
      </c>
      <c r="Q1451">
        <v>0</v>
      </c>
      <c r="R1451">
        <v>0</v>
      </c>
      <c r="S1451">
        <v>0</v>
      </c>
      <c r="T1451">
        <v>5</v>
      </c>
      <c r="U1451">
        <v>1</v>
      </c>
      <c r="V1451">
        <v>0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</row>
    <row r="1452" spans="1:29" x14ac:dyDescent="0.35">
      <c r="A1452">
        <v>4750</v>
      </c>
      <c r="B1452">
        <v>4750</v>
      </c>
      <c r="C1452">
        <v>31</v>
      </c>
      <c r="D1452">
        <v>5</v>
      </c>
      <c r="E1452">
        <v>21</v>
      </c>
      <c r="F1452">
        <v>3</v>
      </c>
      <c r="G1452">
        <v>1</v>
      </c>
      <c r="H1452">
        <v>1</v>
      </c>
      <c r="I1452">
        <v>0</v>
      </c>
      <c r="J1452">
        <v>1</v>
      </c>
      <c r="K1452">
        <v>0</v>
      </c>
      <c r="L1452">
        <v>94115</v>
      </c>
      <c r="M1452">
        <v>0</v>
      </c>
      <c r="N1452">
        <v>0</v>
      </c>
      <c r="O1452">
        <v>0</v>
      </c>
      <c r="Q1452">
        <v>1</v>
      </c>
      <c r="R1452">
        <v>0</v>
      </c>
      <c r="S1452">
        <v>0</v>
      </c>
      <c r="T1452">
        <v>5</v>
      </c>
      <c r="U1452">
        <v>1</v>
      </c>
      <c r="V1452">
        <v>0</v>
      </c>
      <c r="W1452">
        <v>1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</row>
    <row r="1453" spans="1:29" x14ac:dyDescent="0.35">
      <c r="A1453">
        <v>4751</v>
      </c>
      <c r="B1453">
        <v>4751</v>
      </c>
      <c r="C1453">
        <v>66</v>
      </c>
      <c r="D1453">
        <v>41</v>
      </c>
      <c r="E1453">
        <v>38</v>
      </c>
      <c r="F1453">
        <v>1</v>
      </c>
      <c r="G1453">
        <v>1.1000000000000001</v>
      </c>
      <c r="H1453">
        <v>3</v>
      </c>
      <c r="I1453">
        <v>0</v>
      </c>
      <c r="J1453">
        <v>0</v>
      </c>
      <c r="K1453">
        <v>1</v>
      </c>
      <c r="L1453">
        <v>95134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5</v>
      </c>
      <c r="U1453">
        <v>1</v>
      </c>
      <c r="V1453">
        <v>0</v>
      </c>
      <c r="W1453">
        <v>1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</row>
    <row r="1454" spans="1:29" x14ac:dyDescent="0.35">
      <c r="A1454">
        <v>4753</v>
      </c>
      <c r="B1454">
        <v>4753</v>
      </c>
      <c r="C1454">
        <v>39</v>
      </c>
      <c r="D1454">
        <v>14</v>
      </c>
      <c r="E1454">
        <v>178</v>
      </c>
      <c r="F1454">
        <v>1</v>
      </c>
      <c r="G1454">
        <v>4.0999999999999996</v>
      </c>
      <c r="H1454">
        <v>1</v>
      </c>
      <c r="I1454">
        <v>207</v>
      </c>
      <c r="J1454">
        <v>1</v>
      </c>
      <c r="K1454">
        <v>0</v>
      </c>
      <c r="L1454">
        <v>92123</v>
      </c>
      <c r="M1454">
        <v>0</v>
      </c>
      <c r="N1454">
        <v>0</v>
      </c>
      <c r="O1454">
        <v>0</v>
      </c>
      <c r="Q1454">
        <v>1</v>
      </c>
      <c r="R1454">
        <v>0</v>
      </c>
      <c r="S1454">
        <v>0</v>
      </c>
      <c r="T1454">
        <v>22</v>
      </c>
      <c r="U1454">
        <v>1</v>
      </c>
      <c r="V1454">
        <v>0</v>
      </c>
      <c r="W1454">
        <v>1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</row>
    <row r="1455" spans="1:29" x14ac:dyDescent="0.35">
      <c r="A1455">
        <v>4755</v>
      </c>
      <c r="B1455">
        <v>4755</v>
      </c>
      <c r="C1455">
        <v>57</v>
      </c>
      <c r="D1455">
        <v>33</v>
      </c>
      <c r="E1455">
        <v>93</v>
      </c>
      <c r="F1455">
        <v>2</v>
      </c>
      <c r="G1455">
        <v>1.6</v>
      </c>
      <c r="H1455">
        <v>1</v>
      </c>
      <c r="I1455">
        <v>161</v>
      </c>
      <c r="J1455">
        <v>0</v>
      </c>
      <c r="K1455">
        <v>0</v>
      </c>
      <c r="L1455">
        <v>94025</v>
      </c>
      <c r="M1455">
        <v>0</v>
      </c>
      <c r="N1455">
        <v>0</v>
      </c>
      <c r="O1455">
        <v>0</v>
      </c>
      <c r="Q1455">
        <v>1</v>
      </c>
      <c r="R1455">
        <v>0</v>
      </c>
      <c r="S1455">
        <v>0</v>
      </c>
      <c r="T1455">
        <v>5</v>
      </c>
      <c r="U1455">
        <v>1</v>
      </c>
      <c r="V1455">
        <v>0</v>
      </c>
      <c r="W1455">
        <v>1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</row>
    <row r="1456" spans="1:29" x14ac:dyDescent="0.35">
      <c r="A1456">
        <v>4767</v>
      </c>
      <c r="B1456">
        <v>4767</v>
      </c>
      <c r="C1456">
        <v>41</v>
      </c>
      <c r="D1456">
        <v>15</v>
      </c>
      <c r="E1456">
        <v>54</v>
      </c>
      <c r="F1456">
        <v>3</v>
      </c>
      <c r="G1456">
        <v>2.1</v>
      </c>
      <c r="H1456">
        <v>1</v>
      </c>
      <c r="I1456">
        <v>0</v>
      </c>
      <c r="J1456">
        <v>1</v>
      </c>
      <c r="K1456">
        <v>0</v>
      </c>
      <c r="L1456">
        <v>91775</v>
      </c>
      <c r="M1456">
        <v>0</v>
      </c>
      <c r="N1456">
        <v>0</v>
      </c>
      <c r="O1456">
        <v>0</v>
      </c>
      <c r="Q1456">
        <v>1</v>
      </c>
      <c r="R1456">
        <v>0</v>
      </c>
      <c r="S1456">
        <v>0</v>
      </c>
      <c r="T1456">
        <v>5</v>
      </c>
      <c r="U1456">
        <v>1</v>
      </c>
      <c r="V1456">
        <v>0</v>
      </c>
      <c r="W1456">
        <v>1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</row>
    <row r="1457" spans="1:29" x14ac:dyDescent="0.35">
      <c r="A1457">
        <v>4769</v>
      </c>
      <c r="B1457">
        <v>4769</v>
      </c>
      <c r="C1457">
        <v>38</v>
      </c>
      <c r="D1457">
        <v>14</v>
      </c>
      <c r="E1457">
        <v>39</v>
      </c>
      <c r="F1457">
        <v>1</v>
      </c>
      <c r="G1457">
        <v>2</v>
      </c>
      <c r="H1457">
        <v>2</v>
      </c>
      <c r="I1457">
        <v>0</v>
      </c>
      <c r="J1457">
        <v>1</v>
      </c>
      <c r="K1457">
        <v>0</v>
      </c>
      <c r="L1457">
        <v>93118</v>
      </c>
      <c r="M1457">
        <v>0</v>
      </c>
      <c r="N1457">
        <v>0</v>
      </c>
      <c r="O1457">
        <v>0</v>
      </c>
      <c r="Q1457">
        <v>0</v>
      </c>
      <c r="R1457">
        <v>0</v>
      </c>
      <c r="S1457">
        <v>0</v>
      </c>
      <c r="T1457">
        <v>5</v>
      </c>
      <c r="U1457">
        <v>1</v>
      </c>
      <c r="V1457">
        <v>0</v>
      </c>
      <c r="W1457">
        <v>1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</row>
    <row r="1458" spans="1:29" x14ac:dyDescent="0.35">
      <c r="A1458">
        <v>4770</v>
      </c>
      <c r="B1458">
        <v>4770</v>
      </c>
      <c r="C1458">
        <v>26</v>
      </c>
      <c r="D1458">
        <v>2</v>
      </c>
      <c r="E1458">
        <v>20</v>
      </c>
      <c r="F1458">
        <v>4</v>
      </c>
      <c r="G1458">
        <v>1</v>
      </c>
      <c r="H1458">
        <v>1</v>
      </c>
      <c r="I1458">
        <v>116</v>
      </c>
      <c r="J1458">
        <v>0</v>
      </c>
      <c r="K1458">
        <v>0</v>
      </c>
      <c r="L1458">
        <v>95064</v>
      </c>
      <c r="M1458">
        <v>0</v>
      </c>
      <c r="N1458">
        <v>0</v>
      </c>
      <c r="O1458">
        <v>0</v>
      </c>
      <c r="Q1458">
        <v>1</v>
      </c>
      <c r="R1458">
        <v>0</v>
      </c>
      <c r="S1458">
        <v>0</v>
      </c>
      <c r="T1458">
        <v>5</v>
      </c>
      <c r="U1458">
        <v>1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</row>
    <row r="1459" spans="1:29" x14ac:dyDescent="0.35">
      <c r="A1459">
        <v>4789</v>
      </c>
      <c r="B1459">
        <v>4789</v>
      </c>
      <c r="C1459">
        <v>36</v>
      </c>
      <c r="D1459">
        <v>10</v>
      </c>
      <c r="E1459">
        <v>39</v>
      </c>
      <c r="F1459">
        <v>1</v>
      </c>
      <c r="G1459">
        <v>2</v>
      </c>
      <c r="H1459">
        <v>1</v>
      </c>
      <c r="I1459">
        <v>153</v>
      </c>
      <c r="J1459">
        <v>0</v>
      </c>
      <c r="K1459">
        <v>0</v>
      </c>
      <c r="L1459">
        <v>92009</v>
      </c>
      <c r="M1459">
        <v>0</v>
      </c>
      <c r="N1459">
        <v>0</v>
      </c>
      <c r="O1459">
        <v>0</v>
      </c>
      <c r="Q1459">
        <v>1</v>
      </c>
      <c r="R1459">
        <v>0</v>
      </c>
      <c r="S1459">
        <v>0</v>
      </c>
      <c r="T1459">
        <v>5</v>
      </c>
      <c r="U1459">
        <v>1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</row>
    <row r="1460" spans="1:29" x14ac:dyDescent="0.35">
      <c r="A1460">
        <v>4792</v>
      </c>
      <c r="B1460">
        <v>4792</v>
      </c>
      <c r="C1460">
        <v>59</v>
      </c>
      <c r="D1460">
        <v>35</v>
      </c>
      <c r="E1460">
        <v>43</v>
      </c>
      <c r="F1460">
        <v>4</v>
      </c>
      <c r="G1460">
        <v>0.4</v>
      </c>
      <c r="H1460">
        <v>1</v>
      </c>
      <c r="I1460">
        <v>0</v>
      </c>
      <c r="J1460">
        <v>0</v>
      </c>
      <c r="K1460">
        <v>1</v>
      </c>
      <c r="L1460">
        <v>91791</v>
      </c>
      <c r="M1460">
        <v>0</v>
      </c>
      <c r="N1460">
        <v>0</v>
      </c>
      <c r="O1460">
        <v>0</v>
      </c>
      <c r="Q1460">
        <v>1</v>
      </c>
      <c r="R1460">
        <v>0</v>
      </c>
      <c r="S1460">
        <v>0</v>
      </c>
      <c r="T1460">
        <v>5</v>
      </c>
      <c r="U1460">
        <v>1</v>
      </c>
      <c r="V1460">
        <v>0</v>
      </c>
      <c r="W1460">
        <v>1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</row>
    <row r="1461" spans="1:29" x14ac:dyDescent="0.35">
      <c r="A1461">
        <v>4793</v>
      </c>
      <c r="B1461">
        <v>4793</v>
      </c>
      <c r="C1461">
        <v>36</v>
      </c>
      <c r="D1461">
        <v>10</v>
      </c>
      <c r="E1461">
        <v>28</v>
      </c>
      <c r="F1461">
        <v>4</v>
      </c>
      <c r="G1461">
        <v>1</v>
      </c>
      <c r="H1461">
        <v>1</v>
      </c>
      <c r="I1461">
        <v>130</v>
      </c>
      <c r="J1461">
        <v>1</v>
      </c>
      <c r="K1461">
        <v>0</v>
      </c>
      <c r="L1461">
        <v>90840</v>
      </c>
      <c r="M1461">
        <v>0</v>
      </c>
      <c r="N1461">
        <v>0</v>
      </c>
      <c r="O1461">
        <v>0</v>
      </c>
      <c r="Q1461">
        <v>1</v>
      </c>
      <c r="R1461">
        <v>0</v>
      </c>
      <c r="S1461">
        <v>0</v>
      </c>
      <c r="T1461">
        <v>5</v>
      </c>
      <c r="U1461">
        <v>1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</row>
    <row r="1462" spans="1:29" x14ac:dyDescent="0.35">
      <c r="A1462">
        <v>4794</v>
      </c>
      <c r="B1462">
        <v>4794</v>
      </c>
      <c r="C1462">
        <v>45</v>
      </c>
      <c r="D1462">
        <v>21</v>
      </c>
      <c r="E1462">
        <v>59</v>
      </c>
      <c r="F1462">
        <v>2</v>
      </c>
      <c r="G1462">
        <v>2.5</v>
      </c>
      <c r="H1462">
        <v>1</v>
      </c>
      <c r="I1462">
        <v>155</v>
      </c>
      <c r="J1462">
        <v>1</v>
      </c>
      <c r="K1462">
        <v>0</v>
      </c>
      <c r="L1462">
        <v>94703</v>
      </c>
      <c r="M1462">
        <v>0</v>
      </c>
      <c r="N1462">
        <v>0</v>
      </c>
      <c r="O1462">
        <v>0</v>
      </c>
      <c r="Q1462">
        <v>1</v>
      </c>
      <c r="R1462">
        <v>0</v>
      </c>
      <c r="S1462">
        <v>0</v>
      </c>
      <c r="T1462">
        <v>5</v>
      </c>
      <c r="U1462">
        <v>1</v>
      </c>
      <c r="V1462">
        <v>0</v>
      </c>
      <c r="W1462">
        <v>1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</row>
    <row r="1463" spans="1:29" x14ac:dyDescent="0.35">
      <c r="A1463">
        <v>4810</v>
      </c>
      <c r="B1463">
        <v>4810</v>
      </c>
      <c r="C1463">
        <v>43</v>
      </c>
      <c r="D1463">
        <v>19</v>
      </c>
      <c r="E1463">
        <v>32</v>
      </c>
      <c r="F1463">
        <v>3</v>
      </c>
      <c r="G1463">
        <v>0.6</v>
      </c>
      <c r="H1463">
        <v>2</v>
      </c>
      <c r="I1463">
        <v>0</v>
      </c>
      <c r="J1463">
        <v>0</v>
      </c>
      <c r="K1463">
        <v>0</v>
      </c>
      <c r="L1463">
        <v>94501</v>
      </c>
      <c r="M1463">
        <v>0</v>
      </c>
      <c r="N1463">
        <v>0</v>
      </c>
      <c r="O1463">
        <v>0</v>
      </c>
      <c r="Q1463">
        <v>0</v>
      </c>
      <c r="R1463">
        <v>0</v>
      </c>
      <c r="S1463">
        <v>0</v>
      </c>
      <c r="T1463">
        <v>5</v>
      </c>
      <c r="U1463">
        <v>1</v>
      </c>
      <c r="V1463">
        <v>0</v>
      </c>
      <c r="W1463">
        <v>1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</row>
    <row r="1464" spans="1:29" x14ac:dyDescent="0.35">
      <c r="A1464">
        <v>4823</v>
      </c>
      <c r="B1464">
        <v>4823</v>
      </c>
      <c r="C1464">
        <v>60</v>
      </c>
      <c r="D1464">
        <v>36</v>
      </c>
      <c r="E1464">
        <v>149</v>
      </c>
      <c r="F1464">
        <v>1</v>
      </c>
      <c r="G1464">
        <v>4.7</v>
      </c>
      <c r="H1464">
        <v>1</v>
      </c>
      <c r="I1464">
        <v>0</v>
      </c>
      <c r="J1464">
        <v>1</v>
      </c>
      <c r="K1464">
        <v>0</v>
      </c>
      <c r="L1464">
        <v>92007</v>
      </c>
      <c r="M1464">
        <v>0</v>
      </c>
      <c r="N1464">
        <v>0</v>
      </c>
      <c r="O1464">
        <v>0</v>
      </c>
      <c r="Q1464">
        <v>1</v>
      </c>
      <c r="R1464">
        <v>0</v>
      </c>
      <c r="S1464">
        <v>0</v>
      </c>
      <c r="T1464">
        <v>22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</row>
    <row r="1465" spans="1:29" x14ac:dyDescent="0.35">
      <c r="A1465">
        <v>4834</v>
      </c>
      <c r="B1465">
        <v>4834</v>
      </c>
      <c r="C1465">
        <v>49</v>
      </c>
      <c r="D1465">
        <v>24</v>
      </c>
      <c r="E1465">
        <v>109</v>
      </c>
      <c r="F1465">
        <v>1</v>
      </c>
      <c r="G1465">
        <v>0.6</v>
      </c>
      <c r="H1465">
        <v>1</v>
      </c>
      <c r="I1465">
        <v>0</v>
      </c>
      <c r="J1465">
        <v>0</v>
      </c>
      <c r="K1465">
        <v>0</v>
      </c>
      <c r="L1465">
        <v>92647</v>
      </c>
      <c r="M1465">
        <v>0</v>
      </c>
      <c r="N1465">
        <v>0</v>
      </c>
      <c r="O1465">
        <v>0</v>
      </c>
      <c r="Q1465">
        <v>1</v>
      </c>
      <c r="R1465">
        <v>0</v>
      </c>
      <c r="S1465">
        <v>0</v>
      </c>
      <c r="T1465">
        <v>22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0</v>
      </c>
    </row>
    <row r="1466" spans="1:29" x14ac:dyDescent="0.35">
      <c r="A1466">
        <v>4836</v>
      </c>
      <c r="B1466">
        <v>4836</v>
      </c>
      <c r="C1466">
        <v>65</v>
      </c>
      <c r="D1466">
        <v>39</v>
      </c>
      <c r="E1466">
        <v>25</v>
      </c>
      <c r="F1466">
        <v>2</v>
      </c>
      <c r="G1466">
        <v>0.4</v>
      </c>
      <c r="H1466">
        <v>1</v>
      </c>
      <c r="I1466">
        <v>113</v>
      </c>
      <c r="J1466">
        <v>1</v>
      </c>
      <c r="K1466">
        <v>0</v>
      </c>
      <c r="L1466">
        <v>95370</v>
      </c>
      <c r="M1466">
        <v>0</v>
      </c>
      <c r="N1466">
        <v>0</v>
      </c>
      <c r="O1466">
        <v>0</v>
      </c>
      <c r="Q1466">
        <v>1</v>
      </c>
      <c r="R1466">
        <v>0</v>
      </c>
      <c r="S1466">
        <v>0</v>
      </c>
      <c r="T1466">
        <v>5</v>
      </c>
      <c r="U1466">
        <v>1</v>
      </c>
      <c r="V1466">
        <v>0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</row>
    <row r="1467" spans="1:29" x14ac:dyDescent="0.35">
      <c r="A1467">
        <v>4839</v>
      </c>
      <c r="B1467">
        <v>4839</v>
      </c>
      <c r="C1467">
        <v>56</v>
      </c>
      <c r="D1467">
        <v>30</v>
      </c>
      <c r="E1467">
        <v>44</v>
      </c>
      <c r="F1467">
        <v>4</v>
      </c>
      <c r="G1467">
        <v>2.5</v>
      </c>
      <c r="H1467">
        <v>1</v>
      </c>
      <c r="I1467">
        <v>0</v>
      </c>
      <c r="J1467">
        <v>0</v>
      </c>
      <c r="K1467">
        <v>1</v>
      </c>
      <c r="L1467">
        <v>91330</v>
      </c>
      <c r="M1467">
        <v>0</v>
      </c>
      <c r="N1467">
        <v>0</v>
      </c>
      <c r="O1467">
        <v>0</v>
      </c>
      <c r="Q1467">
        <v>1</v>
      </c>
      <c r="R1467">
        <v>0</v>
      </c>
      <c r="S1467">
        <v>0</v>
      </c>
      <c r="T1467">
        <v>5</v>
      </c>
      <c r="U1467">
        <v>1</v>
      </c>
      <c r="V1467">
        <v>0</v>
      </c>
      <c r="W1467">
        <v>1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</row>
    <row r="1468" spans="1:29" x14ac:dyDescent="0.35">
      <c r="A1468">
        <v>4843</v>
      </c>
      <c r="B1468">
        <v>4843</v>
      </c>
      <c r="C1468">
        <v>49</v>
      </c>
      <c r="D1468">
        <v>23</v>
      </c>
      <c r="E1468">
        <v>174</v>
      </c>
      <c r="F1468">
        <v>3</v>
      </c>
      <c r="G1468">
        <v>4.5999999999999996</v>
      </c>
      <c r="H1468">
        <v>2</v>
      </c>
      <c r="I1468">
        <v>590</v>
      </c>
      <c r="J1468">
        <v>0</v>
      </c>
      <c r="K1468">
        <v>0</v>
      </c>
      <c r="L1468">
        <v>95449</v>
      </c>
      <c r="M1468">
        <v>1</v>
      </c>
      <c r="N1468">
        <v>0</v>
      </c>
      <c r="O1468">
        <v>0</v>
      </c>
      <c r="Q1468">
        <v>0</v>
      </c>
      <c r="R1468">
        <v>1</v>
      </c>
      <c r="S1468">
        <v>1</v>
      </c>
      <c r="T1468">
        <v>10</v>
      </c>
      <c r="U1468">
        <v>0</v>
      </c>
      <c r="V1468">
        <v>1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1</v>
      </c>
    </row>
    <row r="1469" spans="1:29" x14ac:dyDescent="0.35">
      <c r="A1469">
        <v>4847</v>
      </c>
      <c r="B1469">
        <v>4847</v>
      </c>
      <c r="C1469">
        <v>35</v>
      </c>
      <c r="D1469">
        <v>10</v>
      </c>
      <c r="E1469">
        <v>135</v>
      </c>
      <c r="F1469">
        <v>3</v>
      </c>
      <c r="G1469">
        <v>4.8</v>
      </c>
      <c r="H1469">
        <v>2</v>
      </c>
      <c r="I1469">
        <v>0</v>
      </c>
      <c r="J1469">
        <v>1</v>
      </c>
      <c r="K1469">
        <v>0</v>
      </c>
      <c r="L1469">
        <v>94596</v>
      </c>
      <c r="M1469">
        <v>1</v>
      </c>
      <c r="N1469">
        <v>0</v>
      </c>
      <c r="O1469">
        <v>0</v>
      </c>
      <c r="Q1469">
        <v>0</v>
      </c>
      <c r="R1469">
        <v>1</v>
      </c>
      <c r="S1469">
        <v>1</v>
      </c>
      <c r="T1469">
        <v>10</v>
      </c>
      <c r="U1469">
        <v>0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1</v>
      </c>
    </row>
    <row r="1470" spans="1:29" x14ac:dyDescent="0.35">
      <c r="A1470">
        <v>4848</v>
      </c>
      <c r="B1470">
        <v>4848</v>
      </c>
      <c r="C1470">
        <v>37</v>
      </c>
      <c r="D1470">
        <v>11</v>
      </c>
      <c r="E1470">
        <v>65</v>
      </c>
      <c r="F1470">
        <v>2</v>
      </c>
      <c r="G1470">
        <v>2.4</v>
      </c>
      <c r="H1470">
        <v>2</v>
      </c>
      <c r="I1470">
        <v>260</v>
      </c>
      <c r="J1470">
        <v>1</v>
      </c>
      <c r="K1470">
        <v>0</v>
      </c>
      <c r="L1470">
        <v>94143</v>
      </c>
      <c r="M1470">
        <v>0</v>
      </c>
      <c r="N1470">
        <v>0</v>
      </c>
      <c r="O1470">
        <v>0</v>
      </c>
      <c r="Q1470">
        <v>0</v>
      </c>
      <c r="R1470">
        <v>0</v>
      </c>
      <c r="S1470">
        <v>0</v>
      </c>
      <c r="T1470">
        <v>5</v>
      </c>
      <c r="U1470">
        <v>1</v>
      </c>
      <c r="V1470">
        <v>0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0</v>
      </c>
    </row>
    <row r="1471" spans="1:29" x14ac:dyDescent="0.35">
      <c r="A1471">
        <v>4849</v>
      </c>
      <c r="B1471">
        <v>4849</v>
      </c>
      <c r="C1471">
        <v>58</v>
      </c>
      <c r="D1471">
        <v>32</v>
      </c>
      <c r="E1471">
        <v>145</v>
      </c>
      <c r="F1471">
        <v>2</v>
      </c>
      <c r="G1471">
        <v>0.5</v>
      </c>
      <c r="H1471">
        <v>1</v>
      </c>
      <c r="I1471">
        <v>119</v>
      </c>
      <c r="J1471">
        <v>1</v>
      </c>
      <c r="K1471">
        <v>0</v>
      </c>
      <c r="L1471">
        <v>94920</v>
      </c>
      <c r="M1471">
        <v>0</v>
      </c>
      <c r="N1471">
        <v>0</v>
      </c>
      <c r="O1471">
        <v>0</v>
      </c>
      <c r="Q1471">
        <v>1</v>
      </c>
      <c r="R1471">
        <v>0</v>
      </c>
      <c r="S1471">
        <v>0</v>
      </c>
      <c r="T1471">
        <v>22</v>
      </c>
      <c r="U1471">
        <v>1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</row>
    <row r="1472" spans="1:29" x14ac:dyDescent="0.35">
      <c r="A1472">
        <v>4867</v>
      </c>
      <c r="B1472">
        <v>4867</v>
      </c>
      <c r="C1472">
        <v>41</v>
      </c>
      <c r="D1472">
        <v>17</v>
      </c>
      <c r="E1472">
        <v>71</v>
      </c>
      <c r="F1472">
        <v>2</v>
      </c>
      <c r="G1472">
        <v>3.2</v>
      </c>
      <c r="H1472">
        <v>1</v>
      </c>
      <c r="I1472">
        <v>0</v>
      </c>
      <c r="J1472">
        <v>1</v>
      </c>
      <c r="K1472">
        <v>1</v>
      </c>
      <c r="L1472">
        <v>94801</v>
      </c>
      <c r="M1472">
        <v>0</v>
      </c>
      <c r="N1472">
        <v>0</v>
      </c>
      <c r="O1472">
        <v>0</v>
      </c>
      <c r="Q1472">
        <v>1</v>
      </c>
      <c r="R1472">
        <v>0</v>
      </c>
      <c r="S1472">
        <v>0</v>
      </c>
      <c r="T1472">
        <v>15</v>
      </c>
      <c r="U1472">
        <v>0.91935483870967005</v>
      </c>
      <c r="V1472">
        <v>8.0645161290319997E-2</v>
      </c>
      <c r="W1472">
        <v>0.91935483870967005</v>
      </c>
      <c r="X1472">
        <v>8.0645161290319997E-2</v>
      </c>
      <c r="Y1472">
        <v>0.86</v>
      </c>
      <c r="Z1472">
        <v>0.14000000000000001</v>
      </c>
      <c r="AA1472">
        <v>8.0645161290329906E-2</v>
      </c>
      <c r="AB1472">
        <v>-8.0645161290319997E-2</v>
      </c>
      <c r="AC1472">
        <v>0</v>
      </c>
    </row>
    <row r="1473" spans="1:29" x14ac:dyDescent="0.35">
      <c r="A1473">
        <v>4880</v>
      </c>
      <c r="B1473">
        <v>4880</v>
      </c>
      <c r="C1473">
        <v>40</v>
      </c>
      <c r="D1473">
        <v>15</v>
      </c>
      <c r="E1473">
        <v>43</v>
      </c>
      <c r="F1473">
        <v>4</v>
      </c>
      <c r="G1473">
        <v>1.7</v>
      </c>
      <c r="H1473">
        <v>1</v>
      </c>
      <c r="I1473">
        <v>98</v>
      </c>
      <c r="J1473">
        <v>0</v>
      </c>
      <c r="K1473">
        <v>0</v>
      </c>
      <c r="L1473">
        <v>90095</v>
      </c>
      <c r="M1473">
        <v>0</v>
      </c>
      <c r="N1473">
        <v>0</v>
      </c>
      <c r="O1473">
        <v>0</v>
      </c>
      <c r="Q1473">
        <v>1</v>
      </c>
      <c r="R1473">
        <v>0</v>
      </c>
      <c r="S1473">
        <v>0</v>
      </c>
      <c r="T1473">
        <v>5</v>
      </c>
      <c r="U1473">
        <v>1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</row>
    <row r="1474" spans="1:29" x14ac:dyDescent="0.35">
      <c r="A1474">
        <v>4883</v>
      </c>
      <c r="B1474">
        <v>4883</v>
      </c>
      <c r="C1474">
        <v>43</v>
      </c>
      <c r="D1474">
        <v>19</v>
      </c>
      <c r="E1474">
        <v>73</v>
      </c>
      <c r="F1474">
        <v>3</v>
      </c>
      <c r="G1474">
        <v>2.33</v>
      </c>
      <c r="H1474">
        <v>1</v>
      </c>
      <c r="I1474">
        <v>0</v>
      </c>
      <c r="J1474">
        <v>1</v>
      </c>
      <c r="K1474">
        <v>1</v>
      </c>
      <c r="L1474">
        <v>94301</v>
      </c>
      <c r="M1474">
        <v>0</v>
      </c>
      <c r="N1474">
        <v>1</v>
      </c>
      <c r="O1474">
        <v>1</v>
      </c>
      <c r="Q1474">
        <v>1</v>
      </c>
      <c r="R1474">
        <v>0</v>
      </c>
      <c r="S1474">
        <v>0</v>
      </c>
      <c r="T1474">
        <v>5</v>
      </c>
      <c r="U1474">
        <v>1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</row>
    <row r="1475" spans="1:29" x14ac:dyDescent="0.35">
      <c r="A1475">
        <v>4887</v>
      </c>
      <c r="B1475">
        <v>4887</v>
      </c>
      <c r="C1475">
        <v>51</v>
      </c>
      <c r="D1475">
        <v>26</v>
      </c>
      <c r="E1475">
        <v>64</v>
      </c>
      <c r="F1475">
        <v>4</v>
      </c>
      <c r="G1475">
        <v>1.8</v>
      </c>
      <c r="H1475">
        <v>3</v>
      </c>
      <c r="I1475">
        <v>0</v>
      </c>
      <c r="J1475">
        <v>0</v>
      </c>
      <c r="K1475">
        <v>0</v>
      </c>
      <c r="L1475">
        <v>94005</v>
      </c>
      <c r="M1475">
        <v>0</v>
      </c>
      <c r="N1475">
        <v>0</v>
      </c>
      <c r="O1475">
        <v>0</v>
      </c>
      <c r="Q1475">
        <v>0</v>
      </c>
      <c r="R1475">
        <v>0</v>
      </c>
      <c r="S1475">
        <v>0</v>
      </c>
      <c r="T1475">
        <v>5</v>
      </c>
      <c r="U1475">
        <v>1</v>
      </c>
      <c r="V1475">
        <v>0</v>
      </c>
      <c r="W1475">
        <v>1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</row>
    <row r="1476" spans="1:29" x14ac:dyDescent="0.35">
      <c r="A1476">
        <v>4891</v>
      </c>
      <c r="B1476">
        <v>4891</v>
      </c>
      <c r="C1476">
        <v>61</v>
      </c>
      <c r="D1476">
        <v>35</v>
      </c>
      <c r="E1476">
        <v>51</v>
      </c>
      <c r="F1476">
        <v>3</v>
      </c>
      <c r="G1476">
        <v>1.4</v>
      </c>
      <c r="H1476">
        <v>3</v>
      </c>
      <c r="I1476">
        <v>0</v>
      </c>
      <c r="J1476">
        <v>1</v>
      </c>
      <c r="K1476">
        <v>0</v>
      </c>
      <c r="L1476">
        <v>93555</v>
      </c>
      <c r="M1476">
        <v>0</v>
      </c>
      <c r="N1476">
        <v>0</v>
      </c>
      <c r="O1476">
        <v>0</v>
      </c>
      <c r="Q1476">
        <v>0</v>
      </c>
      <c r="R1476">
        <v>0</v>
      </c>
      <c r="S1476">
        <v>0</v>
      </c>
      <c r="T1476">
        <v>5</v>
      </c>
      <c r="U1476">
        <v>1</v>
      </c>
      <c r="V1476">
        <v>0</v>
      </c>
      <c r="W1476">
        <v>1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</row>
    <row r="1477" spans="1:29" x14ac:dyDescent="0.35">
      <c r="A1477">
        <v>4893</v>
      </c>
      <c r="B1477">
        <v>4893</v>
      </c>
      <c r="C1477">
        <v>43</v>
      </c>
      <c r="D1477">
        <v>19</v>
      </c>
      <c r="E1477">
        <v>35</v>
      </c>
      <c r="F1477">
        <v>1</v>
      </c>
      <c r="G1477">
        <v>0.3</v>
      </c>
      <c r="H1477">
        <v>3</v>
      </c>
      <c r="I1477">
        <v>120</v>
      </c>
      <c r="J1477">
        <v>1</v>
      </c>
      <c r="K1477">
        <v>0</v>
      </c>
      <c r="L1477">
        <v>94112</v>
      </c>
      <c r="M1477">
        <v>0</v>
      </c>
      <c r="N1477">
        <v>1</v>
      </c>
      <c r="O1477">
        <v>0</v>
      </c>
      <c r="Q1477">
        <v>0</v>
      </c>
      <c r="R1477">
        <v>0</v>
      </c>
      <c r="S1477">
        <v>0</v>
      </c>
      <c r="T1477">
        <v>5</v>
      </c>
      <c r="U1477">
        <v>1</v>
      </c>
      <c r="V1477">
        <v>0</v>
      </c>
      <c r="W1477">
        <v>1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</row>
    <row r="1478" spans="1:29" x14ac:dyDescent="0.35">
      <c r="A1478">
        <v>4896</v>
      </c>
      <c r="B1478">
        <v>4896</v>
      </c>
      <c r="C1478">
        <v>45</v>
      </c>
      <c r="D1478">
        <v>20</v>
      </c>
      <c r="E1478">
        <v>201</v>
      </c>
      <c r="F1478">
        <v>2</v>
      </c>
      <c r="G1478">
        <v>2.8</v>
      </c>
      <c r="H1478">
        <v>1</v>
      </c>
      <c r="I1478">
        <v>0</v>
      </c>
      <c r="J1478">
        <v>1</v>
      </c>
      <c r="K1478">
        <v>1</v>
      </c>
      <c r="L1478">
        <v>92120</v>
      </c>
      <c r="M1478">
        <v>0</v>
      </c>
      <c r="N1478">
        <v>0</v>
      </c>
      <c r="O1478">
        <v>0</v>
      </c>
      <c r="Q1478">
        <v>1</v>
      </c>
      <c r="R1478">
        <v>0</v>
      </c>
      <c r="S1478">
        <v>0</v>
      </c>
      <c r="T1478">
        <v>22</v>
      </c>
      <c r="U1478">
        <v>1</v>
      </c>
      <c r="V1478">
        <v>0</v>
      </c>
      <c r="W1478">
        <v>1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</row>
    <row r="1479" spans="1:29" x14ac:dyDescent="0.35">
      <c r="A1479">
        <v>4897</v>
      </c>
      <c r="B1479">
        <v>4897</v>
      </c>
      <c r="C1479">
        <v>40</v>
      </c>
      <c r="D1479">
        <v>15</v>
      </c>
      <c r="E1479">
        <v>81</v>
      </c>
      <c r="F1479">
        <v>2</v>
      </c>
      <c r="G1479">
        <v>0.4</v>
      </c>
      <c r="H1479">
        <v>1</v>
      </c>
      <c r="I1479">
        <v>0</v>
      </c>
      <c r="J1479">
        <v>1</v>
      </c>
      <c r="K1479">
        <v>0</v>
      </c>
      <c r="L1479">
        <v>94304</v>
      </c>
      <c r="M1479">
        <v>0</v>
      </c>
      <c r="N1479">
        <v>0</v>
      </c>
      <c r="O1479">
        <v>0</v>
      </c>
      <c r="Q1479">
        <v>1</v>
      </c>
      <c r="R1479">
        <v>0</v>
      </c>
      <c r="S1479">
        <v>0</v>
      </c>
      <c r="T1479">
        <v>5</v>
      </c>
      <c r="U1479">
        <v>1</v>
      </c>
      <c r="V1479">
        <v>0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</row>
    <row r="1480" spans="1:29" x14ac:dyDescent="0.35">
      <c r="A1480">
        <v>4904</v>
      </c>
      <c r="B1480">
        <v>4904</v>
      </c>
      <c r="C1480">
        <v>40</v>
      </c>
      <c r="D1480">
        <v>15</v>
      </c>
      <c r="E1480">
        <v>18</v>
      </c>
      <c r="F1480">
        <v>2</v>
      </c>
      <c r="G1480">
        <v>0.1</v>
      </c>
      <c r="H1480">
        <v>2</v>
      </c>
      <c r="I1480">
        <v>119</v>
      </c>
      <c r="J1480">
        <v>1</v>
      </c>
      <c r="K1480">
        <v>1</v>
      </c>
      <c r="L1480">
        <v>94534</v>
      </c>
      <c r="M1480">
        <v>0</v>
      </c>
      <c r="N1480">
        <v>0</v>
      </c>
      <c r="O1480">
        <v>0</v>
      </c>
      <c r="Q1480">
        <v>0</v>
      </c>
      <c r="R1480">
        <v>0</v>
      </c>
      <c r="S1480">
        <v>0</v>
      </c>
      <c r="T1480">
        <v>5</v>
      </c>
      <c r="U1480">
        <v>1</v>
      </c>
      <c r="V1480">
        <v>0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</row>
    <row r="1481" spans="1:29" x14ac:dyDescent="0.35">
      <c r="A1481">
        <v>4907</v>
      </c>
      <c r="B1481">
        <v>4907</v>
      </c>
      <c r="C1481">
        <v>54</v>
      </c>
      <c r="D1481">
        <v>28</v>
      </c>
      <c r="E1481">
        <v>49</v>
      </c>
      <c r="F1481">
        <v>1</v>
      </c>
      <c r="G1481">
        <v>2.2000000000000002</v>
      </c>
      <c r="H1481">
        <v>3</v>
      </c>
      <c r="I1481">
        <v>128</v>
      </c>
      <c r="J1481">
        <v>0</v>
      </c>
      <c r="K1481">
        <v>0</v>
      </c>
      <c r="L1481">
        <v>94608</v>
      </c>
      <c r="M1481">
        <v>0</v>
      </c>
      <c r="N1481">
        <v>0</v>
      </c>
      <c r="O1481">
        <v>0</v>
      </c>
      <c r="Q1481">
        <v>0</v>
      </c>
      <c r="R1481">
        <v>0</v>
      </c>
      <c r="S1481">
        <v>0</v>
      </c>
      <c r="T1481">
        <v>5</v>
      </c>
      <c r="U1481">
        <v>1</v>
      </c>
      <c r="V1481">
        <v>0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0</v>
      </c>
    </row>
    <row r="1482" spans="1:29" x14ac:dyDescent="0.35">
      <c r="A1482">
        <v>4911</v>
      </c>
      <c r="B1482">
        <v>4911</v>
      </c>
      <c r="C1482">
        <v>48</v>
      </c>
      <c r="D1482">
        <v>22</v>
      </c>
      <c r="E1482">
        <v>120</v>
      </c>
      <c r="F1482">
        <v>1</v>
      </c>
      <c r="G1482">
        <v>0</v>
      </c>
      <c r="H1482">
        <v>1</v>
      </c>
      <c r="I1482">
        <v>0</v>
      </c>
      <c r="J1482">
        <v>1</v>
      </c>
      <c r="K1482">
        <v>0</v>
      </c>
      <c r="L1482">
        <v>90291</v>
      </c>
      <c r="M1482">
        <v>0</v>
      </c>
      <c r="N1482">
        <v>0</v>
      </c>
      <c r="O1482">
        <v>0</v>
      </c>
      <c r="Q1482">
        <v>1</v>
      </c>
      <c r="R1482">
        <v>0</v>
      </c>
      <c r="S1482">
        <v>0</v>
      </c>
      <c r="T1482">
        <v>22</v>
      </c>
      <c r="U1482">
        <v>1</v>
      </c>
      <c r="V1482">
        <v>0</v>
      </c>
      <c r="W1482">
        <v>1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</row>
    <row r="1483" spans="1:29" x14ac:dyDescent="0.35">
      <c r="A1483">
        <v>4914</v>
      </c>
      <c r="B1483">
        <v>4914</v>
      </c>
      <c r="C1483">
        <v>30</v>
      </c>
      <c r="D1483">
        <v>4</v>
      </c>
      <c r="E1483">
        <v>110</v>
      </c>
      <c r="F1483">
        <v>1</v>
      </c>
      <c r="G1483">
        <v>2.9</v>
      </c>
      <c r="H1483">
        <v>3</v>
      </c>
      <c r="I1483">
        <v>0</v>
      </c>
      <c r="J1483">
        <v>1</v>
      </c>
      <c r="K1483">
        <v>0</v>
      </c>
      <c r="L1483">
        <v>93943</v>
      </c>
      <c r="M1483">
        <v>0</v>
      </c>
      <c r="N1483">
        <v>0</v>
      </c>
      <c r="O1483">
        <v>0</v>
      </c>
      <c r="Q1483">
        <v>0</v>
      </c>
      <c r="R1483">
        <v>0</v>
      </c>
      <c r="S1483">
        <v>1</v>
      </c>
      <c r="T1483">
        <v>14</v>
      </c>
      <c r="U1483">
        <v>0.24242424242423999</v>
      </c>
      <c r="V1483">
        <v>0.75757575757575002</v>
      </c>
      <c r="W1483">
        <v>0.24242424242423999</v>
      </c>
      <c r="X1483">
        <v>0.75757575757575002</v>
      </c>
      <c r="Y1483">
        <v>0.44444444444443998</v>
      </c>
      <c r="Z1483">
        <v>0.55555555555555003</v>
      </c>
      <c r="AA1483">
        <v>0.75757575757576001</v>
      </c>
      <c r="AB1483">
        <v>-0.75757575757575002</v>
      </c>
      <c r="AC1483">
        <v>1</v>
      </c>
    </row>
    <row r="1484" spans="1:29" x14ac:dyDescent="0.35">
      <c r="A1484">
        <v>4915</v>
      </c>
      <c r="B1484">
        <v>4915</v>
      </c>
      <c r="C1484">
        <v>65</v>
      </c>
      <c r="D1484">
        <v>39</v>
      </c>
      <c r="E1484">
        <v>94</v>
      </c>
      <c r="F1484">
        <v>1</v>
      </c>
      <c r="G1484">
        <v>2</v>
      </c>
      <c r="H1484">
        <v>1</v>
      </c>
      <c r="I1484">
        <v>0</v>
      </c>
      <c r="J1484">
        <v>0</v>
      </c>
      <c r="K1484">
        <v>1</v>
      </c>
      <c r="L1484">
        <v>92374</v>
      </c>
      <c r="M1484">
        <v>0</v>
      </c>
      <c r="N1484">
        <v>0</v>
      </c>
      <c r="O1484">
        <v>0</v>
      </c>
      <c r="Q1484">
        <v>1</v>
      </c>
      <c r="R1484">
        <v>0</v>
      </c>
      <c r="S1484">
        <v>0</v>
      </c>
      <c r="T1484">
        <v>5</v>
      </c>
      <c r="U1484">
        <v>1</v>
      </c>
      <c r="V1484">
        <v>0</v>
      </c>
      <c r="W1484">
        <v>1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</row>
    <row r="1485" spans="1:29" x14ac:dyDescent="0.35">
      <c r="A1485">
        <v>4923</v>
      </c>
      <c r="B1485">
        <v>4923</v>
      </c>
      <c r="C1485">
        <v>31</v>
      </c>
      <c r="D1485">
        <v>5</v>
      </c>
      <c r="E1485">
        <v>28</v>
      </c>
      <c r="F1485">
        <v>1</v>
      </c>
      <c r="G1485">
        <v>0.3</v>
      </c>
      <c r="H1485">
        <v>1</v>
      </c>
      <c r="I1485">
        <v>0</v>
      </c>
      <c r="J1485">
        <v>1</v>
      </c>
      <c r="K1485">
        <v>1</v>
      </c>
      <c r="L1485">
        <v>90717</v>
      </c>
      <c r="M1485">
        <v>0</v>
      </c>
      <c r="N1485">
        <v>0</v>
      </c>
      <c r="O1485">
        <v>0</v>
      </c>
      <c r="Q1485">
        <v>1</v>
      </c>
      <c r="R1485">
        <v>0</v>
      </c>
      <c r="S1485">
        <v>0</v>
      </c>
      <c r="T1485">
        <v>5</v>
      </c>
      <c r="U1485">
        <v>1</v>
      </c>
      <c r="V1485">
        <v>0</v>
      </c>
      <c r="W1485">
        <v>1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</row>
    <row r="1486" spans="1:29" x14ac:dyDescent="0.35">
      <c r="A1486">
        <v>4925</v>
      </c>
      <c r="B1486">
        <v>4925</v>
      </c>
      <c r="C1486">
        <v>36</v>
      </c>
      <c r="D1486">
        <v>12</v>
      </c>
      <c r="E1486">
        <v>89</v>
      </c>
      <c r="F1486">
        <v>2</v>
      </c>
      <c r="G1486">
        <v>2.7</v>
      </c>
      <c r="H1486">
        <v>1</v>
      </c>
      <c r="I1486">
        <v>0</v>
      </c>
      <c r="J1486">
        <v>0</v>
      </c>
      <c r="K1486">
        <v>0</v>
      </c>
      <c r="L1486">
        <v>91304</v>
      </c>
      <c r="M1486">
        <v>0</v>
      </c>
      <c r="N1486">
        <v>0</v>
      </c>
      <c r="O1486">
        <v>0</v>
      </c>
      <c r="Q1486">
        <v>1</v>
      </c>
      <c r="R1486">
        <v>0</v>
      </c>
      <c r="S1486">
        <v>0</v>
      </c>
      <c r="T1486">
        <v>5</v>
      </c>
      <c r="U1486">
        <v>1</v>
      </c>
      <c r="V1486">
        <v>0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</row>
    <row r="1487" spans="1:29" x14ac:dyDescent="0.35">
      <c r="A1487">
        <v>4929</v>
      </c>
      <c r="B1487">
        <v>4929</v>
      </c>
      <c r="C1487">
        <v>57</v>
      </c>
      <c r="D1487">
        <v>33</v>
      </c>
      <c r="E1487">
        <v>28</v>
      </c>
      <c r="F1487">
        <v>1</v>
      </c>
      <c r="G1487">
        <v>1.2</v>
      </c>
      <c r="H1487">
        <v>3</v>
      </c>
      <c r="I1487">
        <v>98</v>
      </c>
      <c r="J1487">
        <v>1</v>
      </c>
      <c r="K1487">
        <v>0</v>
      </c>
      <c r="L1487">
        <v>90245</v>
      </c>
      <c r="M1487">
        <v>0</v>
      </c>
      <c r="N1487">
        <v>0</v>
      </c>
      <c r="O1487">
        <v>0</v>
      </c>
      <c r="Q1487">
        <v>0</v>
      </c>
      <c r="R1487">
        <v>0</v>
      </c>
      <c r="S1487">
        <v>0</v>
      </c>
      <c r="T1487">
        <v>5</v>
      </c>
      <c r="U1487">
        <v>1</v>
      </c>
      <c r="V1487">
        <v>0</v>
      </c>
      <c r="W1487">
        <v>1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</row>
    <row r="1488" spans="1:29" x14ac:dyDescent="0.35">
      <c r="A1488">
        <v>4934</v>
      </c>
      <c r="B1488">
        <v>4934</v>
      </c>
      <c r="C1488">
        <v>47</v>
      </c>
      <c r="D1488">
        <v>23</v>
      </c>
      <c r="E1488">
        <v>94</v>
      </c>
      <c r="F1488">
        <v>1</v>
      </c>
      <c r="G1488">
        <v>4.7</v>
      </c>
      <c r="H1488">
        <v>1</v>
      </c>
      <c r="I1488">
        <v>0</v>
      </c>
      <c r="J1488">
        <v>1</v>
      </c>
      <c r="K1488">
        <v>1</v>
      </c>
      <c r="L1488">
        <v>92029</v>
      </c>
      <c r="M1488">
        <v>0</v>
      </c>
      <c r="N1488">
        <v>0</v>
      </c>
      <c r="O1488">
        <v>0</v>
      </c>
      <c r="Q1488">
        <v>1</v>
      </c>
      <c r="R1488">
        <v>0</v>
      </c>
      <c r="S1488">
        <v>0</v>
      </c>
      <c r="T1488">
        <v>16</v>
      </c>
      <c r="U1488">
        <v>0.58333333333333004</v>
      </c>
      <c r="V1488">
        <v>0.41666666666666002</v>
      </c>
      <c r="W1488">
        <v>0.58333333333333004</v>
      </c>
      <c r="X1488">
        <v>0.41666666666666002</v>
      </c>
      <c r="Y1488">
        <v>0.77777777777777002</v>
      </c>
      <c r="Z1488">
        <v>0.22222222222221999</v>
      </c>
      <c r="AA1488">
        <v>0.41666666666666902</v>
      </c>
      <c r="AB1488">
        <v>-0.41666666666666002</v>
      </c>
      <c r="AC1488">
        <v>0</v>
      </c>
    </row>
    <row r="1489" spans="1:29" x14ac:dyDescent="0.35">
      <c r="A1489">
        <v>4935</v>
      </c>
      <c r="B1489">
        <v>4935</v>
      </c>
      <c r="C1489">
        <v>26</v>
      </c>
      <c r="D1489">
        <v>0</v>
      </c>
      <c r="E1489">
        <v>85</v>
      </c>
      <c r="F1489">
        <v>2</v>
      </c>
      <c r="G1489">
        <v>1.6</v>
      </c>
      <c r="H1489">
        <v>3</v>
      </c>
      <c r="I1489">
        <v>0</v>
      </c>
      <c r="J1489">
        <v>1</v>
      </c>
      <c r="K1489">
        <v>1</v>
      </c>
      <c r="L1489">
        <v>93950</v>
      </c>
      <c r="M1489">
        <v>0</v>
      </c>
      <c r="N1489">
        <v>0</v>
      </c>
      <c r="O1489">
        <v>0</v>
      </c>
      <c r="Q1489">
        <v>0</v>
      </c>
      <c r="R1489">
        <v>0</v>
      </c>
      <c r="S1489">
        <v>0</v>
      </c>
      <c r="T1489">
        <v>5</v>
      </c>
      <c r="U1489">
        <v>1</v>
      </c>
      <c r="V1489">
        <v>0</v>
      </c>
      <c r="W1489">
        <v>1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</row>
    <row r="1490" spans="1:29" x14ac:dyDescent="0.35">
      <c r="A1490">
        <v>4936</v>
      </c>
      <c r="B1490">
        <v>4936</v>
      </c>
      <c r="C1490">
        <v>59</v>
      </c>
      <c r="D1490">
        <v>33</v>
      </c>
      <c r="E1490">
        <v>81</v>
      </c>
      <c r="F1490">
        <v>2</v>
      </c>
      <c r="G1490">
        <v>1.4</v>
      </c>
      <c r="H1490">
        <v>1</v>
      </c>
      <c r="I1490">
        <v>0</v>
      </c>
      <c r="J1490">
        <v>1</v>
      </c>
      <c r="K1490">
        <v>0</v>
      </c>
      <c r="L1490">
        <v>94022</v>
      </c>
      <c r="M1490">
        <v>0</v>
      </c>
      <c r="N1490">
        <v>0</v>
      </c>
      <c r="O1490">
        <v>0</v>
      </c>
      <c r="Q1490">
        <v>1</v>
      </c>
      <c r="R1490">
        <v>0</v>
      </c>
      <c r="S1490">
        <v>0</v>
      </c>
      <c r="T1490">
        <v>5</v>
      </c>
      <c r="U1490">
        <v>1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</row>
    <row r="1491" spans="1:29" x14ac:dyDescent="0.35">
      <c r="A1491">
        <v>4940</v>
      </c>
      <c r="B1491">
        <v>4940</v>
      </c>
      <c r="C1491">
        <v>54</v>
      </c>
      <c r="D1491">
        <v>29</v>
      </c>
      <c r="E1491">
        <v>70</v>
      </c>
      <c r="F1491">
        <v>3</v>
      </c>
      <c r="G1491">
        <v>2</v>
      </c>
      <c r="H1491">
        <v>2</v>
      </c>
      <c r="I1491">
        <v>116</v>
      </c>
      <c r="J1491">
        <v>1</v>
      </c>
      <c r="K1491">
        <v>1</v>
      </c>
      <c r="L1491">
        <v>92093</v>
      </c>
      <c r="M1491">
        <v>0</v>
      </c>
      <c r="N1491">
        <v>0</v>
      </c>
      <c r="O1491">
        <v>0</v>
      </c>
      <c r="Q1491">
        <v>0</v>
      </c>
      <c r="R1491">
        <v>0</v>
      </c>
      <c r="S1491">
        <v>0</v>
      </c>
      <c r="T1491">
        <v>5</v>
      </c>
      <c r="U1491">
        <v>1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</row>
    <row r="1492" spans="1:29" x14ac:dyDescent="0.35">
      <c r="A1492">
        <v>4941</v>
      </c>
      <c r="B1492">
        <v>4941</v>
      </c>
      <c r="C1492">
        <v>46</v>
      </c>
      <c r="D1492">
        <v>22</v>
      </c>
      <c r="E1492">
        <v>19</v>
      </c>
      <c r="F1492">
        <v>3</v>
      </c>
      <c r="G1492">
        <v>0.5</v>
      </c>
      <c r="H1492">
        <v>1</v>
      </c>
      <c r="I1492">
        <v>0</v>
      </c>
      <c r="J1492">
        <v>1</v>
      </c>
      <c r="K1492">
        <v>0</v>
      </c>
      <c r="L1492">
        <v>92870</v>
      </c>
      <c r="M1492">
        <v>0</v>
      </c>
      <c r="N1492">
        <v>0</v>
      </c>
      <c r="O1492">
        <v>0</v>
      </c>
      <c r="Q1492">
        <v>1</v>
      </c>
      <c r="R1492">
        <v>0</v>
      </c>
      <c r="S1492">
        <v>0</v>
      </c>
      <c r="T1492">
        <v>5</v>
      </c>
      <c r="U1492">
        <v>1</v>
      </c>
      <c r="V1492">
        <v>0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</row>
    <row r="1493" spans="1:29" x14ac:dyDescent="0.35">
      <c r="A1493">
        <v>4958</v>
      </c>
      <c r="B1493">
        <v>4958</v>
      </c>
      <c r="C1493">
        <v>29</v>
      </c>
      <c r="D1493">
        <v>-1</v>
      </c>
      <c r="E1493">
        <v>50</v>
      </c>
      <c r="F1493">
        <v>2</v>
      </c>
      <c r="G1493">
        <v>1.75</v>
      </c>
      <c r="H1493">
        <v>3</v>
      </c>
      <c r="I1493">
        <v>0</v>
      </c>
      <c r="J1493">
        <v>0</v>
      </c>
      <c r="K1493">
        <v>1</v>
      </c>
      <c r="L1493">
        <v>95842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5</v>
      </c>
      <c r="U1493">
        <v>1</v>
      </c>
      <c r="V1493">
        <v>0</v>
      </c>
      <c r="W1493">
        <v>1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</row>
    <row r="1494" spans="1:29" x14ac:dyDescent="0.35">
      <c r="A1494">
        <v>4959</v>
      </c>
      <c r="B1494">
        <v>4959</v>
      </c>
      <c r="C1494">
        <v>50</v>
      </c>
      <c r="D1494">
        <v>26</v>
      </c>
      <c r="E1494">
        <v>19</v>
      </c>
      <c r="F1494">
        <v>1</v>
      </c>
      <c r="G1494">
        <v>0.9</v>
      </c>
      <c r="H1494">
        <v>3</v>
      </c>
      <c r="I1494">
        <v>0</v>
      </c>
      <c r="J1494">
        <v>0</v>
      </c>
      <c r="K1494">
        <v>0</v>
      </c>
      <c r="L1494">
        <v>90095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5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</row>
    <row r="1495" spans="1:29" x14ac:dyDescent="0.35">
      <c r="A1495">
        <v>4961</v>
      </c>
      <c r="B1495">
        <v>4961</v>
      </c>
      <c r="C1495">
        <v>58</v>
      </c>
      <c r="D1495">
        <v>28</v>
      </c>
      <c r="E1495">
        <v>81</v>
      </c>
      <c r="F1495">
        <v>1</v>
      </c>
      <c r="G1495">
        <v>3</v>
      </c>
      <c r="H1495">
        <v>3</v>
      </c>
      <c r="I1495">
        <v>0</v>
      </c>
      <c r="J1495">
        <v>1</v>
      </c>
      <c r="K1495">
        <v>0</v>
      </c>
      <c r="L1495">
        <v>91604</v>
      </c>
      <c r="M1495">
        <v>0</v>
      </c>
      <c r="N1495">
        <v>0</v>
      </c>
      <c r="O1495">
        <v>0</v>
      </c>
      <c r="Q1495">
        <v>0</v>
      </c>
      <c r="R1495">
        <v>0</v>
      </c>
      <c r="S1495">
        <v>0</v>
      </c>
      <c r="T1495">
        <v>15</v>
      </c>
      <c r="U1495">
        <v>0.91935483870967005</v>
      </c>
      <c r="V1495">
        <v>8.0645161290319997E-2</v>
      </c>
      <c r="W1495">
        <v>0.91935483870967005</v>
      </c>
      <c r="X1495">
        <v>8.0645161290319997E-2</v>
      </c>
      <c r="Y1495">
        <v>0.86</v>
      </c>
      <c r="Z1495">
        <v>0.14000000000000001</v>
      </c>
      <c r="AA1495">
        <v>8.0645161290329906E-2</v>
      </c>
      <c r="AB1495">
        <v>-8.0645161290319997E-2</v>
      </c>
      <c r="AC1495">
        <v>0</v>
      </c>
    </row>
    <row r="1496" spans="1:29" x14ac:dyDescent="0.35">
      <c r="A1496">
        <v>4962</v>
      </c>
      <c r="B1496">
        <v>4962</v>
      </c>
      <c r="C1496">
        <v>39</v>
      </c>
      <c r="D1496">
        <v>14</v>
      </c>
      <c r="E1496">
        <v>108</v>
      </c>
      <c r="F1496">
        <v>3</v>
      </c>
      <c r="G1496">
        <v>1.2</v>
      </c>
      <c r="H1496">
        <v>3</v>
      </c>
      <c r="I1496">
        <v>0</v>
      </c>
      <c r="J1496">
        <v>1</v>
      </c>
      <c r="K1496">
        <v>1</v>
      </c>
      <c r="L1496">
        <v>91401</v>
      </c>
      <c r="M1496">
        <v>0</v>
      </c>
      <c r="N1496">
        <v>0</v>
      </c>
      <c r="O1496">
        <v>0</v>
      </c>
      <c r="Q1496">
        <v>0</v>
      </c>
      <c r="R1496">
        <v>0</v>
      </c>
      <c r="S1496">
        <v>0</v>
      </c>
      <c r="T1496">
        <v>13</v>
      </c>
      <c r="U1496">
        <v>0.88607594936708001</v>
      </c>
      <c r="V1496">
        <v>0.11392405063291</v>
      </c>
      <c r="W1496">
        <v>0.88607594936708001</v>
      </c>
      <c r="X1496">
        <v>0.11392405063291</v>
      </c>
      <c r="Y1496">
        <v>0.86842105263156999</v>
      </c>
      <c r="Z1496">
        <v>0.13157894736841999</v>
      </c>
      <c r="AA1496">
        <v>0.11392405063291999</v>
      </c>
      <c r="AB1496">
        <v>-0.11392405063291</v>
      </c>
      <c r="AC1496">
        <v>0</v>
      </c>
    </row>
    <row r="1497" spans="1:29" x14ac:dyDescent="0.35">
      <c r="A1497">
        <v>4966</v>
      </c>
      <c r="B1497">
        <v>4966</v>
      </c>
      <c r="C1497">
        <v>29</v>
      </c>
      <c r="D1497">
        <v>5</v>
      </c>
      <c r="E1497">
        <v>33</v>
      </c>
      <c r="F1497">
        <v>1</v>
      </c>
      <c r="G1497">
        <v>1.8</v>
      </c>
      <c r="H1497">
        <v>2</v>
      </c>
      <c r="I1497">
        <v>78</v>
      </c>
      <c r="J1497">
        <v>1</v>
      </c>
      <c r="K1497">
        <v>0</v>
      </c>
      <c r="L1497">
        <v>94709</v>
      </c>
      <c r="M1497">
        <v>0</v>
      </c>
      <c r="N1497">
        <v>0</v>
      </c>
      <c r="O1497">
        <v>0</v>
      </c>
      <c r="Q1497">
        <v>0</v>
      </c>
      <c r="R1497">
        <v>0</v>
      </c>
      <c r="S1497">
        <v>0</v>
      </c>
      <c r="T1497">
        <v>5</v>
      </c>
      <c r="U1497">
        <v>1</v>
      </c>
      <c r="V1497">
        <v>0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</row>
    <row r="1498" spans="1:29" x14ac:dyDescent="0.35">
      <c r="A1498">
        <v>4967</v>
      </c>
      <c r="B1498">
        <v>4967</v>
      </c>
      <c r="C1498">
        <v>41</v>
      </c>
      <c r="D1498">
        <v>17</v>
      </c>
      <c r="E1498">
        <v>34</v>
      </c>
      <c r="F1498">
        <v>1</v>
      </c>
      <c r="G1498">
        <v>0.7</v>
      </c>
      <c r="H1498">
        <v>1</v>
      </c>
      <c r="I1498">
        <v>143</v>
      </c>
      <c r="J1498">
        <v>0</v>
      </c>
      <c r="K1498">
        <v>0</v>
      </c>
      <c r="L1498">
        <v>91361</v>
      </c>
      <c r="M1498">
        <v>0</v>
      </c>
      <c r="N1498">
        <v>0</v>
      </c>
      <c r="O1498">
        <v>0</v>
      </c>
      <c r="Q1498">
        <v>1</v>
      </c>
      <c r="R1498">
        <v>0</v>
      </c>
      <c r="S1498">
        <v>0</v>
      </c>
      <c r="T1498">
        <v>5</v>
      </c>
      <c r="U1498">
        <v>1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</row>
    <row r="1499" spans="1:29" x14ac:dyDescent="0.35">
      <c r="A1499">
        <v>4976</v>
      </c>
      <c r="B1499">
        <v>4976</v>
      </c>
      <c r="C1499">
        <v>38</v>
      </c>
      <c r="D1499">
        <v>11</v>
      </c>
      <c r="E1499">
        <v>29</v>
      </c>
      <c r="F1499">
        <v>4</v>
      </c>
      <c r="G1499">
        <v>1</v>
      </c>
      <c r="H1499">
        <v>2</v>
      </c>
      <c r="I1499">
        <v>0</v>
      </c>
      <c r="J1499">
        <v>1</v>
      </c>
      <c r="K1499">
        <v>0</v>
      </c>
      <c r="L1499">
        <v>95207</v>
      </c>
      <c r="M1499">
        <v>0</v>
      </c>
      <c r="N1499">
        <v>0</v>
      </c>
      <c r="O1499">
        <v>0</v>
      </c>
      <c r="Q1499">
        <v>0</v>
      </c>
      <c r="R1499">
        <v>0</v>
      </c>
      <c r="S1499">
        <v>0</v>
      </c>
      <c r="T1499">
        <v>5</v>
      </c>
      <c r="U1499">
        <v>1</v>
      </c>
      <c r="V1499">
        <v>0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</row>
    <row r="1500" spans="1:29" x14ac:dyDescent="0.35">
      <c r="A1500">
        <v>4977</v>
      </c>
      <c r="B1500">
        <v>4977</v>
      </c>
      <c r="C1500">
        <v>29</v>
      </c>
      <c r="D1500">
        <v>5</v>
      </c>
      <c r="E1500">
        <v>31</v>
      </c>
      <c r="F1500">
        <v>1</v>
      </c>
      <c r="G1500">
        <v>1.8</v>
      </c>
      <c r="H1500">
        <v>2</v>
      </c>
      <c r="I1500">
        <v>0</v>
      </c>
      <c r="J1500">
        <v>1</v>
      </c>
      <c r="K1500">
        <v>1</v>
      </c>
      <c r="L1500">
        <v>95039</v>
      </c>
      <c r="M1500">
        <v>0</v>
      </c>
      <c r="N1500">
        <v>0</v>
      </c>
      <c r="O1500">
        <v>0</v>
      </c>
      <c r="Q1500">
        <v>0</v>
      </c>
      <c r="R1500">
        <v>0</v>
      </c>
      <c r="S1500">
        <v>0</v>
      </c>
      <c r="T1500">
        <v>5</v>
      </c>
      <c r="U1500">
        <v>1</v>
      </c>
      <c r="V1500">
        <v>0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</row>
    <row r="1501" spans="1:29" x14ac:dyDescent="0.35">
      <c r="A1501">
        <v>4984</v>
      </c>
      <c r="B1501">
        <v>4984</v>
      </c>
      <c r="C1501">
        <v>51</v>
      </c>
      <c r="D1501">
        <v>26</v>
      </c>
      <c r="E1501">
        <v>72</v>
      </c>
      <c r="F1501">
        <v>1</v>
      </c>
      <c r="G1501">
        <v>2.9</v>
      </c>
      <c r="H1501">
        <v>1</v>
      </c>
      <c r="I1501">
        <v>0</v>
      </c>
      <c r="J1501">
        <v>0</v>
      </c>
      <c r="K1501">
        <v>0</v>
      </c>
      <c r="L1501">
        <v>95370</v>
      </c>
      <c r="M1501">
        <v>0</v>
      </c>
      <c r="N1501">
        <v>0</v>
      </c>
      <c r="O1501">
        <v>0</v>
      </c>
      <c r="Q1501">
        <v>1</v>
      </c>
      <c r="R1501">
        <v>0</v>
      </c>
      <c r="S1501">
        <v>0</v>
      </c>
      <c r="T1501">
        <v>5</v>
      </c>
      <c r="U1501">
        <v>1</v>
      </c>
      <c r="V1501">
        <v>0</v>
      </c>
      <c r="W1501">
        <v>1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</row>
    <row r="1502" spans="1:29" x14ac:dyDescent="0.35">
      <c r="A1502">
        <v>4986</v>
      </c>
      <c r="B1502">
        <v>4986</v>
      </c>
      <c r="C1502">
        <v>48</v>
      </c>
      <c r="D1502">
        <v>23</v>
      </c>
      <c r="E1502">
        <v>30</v>
      </c>
      <c r="F1502">
        <v>3</v>
      </c>
      <c r="G1502">
        <v>1.7</v>
      </c>
      <c r="H1502">
        <v>2</v>
      </c>
      <c r="I1502">
        <v>162</v>
      </c>
      <c r="J1502">
        <v>1</v>
      </c>
      <c r="K1502">
        <v>0</v>
      </c>
      <c r="L1502">
        <v>94720</v>
      </c>
      <c r="M1502">
        <v>0</v>
      </c>
      <c r="N1502">
        <v>0</v>
      </c>
      <c r="O1502">
        <v>0</v>
      </c>
      <c r="Q1502">
        <v>0</v>
      </c>
      <c r="R1502">
        <v>0</v>
      </c>
      <c r="S1502">
        <v>0</v>
      </c>
      <c r="T1502">
        <v>5</v>
      </c>
      <c r="U1502">
        <v>1</v>
      </c>
      <c r="V1502">
        <v>0</v>
      </c>
      <c r="W1502">
        <v>1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</row>
    <row r="1503" spans="1:29" x14ac:dyDescent="0.35">
      <c r="A1503">
        <v>4992</v>
      </c>
      <c r="B1503">
        <v>4992</v>
      </c>
      <c r="C1503">
        <v>51</v>
      </c>
      <c r="D1503">
        <v>25</v>
      </c>
      <c r="E1503">
        <v>92</v>
      </c>
      <c r="F1503">
        <v>1</v>
      </c>
      <c r="G1503">
        <v>1.9</v>
      </c>
      <c r="H1503">
        <v>2</v>
      </c>
      <c r="I1503">
        <v>100</v>
      </c>
      <c r="J1503">
        <v>0</v>
      </c>
      <c r="K1503">
        <v>1</v>
      </c>
      <c r="L1503">
        <v>91330</v>
      </c>
      <c r="M1503">
        <v>0</v>
      </c>
      <c r="N1503">
        <v>0</v>
      </c>
      <c r="O1503">
        <v>0</v>
      </c>
      <c r="Q1503">
        <v>0</v>
      </c>
      <c r="R1503">
        <v>0</v>
      </c>
      <c r="S1503">
        <v>0</v>
      </c>
      <c r="T1503">
        <v>5</v>
      </c>
      <c r="U1503">
        <v>1</v>
      </c>
      <c r="V1503">
        <v>0</v>
      </c>
      <c r="W1503">
        <v>1</v>
      </c>
      <c r="X1503">
        <v>0</v>
      </c>
      <c r="Y1503">
        <v>1</v>
      </c>
      <c r="Z1503">
        <v>0</v>
      </c>
      <c r="AA1503">
        <v>0</v>
      </c>
      <c r="AB1503">
        <v>0</v>
      </c>
      <c r="AC15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7"/>
  <sheetViews>
    <sheetView workbookViewId="0"/>
  </sheetViews>
  <sheetFormatPr defaultRowHeight="14.5" x14ac:dyDescent="0.35"/>
  <cols>
    <col min="1" max="1" width="17.6328125" bestFit="1" customWidth="1"/>
    <col min="2" max="3" width="3.81640625" bestFit="1" customWidth="1"/>
    <col min="4" max="4" width="9.7265625" bestFit="1" customWidth="1"/>
    <col min="5" max="5" width="6.81640625" bestFit="1" customWidth="1"/>
    <col min="6" max="6" width="6.08984375" bestFit="1" customWidth="1"/>
    <col min="7" max="7" width="6.1796875" bestFit="1" customWidth="1"/>
    <col min="8" max="8" width="8.90625" bestFit="1" customWidth="1"/>
    <col min="9" max="9" width="8.36328125" bestFit="1" customWidth="1"/>
    <col min="10" max="10" width="6.08984375" bestFit="1" customWidth="1"/>
    <col min="11" max="11" width="9.7265625" bestFit="1" customWidth="1"/>
    <col min="12" max="12" width="7.90625" bestFit="1" customWidth="1"/>
    <col min="13" max="13" width="12.1796875" bestFit="1" customWidth="1"/>
    <col min="14" max="14" width="16.08984375" bestFit="1" customWidth="1"/>
    <col min="15" max="15" width="10.453125" bestFit="1" customWidth="1"/>
    <col min="16" max="16" width="8.36328125" bestFit="1" customWidth="1"/>
    <col min="17" max="17" width="24.81640625" bestFit="1" customWidth="1"/>
    <col min="18" max="18" width="17.90625" bestFit="1" customWidth="1"/>
    <col min="19" max="19" width="16.7265625" bestFit="1" customWidth="1"/>
    <col min="20" max="20" width="5.08984375" bestFit="1" customWidth="1"/>
    <col min="21" max="22" width="23.6328125" bestFit="1" customWidth="1"/>
    <col min="23" max="24" width="26.6328125" bestFit="1" customWidth="1"/>
    <col min="25" max="26" width="23.453125" bestFit="1" customWidth="1"/>
    <col min="27" max="28" width="22.7265625" bestFit="1" customWidth="1"/>
    <col min="29" max="29" width="28.54296875" bestFit="1" customWidth="1"/>
    <col min="30" max="30" width="5.26953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60</v>
      </c>
    </row>
    <row r="2" spans="1:30" x14ac:dyDescent="0.35">
      <c r="A2">
        <v>2</v>
      </c>
      <c r="B2">
        <v>2</v>
      </c>
      <c r="C2">
        <v>45</v>
      </c>
      <c r="D2">
        <v>19</v>
      </c>
      <c r="E2">
        <v>34</v>
      </c>
      <c r="F2">
        <v>3</v>
      </c>
      <c r="G2">
        <v>1.5</v>
      </c>
      <c r="H2">
        <v>1</v>
      </c>
      <c r="I2">
        <v>0</v>
      </c>
      <c r="J2">
        <v>0</v>
      </c>
      <c r="K2">
        <v>0</v>
      </c>
      <c r="L2">
        <v>90089</v>
      </c>
      <c r="M2">
        <v>0</v>
      </c>
      <c r="N2">
        <v>1</v>
      </c>
      <c r="O2">
        <v>0</v>
      </c>
      <c r="Q2">
        <v>1</v>
      </c>
      <c r="R2">
        <v>0</v>
      </c>
      <c r="S2">
        <v>0</v>
      </c>
      <c r="T2">
        <v>5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</row>
    <row r="3" spans="1:30" x14ac:dyDescent="0.35">
      <c r="A3">
        <v>3</v>
      </c>
      <c r="B3">
        <v>3</v>
      </c>
      <c r="C3">
        <v>39</v>
      </c>
      <c r="D3">
        <v>15</v>
      </c>
      <c r="E3">
        <v>11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94720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5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</row>
    <row r="4" spans="1:30" x14ac:dyDescent="0.35">
      <c r="A4">
        <v>6</v>
      </c>
      <c r="B4">
        <v>6</v>
      </c>
      <c r="C4">
        <v>37</v>
      </c>
      <c r="D4">
        <v>13</v>
      </c>
      <c r="E4">
        <v>29</v>
      </c>
      <c r="F4">
        <v>4</v>
      </c>
      <c r="G4">
        <v>0.4</v>
      </c>
      <c r="H4">
        <v>2</v>
      </c>
      <c r="I4">
        <v>155</v>
      </c>
      <c r="J4">
        <v>1</v>
      </c>
      <c r="K4">
        <v>0</v>
      </c>
      <c r="L4">
        <v>92121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5</v>
      </c>
      <c r="U4">
        <v>1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</row>
    <row r="5" spans="1:30" x14ac:dyDescent="0.35">
      <c r="A5">
        <v>8</v>
      </c>
      <c r="B5">
        <v>8</v>
      </c>
      <c r="C5">
        <v>50</v>
      </c>
      <c r="D5">
        <v>24</v>
      </c>
      <c r="E5">
        <v>22</v>
      </c>
      <c r="F5">
        <v>1</v>
      </c>
      <c r="G5">
        <v>0.3</v>
      </c>
      <c r="H5">
        <v>3</v>
      </c>
      <c r="I5">
        <v>0</v>
      </c>
      <c r="J5">
        <v>0</v>
      </c>
      <c r="K5">
        <v>1</v>
      </c>
      <c r="L5">
        <v>93943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5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</row>
    <row r="6" spans="1:30" x14ac:dyDescent="0.35">
      <c r="A6">
        <v>9</v>
      </c>
      <c r="B6">
        <v>9</v>
      </c>
      <c r="C6">
        <v>35</v>
      </c>
      <c r="D6">
        <v>10</v>
      </c>
      <c r="E6">
        <v>81</v>
      </c>
      <c r="F6">
        <v>3</v>
      </c>
      <c r="G6">
        <v>0.6</v>
      </c>
      <c r="H6">
        <v>2</v>
      </c>
      <c r="I6">
        <v>104</v>
      </c>
      <c r="J6">
        <v>1</v>
      </c>
      <c r="K6">
        <v>0</v>
      </c>
      <c r="L6">
        <v>90089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5</v>
      </c>
      <c r="U6">
        <v>1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</row>
    <row r="7" spans="1:30" x14ac:dyDescent="0.35">
      <c r="A7">
        <v>10</v>
      </c>
      <c r="B7">
        <v>10</v>
      </c>
      <c r="C7">
        <v>34</v>
      </c>
      <c r="D7">
        <v>9</v>
      </c>
      <c r="E7">
        <v>180</v>
      </c>
      <c r="F7">
        <v>1</v>
      </c>
      <c r="G7">
        <v>8.9</v>
      </c>
      <c r="H7">
        <v>3</v>
      </c>
      <c r="I7">
        <v>0</v>
      </c>
      <c r="J7">
        <v>0</v>
      </c>
      <c r="K7">
        <v>0</v>
      </c>
      <c r="L7">
        <v>93023</v>
      </c>
      <c r="M7">
        <v>1</v>
      </c>
      <c r="N7">
        <v>0</v>
      </c>
      <c r="O7">
        <v>0</v>
      </c>
      <c r="Q7">
        <v>0</v>
      </c>
      <c r="R7">
        <v>1</v>
      </c>
      <c r="S7">
        <v>1</v>
      </c>
      <c r="T7">
        <v>10</v>
      </c>
      <c r="U7">
        <v>0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</row>
    <row r="8" spans="1:30" x14ac:dyDescent="0.35">
      <c r="A8">
        <v>16</v>
      </c>
      <c r="B8">
        <v>16</v>
      </c>
      <c r="C8">
        <v>60</v>
      </c>
      <c r="D8">
        <v>30</v>
      </c>
      <c r="E8">
        <v>22</v>
      </c>
      <c r="F8">
        <v>1</v>
      </c>
      <c r="G8">
        <v>1.5</v>
      </c>
      <c r="H8">
        <v>3</v>
      </c>
      <c r="I8">
        <v>0</v>
      </c>
      <c r="J8">
        <v>1</v>
      </c>
      <c r="K8">
        <v>1</v>
      </c>
      <c r="L8">
        <v>95054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5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</row>
    <row r="9" spans="1:30" x14ac:dyDescent="0.35">
      <c r="A9">
        <v>24</v>
      </c>
      <c r="B9">
        <v>24</v>
      </c>
      <c r="C9">
        <v>44</v>
      </c>
      <c r="D9">
        <v>18</v>
      </c>
      <c r="E9">
        <v>43</v>
      </c>
      <c r="F9">
        <v>2</v>
      </c>
      <c r="G9">
        <v>0.7</v>
      </c>
      <c r="H9">
        <v>1</v>
      </c>
      <c r="I9">
        <v>163</v>
      </c>
      <c r="J9">
        <v>0</v>
      </c>
      <c r="K9">
        <v>0</v>
      </c>
      <c r="L9">
        <v>91320</v>
      </c>
      <c r="M9">
        <v>0</v>
      </c>
      <c r="N9">
        <v>1</v>
      </c>
      <c r="O9">
        <v>0</v>
      </c>
      <c r="Q9">
        <v>1</v>
      </c>
      <c r="R9">
        <v>0</v>
      </c>
      <c r="S9">
        <v>0</v>
      </c>
      <c r="T9">
        <v>5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</row>
    <row r="10" spans="1:30" x14ac:dyDescent="0.35">
      <c r="A10">
        <v>29</v>
      </c>
      <c r="B10">
        <v>29</v>
      </c>
      <c r="C10">
        <v>56</v>
      </c>
      <c r="D10">
        <v>30</v>
      </c>
      <c r="E10">
        <v>48</v>
      </c>
      <c r="F10">
        <v>1</v>
      </c>
      <c r="G10">
        <v>2.2000000000000002</v>
      </c>
      <c r="H10">
        <v>3</v>
      </c>
      <c r="I10">
        <v>0</v>
      </c>
      <c r="J10">
        <v>1</v>
      </c>
      <c r="K10">
        <v>1</v>
      </c>
      <c r="L10">
        <v>94539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5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</row>
    <row r="11" spans="1:30" x14ac:dyDescent="0.35">
      <c r="A11">
        <v>33</v>
      </c>
      <c r="B11">
        <v>33</v>
      </c>
      <c r="C11">
        <v>53</v>
      </c>
      <c r="D11">
        <v>28</v>
      </c>
      <c r="E11">
        <v>41</v>
      </c>
      <c r="F11">
        <v>2</v>
      </c>
      <c r="G11">
        <v>0.6</v>
      </c>
      <c r="H11">
        <v>3</v>
      </c>
      <c r="I11">
        <v>193</v>
      </c>
      <c r="J11">
        <v>0</v>
      </c>
      <c r="K11">
        <v>0</v>
      </c>
      <c r="L11">
        <v>94801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5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30" x14ac:dyDescent="0.35">
      <c r="A12">
        <v>34</v>
      </c>
      <c r="B12">
        <v>34</v>
      </c>
      <c r="C12">
        <v>30</v>
      </c>
      <c r="D12">
        <v>6</v>
      </c>
      <c r="E12">
        <v>18</v>
      </c>
      <c r="F12">
        <v>3</v>
      </c>
      <c r="G12">
        <v>0.9</v>
      </c>
      <c r="H12">
        <v>3</v>
      </c>
      <c r="I12">
        <v>0</v>
      </c>
      <c r="J12">
        <v>0</v>
      </c>
      <c r="K12">
        <v>0</v>
      </c>
      <c r="L12">
        <v>91330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5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</row>
    <row r="13" spans="1:30" x14ac:dyDescent="0.35">
      <c r="A13">
        <v>39</v>
      </c>
      <c r="B13">
        <v>39</v>
      </c>
      <c r="C13">
        <v>42</v>
      </c>
      <c r="D13">
        <v>18</v>
      </c>
      <c r="E13">
        <v>141</v>
      </c>
      <c r="F13">
        <v>3</v>
      </c>
      <c r="G13">
        <v>5</v>
      </c>
      <c r="H13">
        <v>3</v>
      </c>
      <c r="I13">
        <v>0</v>
      </c>
      <c r="J13">
        <v>1</v>
      </c>
      <c r="K13">
        <v>0</v>
      </c>
      <c r="L13">
        <v>94114</v>
      </c>
      <c r="M13">
        <v>1</v>
      </c>
      <c r="N13">
        <v>1</v>
      </c>
      <c r="O13">
        <v>1</v>
      </c>
      <c r="Q13">
        <v>0</v>
      </c>
      <c r="R13">
        <v>1</v>
      </c>
      <c r="S13">
        <v>1</v>
      </c>
      <c r="T13">
        <v>10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1</v>
      </c>
    </row>
    <row r="14" spans="1:30" x14ac:dyDescent="0.35">
      <c r="A14">
        <v>41</v>
      </c>
      <c r="B14">
        <v>41</v>
      </c>
      <c r="C14">
        <v>57</v>
      </c>
      <c r="D14">
        <v>32</v>
      </c>
      <c r="E14">
        <v>84</v>
      </c>
      <c r="F14">
        <v>3</v>
      </c>
      <c r="G14">
        <v>1.6</v>
      </c>
      <c r="H14">
        <v>3</v>
      </c>
      <c r="I14">
        <v>0</v>
      </c>
      <c r="J14">
        <v>0</v>
      </c>
      <c r="K14">
        <v>0</v>
      </c>
      <c r="L14">
        <v>92672</v>
      </c>
      <c r="M14">
        <v>0</v>
      </c>
      <c r="N14">
        <v>1</v>
      </c>
      <c r="O14">
        <v>0</v>
      </c>
      <c r="Q14">
        <v>0</v>
      </c>
      <c r="R14">
        <v>0</v>
      </c>
      <c r="S14">
        <v>0</v>
      </c>
      <c r="T14">
        <v>5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</row>
    <row r="15" spans="1:30" x14ac:dyDescent="0.35">
      <c r="A15">
        <v>42</v>
      </c>
      <c r="B15">
        <v>42</v>
      </c>
      <c r="C15">
        <v>34</v>
      </c>
      <c r="D15">
        <v>9</v>
      </c>
      <c r="E15">
        <v>60</v>
      </c>
      <c r="F15">
        <v>3</v>
      </c>
      <c r="G15">
        <v>2.2999999999999998</v>
      </c>
      <c r="H15">
        <v>1</v>
      </c>
      <c r="I15">
        <v>0</v>
      </c>
      <c r="J15">
        <v>0</v>
      </c>
      <c r="K15">
        <v>0</v>
      </c>
      <c r="L15">
        <v>94122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5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</row>
    <row r="16" spans="1:30" x14ac:dyDescent="0.35">
      <c r="A16">
        <v>48</v>
      </c>
      <c r="B16">
        <v>48</v>
      </c>
      <c r="C16">
        <v>37</v>
      </c>
      <c r="D16">
        <v>12</v>
      </c>
      <c r="E16">
        <v>194</v>
      </c>
      <c r="F16">
        <v>4</v>
      </c>
      <c r="G16">
        <v>0.2</v>
      </c>
      <c r="H16">
        <v>3</v>
      </c>
      <c r="I16">
        <v>211</v>
      </c>
      <c r="J16">
        <v>1</v>
      </c>
      <c r="K16">
        <v>1</v>
      </c>
      <c r="L16">
        <v>91380</v>
      </c>
      <c r="M16">
        <v>1</v>
      </c>
      <c r="N16">
        <v>1</v>
      </c>
      <c r="O16">
        <v>1</v>
      </c>
      <c r="Q16">
        <v>0</v>
      </c>
      <c r="R16">
        <v>1</v>
      </c>
      <c r="S16">
        <v>1</v>
      </c>
      <c r="T16">
        <v>10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</row>
    <row r="17" spans="1:29" x14ac:dyDescent="0.35">
      <c r="A17">
        <v>50</v>
      </c>
      <c r="B17">
        <v>50</v>
      </c>
      <c r="C17">
        <v>40</v>
      </c>
      <c r="D17">
        <v>16</v>
      </c>
      <c r="E17">
        <v>49</v>
      </c>
      <c r="F17">
        <v>1</v>
      </c>
      <c r="G17">
        <v>1.8</v>
      </c>
      <c r="H17">
        <v>1</v>
      </c>
      <c r="I17">
        <v>0</v>
      </c>
      <c r="J17">
        <v>0</v>
      </c>
      <c r="K17">
        <v>1</v>
      </c>
      <c r="L17">
        <v>92373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5</v>
      </c>
      <c r="U17">
        <v>1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</row>
    <row r="18" spans="1:29" x14ac:dyDescent="0.35">
      <c r="A18">
        <v>52</v>
      </c>
      <c r="B18">
        <v>52</v>
      </c>
      <c r="C18">
        <v>61</v>
      </c>
      <c r="D18">
        <v>37</v>
      </c>
      <c r="E18">
        <v>131</v>
      </c>
      <c r="F18">
        <v>1</v>
      </c>
      <c r="G18">
        <v>2.9</v>
      </c>
      <c r="H18">
        <v>1</v>
      </c>
      <c r="I18">
        <v>0</v>
      </c>
      <c r="J18">
        <v>1</v>
      </c>
      <c r="K18">
        <v>0</v>
      </c>
      <c r="L18">
        <v>94720</v>
      </c>
      <c r="M18">
        <v>0</v>
      </c>
      <c r="N18">
        <v>0</v>
      </c>
      <c r="O18">
        <v>0</v>
      </c>
      <c r="Q18">
        <v>1</v>
      </c>
      <c r="R18">
        <v>0</v>
      </c>
      <c r="S18">
        <v>0</v>
      </c>
      <c r="T18">
        <v>22</v>
      </c>
      <c r="U18">
        <v>1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>
        <v>61</v>
      </c>
      <c r="B19">
        <v>61</v>
      </c>
      <c r="C19">
        <v>49</v>
      </c>
      <c r="D19">
        <v>24</v>
      </c>
      <c r="E19">
        <v>39</v>
      </c>
      <c r="F19">
        <v>3</v>
      </c>
      <c r="G19">
        <v>1.7</v>
      </c>
      <c r="H19">
        <v>2</v>
      </c>
      <c r="I19">
        <v>0</v>
      </c>
      <c r="J19">
        <v>1</v>
      </c>
      <c r="K19">
        <v>0</v>
      </c>
      <c r="L19">
        <v>90404</v>
      </c>
      <c r="M19">
        <v>0</v>
      </c>
      <c r="N19">
        <v>1</v>
      </c>
      <c r="O19">
        <v>0</v>
      </c>
      <c r="Q19">
        <v>0</v>
      </c>
      <c r="R19">
        <v>0</v>
      </c>
      <c r="S19">
        <v>0</v>
      </c>
      <c r="T19">
        <v>5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>
        <v>62</v>
      </c>
      <c r="B20">
        <v>62</v>
      </c>
      <c r="C20">
        <v>47</v>
      </c>
      <c r="D20">
        <v>21</v>
      </c>
      <c r="E20">
        <v>125</v>
      </c>
      <c r="F20">
        <v>1</v>
      </c>
      <c r="G20">
        <v>5.7</v>
      </c>
      <c r="H20">
        <v>1</v>
      </c>
      <c r="I20">
        <v>112</v>
      </c>
      <c r="J20">
        <v>0</v>
      </c>
      <c r="K20">
        <v>0</v>
      </c>
      <c r="L20">
        <v>93407</v>
      </c>
      <c r="M20">
        <v>0</v>
      </c>
      <c r="N20">
        <v>1</v>
      </c>
      <c r="O20">
        <v>0</v>
      </c>
      <c r="Q20">
        <v>1</v>
      </c>
      <c r="R20">
        <v>0</v>
      </c>
      <c r="S20">
        <v>0</v>
      </c>
      <c r="T20">
        <v>22</v>
      </c>
      <c r="U20">
        <v>1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>
        <v>66</v>
      </c>
      <c r="B21">
        <v>66</v>
      </c>
      <c r="C21">
        <v>59</v>
      </c>
      <c r="D21">
        <v>35</v>
      </c>
      <c r="E21">
        <v>131</v>
      </c>
      <c r="F21">
        <v>1</v>
      </c>
      <c r="G21">
        <v>3.8</v>
      </c>
      <c r="H21">
        <v>1</v>
      </c>
      <c r="I21">
        <v>0</v>
      </c>
      <c r="J21">
        <v>1</v>
      </c>
      <c r="K21">
        <v>1</v>
      </c>
      <c r="L21">
        <v>91360</v>
      </c>
      <c r="M21">
        <v>0</v>
      </c>
      <c r="N21">
        <v>0</v>
      </c>
      <c r="O21">
        <v>0</v>
      </c>
      <c r="Q21">
        <v>1</v>
      </c>
      <c r="R21">
        <v>0</v>
      </c>
      <c r="S21">
        <v>0</v>
      </c>
      <c r="T21">
        <v>22</v>
      </c>
      <c r="U21">
        <v>1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</row>
    <row r="22" spans="1:29" x14ac:dyDescent="0.35">
      <c r="A22">
        <v>67</v>
      </c>
      <c r="B22">
        <v>67</v>
      </c>
      <c r="C22">
        <v>62</v>
      </c>
      <c r="D22">
        <v>36</v>
      </c>
      <c r="E22">
        <v>105</v>
      </c>
      <c r="F22">
        <v>2</v>
      </c>
      <c r="G22">
        <v>2.8</v>
      </c>
      <c r="H22">
        <v>1</v>
      </c>
      <c r="I22">
        <v>336</v>
      </c>
      <c r="J22">
        <v>0</v>
      </c>
      <c r="K22">
        <v>0</v>
      </c>
      <c r="L22">
        <v>95670</v>
      </c>
      <c r="M22">
        <v>0</v>
      </c>
      <c r="N22">
        <v>0</v>
      </c>
      <c r="O22">
        <v>0</v>
      </c>
      <c r="Q22">
        <v>1</v>
      </c>
      <c r="R22">
        <v>0</v>
      </c>
      <c r="S22">
        <v>0</v>
      </c>
      <c r="T22">
        <v>22</v>
      </c>
      <c r="U22">
        <v>1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</row>
    <row r="23" spans="1:29" x14ac:dyDescent="0.35">
      <c r="A23">
        <v>68</v>
      </c>
      <c r="B23">
        <v>68</v>
      </c>
      <c r="C23">
        <v>53</v>
      </c>
      <c r="D23">
        <v>23</v>
      </c>
      <c r="E23">
        <v>45</v>
      </c>
      <c r="F23">
        <v>4</v>
      </c>
      <c r="G23">
        <v>2</v>
      </c>
      <c r="H23">
        <v>3</v>
      </c>
      <c r="I23">
        <v>132</v>
      </c>
      <c r="J23">
        <v>0</v>
      </c>
      <c r="K23">
        <v>0</v>
      </c>
      <c r="L23">
        <v>95123</v>
      </c>
      <c r="M23">
        <v>0</v>
      </c>
      <c r="N23">
        <v>1</v>
      </c>
      <c r="O23">
        <v>0</v>
      </c>
      <c r="Q23">
        <v>0</v>
      </c>
      <c r="R23">
        <v>0</v>
      </c>
      <c r="S23">
        <v>0</v>
      </c>
      <c r="T23">
        <v>5</v>
      </c>
      <c r="U23">
        <v>1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>
        <v>69</v>
      </c>
      <c r="B24">
        <v>69</v>
      </c>
      <c r="C24">
        <v>47</v>
      </c>
      <c r="D24">
        <v>21</v>
      </c>
      <c r="E24">
        <v>60</v>
      </c>
      <c r="F24">
        <v>3</v>
      </c>
      <c r="G24">
        <v>2.1</v>
      </c>
      <c r="H24">
        <v>1</v>
      </c>
      <c r="I24">
        <v>0</v>
      </c>
      <c r="J24">
        <v>1</v>
      </c>
      <c r="K24">
        <v>1</v>
      </c>
      <c r="L24">
        <v>93407</v>
      </c>
      <c r="M24">
        <v>0</v>
      </c>
      <c r="N24">
        <v>0</v>
      </c>
      <c r="O24">
        <v>0</v>
      </c>
      <c r="Q24">
        <v>1</v>
      </c>
      <c r="R24">
        <v>0</v>
      </c>
      <c r="S24">
        <v>0</v>
      </c>
      <c r="T24">
        <v>5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>
        <v>79</v>
      </c>
      <c r="B25">
        <v>79</v>
      </c>
      <c r="C25">
        <v>54</v>
      </c>
      <c r="D25">
        <v>30</v>
      </c>
      <c r="E25">
        <v>133</v>
      </c>
      <c r="F25">
        <v>2</v>
      </c>
      <c r="G25">
        <v>2.6</v>
      </c>
      <c r="H25">
        <v>3</v>
      </c>
      <c r="I25">
        <v>0</v>
      </c>
      <c r="J25">
        <v>0</v>
      </c>
      <c r="K25">
        <v>0</v>
      </c>
      <c r="L25">
        <v>93305</v>
      </c>
      <c r="M25">
        <v>1</v>
      </c>
      <c r="N25">
        <v>0</v>
      </c>
      <c r="O25">
        <v>0</v>
      </c>
      <c r="Q25">
        <v>0</v>
      </c>
      <c r="R25">
        <v>1</v>
      </c>
      <c r="S25">
        <v>1</v>
      </c>
      <c r="T25">
        <v>10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0</v>
      </c>
      <c r="AB25">
        <v>0</v>
      </c>
      <c r="AC25">
        <v>1</v>
      </c>
    </row>
    <row r="26" spans="1:29" x14ac:dyDescent="0.35">
      <c r="A26">
        <v>83</v>
      </c>
      <c r="B26">
        <v>83</v>
      </c>
      <c r="C26">
        <v>41</v>
      </c>
      <c r="D26">
        <v>16</v>
      </c>
      <c r="E26">
        <v>82</v>
      </c>
      <c r="F26">
        <v>1</v>
      </c>
      <c r="G26">
        <v>4</v>
      </c>
      <c r="H26">
        <v>3</v>
      </c>
      <c r="I26">
        <v>0</v>
      </c>
      <c r="J26">
        <v>1</v>
      </c>
      <c r="K26">
        <v>0</v>
      </c>
      <c r="L26">
        <v>92507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15</v>
      </c>
      <c r="U26">
        <v>0.91935483870967005</v>
      </c>
      <c r="V26">
        <v>8.0645161290319997E-2</v>
      </c>
      <c r="W26">
        <v>0.91935483870967005</v>
      </c>
      <c r="X26">
        <v>8.0645161290319997E-2</v>
      </c>
      <c r="Y26">
        <v>0.86</v>
      </c>
      <c r="Z26">
        <v>0.14000000000000001</v>
      </c>
      <c r="AA26">
        <v>8.0645161290329906E-2</v>
      </c>
      <c r="AB26">
        <v>-8.0645161290319997E-2</v>
      </c>
      <c r="AC26">
        <v>0</v>
      </c>
    </row>
    <row r="27" spans="1:29" x14ac:dyDescent="0.35">
      <c r="A27">
        <v>85</v>
      </c>
      <c r="B27">
        <v>85</v>
      </c>
      <c r="C27">
        <v>46</v>
      </c>
      <c r="D27">
        <v>22</v>
      </c>
      <c r="E27">
        <v>18</v>
      </c>
      <c r="F27">
        <v>1</v>
      </c>
      <c r="G27">
        <v>0.9</v>
      </c>
      <c r="H27">
        <v>3</v>
      </c>
      <c r="I27">
        <v>0</v>
      </c>
      <c r="J27">
        <v>1</v>
      </c>
      <c r="K27">
        <v>0</v>
      </c>
      <c r="L27">
        <v>91730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5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>
        <v>88</v>
      </c>
      <c r="B28">
        <v>88</v>
      </c>
      <c r="C28">
        <v>48</v>
      </c>
      <c r="D28">
        <v>22</v>
      </c>
      <c r="E28">
        <v>78</v>
      </c>
      <c r="F28">
        <v>3</v>
      </c>
      <c r="G28">
        <v>1.1000000000000001</v>
      </c>
      <c r="H28">
        <v>1</v>
      </c>
      <c r="I28">
        <v>0</v>
      </c>
      <c r="J28">
        <v>1</v>
      </c>
      <c r="K28">
        <v>0</v>
      </c>
      <c r="L28">
        <v>94305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5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>
        <v>89</v>
      </c>
      <c r="B29">
        <v>89</v>
      </c>
      <c r="C29">
        <v>65</v>
      </c>
      <c r="D29">
        <v>41</v>
      </c>
      <c r="E29">
        <v>51</v>
      </c>
      <c r="F29">
        <v>2</v>
      </c>
      <c r="G29">
        <v>1.1000000000000001</v>
      </c>
      <c r="H29">
        <v>1</v>
      </c>
      <c r="I29">
        <v>0</v>
      </c>
      <c r="J29">
        <v>1</v>
      </c>
      <c r="K29">
        <v>0</v>
      </c>
      <c r="L29">
        <v>94117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5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</row>
    <row r="30" spans="1:29" x14ac:dyDescent="0.35">
      <c r="A30">
        <v>96</v>
      </c>
      <c r="B30">
        <v>96</v>
      </c>
      <c r="C30">
        <v>38</v>
      </c>
      <c r="D30">
        <v>12</v>
      </c>
      <c r="E30">
        <v>48</v>
      </c>
      <c r="F30">
        <v>4</v>
      </c>
      <c r="G30">
        <v>0.2</v>
      </c>
      <c r="H30">
        <v>3</v>
      </c>
      <c r="I30">
        <v>0</v>
      </c>
      <c r="J30">
        <v>1</v>
      </c>
      <c r="K30">
        <v>0</v>
      </c>
      <c r="L30">
        <v>95617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5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</row>
    <row r="31" spans="1:29" x14ac:dyDescent="0.35">
      <c r="A31">
        <v>97</v>
      </c>
      <c r="B31">
        <v>97</v>
      </c>
      <c r="C31">
        <v>41</v>
      </c>
      <c r="D31">
        <v>15</v>
      </c>
      <c r="E31">
        <v>80</v>
      </c>
      <c r="F31">
        <v>1</v>
      </c>
      <c r="G31">
        <v>5.2</v>
      </c>
      <c r="H31">
        <v>1</v>
      </c>
      <c r="I31">
        <v>0</v>
      </c>
      <c r="J31">
        <v>0</v>
      </c>
      <c r="K31">
        <v>0</v>
      </c>
      <c r="L31">
        <v>95014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15</v>
      </c>
      <c r="U31">
        <v>0.91935483870967005</v>
      </c>
      <c r="V31">
        <v>8.0645161290319997E-2</v>
      </c>
      <c r="W31">
        <v>0.91935483870967005</v>
      </c>
      <c r="X31">
        <v>8.0645161290319997E-2</v>
      </c>
      <c r="Y31">
        <v>0.86</v>
      </c>
      <c r="Z31">
        <v>0.14000000000000001</v>
      </c>
      <c r="AA31">
        <v>8.0645161290329906E-2</v>
      </c>
      <c r="AB31">
        <v>-8.0645161290319997E-2</v>
      </c>
      <c r="AC31">
        <v>0</v>
      </c>
    </row>
    <row r="32" spans="1:29" x14ac:dyDescent="0.35">
      <c r="A32">
        <v>98</v>
      </c>
      <c r="B32">
        <v>98</v>
      </c>
      <c r="C32">
        <v>54</v>
      </c>
      <c r="D32">
        <v>28</v>
      </c>
      <c r="E32">
        <v>161</v>
      </c>
      <c r="F32">
        <v>1</v>
      </c>
      <c r="G32">
        <v>2.9</v>
      </c>
      <c r="H32">
        <v>1</v>
      </c>
      <c r="I32">
        <v>0</v>
      </c>
      <c r="J32">
        <v>1</v>
      </c>
      <c r="K32">
        <v>0</v>
      </c>
      <c r="L32">
        <v>92121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22</v>
      </c>
      <c r="U32">
        <v>1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 x14ac:dyDescent="0.35">
      <c r="A33">
        <v>104</v>
      </c>
      <c r="B33">
        <v>104</v>
      </c>
      <c r="C33">
        <v>43</v>
      </c>
      <c r="D33">
        <v>18</v>
      </c>
      <c r="E33">
        <v>22</v>
      </c>
      <c r="F33">
        <v>2</v>
      </c>
      <c r="G33">
        <v>0.3</v>
      </c>
      <c r="H33">
        <v>2</v>
      </c>
      <c r="I33">
        <v>0</v>
      </c>
      <c r="J33">
        <v>1</v>
      </c>
      <c r="K33">
        <v>0</v>
      </c>
      <c r="L33">
        <v>95670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5</v>
      </c>
      <c r="U33">
        <v>1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</row>
    <row r="34" spans="1:29" x14ac:dyDescent="0.35">
      <c r="A34">
        <v>105</v>
      </c>
      <c r="B34">
        <v>105</v>
      </c>
      <c r="C34">
        <v>56</v>
      </c>
      <c r="D34">
        <v>32</v>
      </c>
      <c r="E34">
        <v>38</v>
      </c>
      <c r="F34">
        <v>4</v>
      </c>
      <c r="G34">
        <v>1.3</v>
      </c>
      <c r="H34">
        <v>1</v>
      </c>
      <c r="I34">
        <v>166</v>
      </c>
      <c r="J34">
        <v>1</v>
      </c>
      <c r="K34">
        <v>1</v>
      </c>
      <c r="L34">
        <v>93311</v>
      </c>
      <c r="M34">
        <v>0</v>
      </c>
      <c r="N34">
        <v>0</v>
      </c>
      <c r="O34">
        <v>0</v>
      </c>
      <c r="Q34">
        <v>1</v>
      </c>
      <c r="R34">
        <v>0</v>
      </c>
      <c r="S34">
        <v>0</v>
      </c>
      <c r="T34">
        <v>5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</row>
    <row r="35" spans="1:29" x14ac:dyDescent="0.35">
      <c r="A35">
        <v>111</v>
      </c>
      <c r="B35">
        <v>111</v>
      </c>
      <c r="C35">
        <v>41</v>
      </c>
      <c r="D35">
        <v>14</v>
      </c>
      <c r="E35">
        <v>9</v>
      </c>
      <c r="F35">
        <v>3</v>
      </c>
      <c r="G35">
        <v>1</v>
      </c>
      <c r="H35">
        <v>2</v>
      </c>
      <c r="I35">
        <v>0</v>
      </c>
      <c r="J35">
        <v>0</v>
      </c>
      <c r="K35">
        <v>0</v>
      </c>
      <c r="L35">
        <v>91330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5</v>
      </c>
      <c r="U35">
        <v>1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</row>
    <row r="36" spans="1:29" x14ac:dyDescent="0.35">
      <c r="A36">
        <v>112</v>
      </c>
      <c r="B36">
        <v>112</v>
      </c>
      <c r="C36">
        <v>62</v>
      </c>
      <c r="D36">
        <v>38</v>
      </c>
      <c r="E36">
        <v>45</v>
      </c>
      <c r="F36">
        <v>4</v>
      </c>
      <c r="G36">
        <v>1.3</v>
      </c>
      <c r="H36">
        <v>2</v>
      </c>
      <c r="I36">
        <v>0</v>
      </c>
      <c r="J36">
        <v>1</v>
      </c>
      <c r="K36">
        <v>0</v>
      </c>
      <c r="L36">
        <v>94143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5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</row>
    <row r="37" spans="1:29" x14ac:dyDescent="0.35">
      <c r="A37">
        <v>117</v>
      </c>
      <c r="B37">
        <v>117</v>
      </c>
      <c r="C37">
        <v>54</v>
      </c>
      <c r="D37">
        <v>29</v>
      </c>
      <c r="E37">
        <v>35</v>
      </c>
      <c r="F37">
        <v>1</v>
      </c>
      <c r="G37">
        <v>1.5</v>
      </c>
      <c r="H37">
        <v>2</v>
      </c>
      <c r="I37">
        <v>0</v>
      </c>
      <c r="J37">
        <v>1</v>
      </c>
      <c r="K37">
        <v>0</v>
      </c>
      <c r="L37">
        <v>92831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5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</row>
    <row r="38" spans="1:29" x14ac:dyDescent="0.35">
      <c r="A38">
        <v>122</v>
      </c>
      <c r="B38">
        <v>122</v>
      </c>
      <c r="C38">
        <v>52</v>
      </c>
      <c r="D38">
        <v>26</v>
      </c>
      <c r="E38">
        <v>38</v>
      </c>
      <c r="F38">
        <v>3</v>
      </c>
      <c r="G38">
        <v>0.9</v>
      </c>
      <c r="H38">
        <v>3</v>
      </c>
      <c r="I38">
        <v>0</v>
      </c>
      <c r="J38">
        <v>1</v>
      </c>
      <c r="K38">
        <v>0</v>
      </c>
      <c r="L38">
        <v>91711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5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</row>
    <row r="39" spans="1:29" x14ac:dyDescent="0.35">
      <c r="A39">
        <v>123</v>
      </c>
      <c r="B39">
        <v>123</v>
      </c>
      <c r="C39">
        <v>58</v>
      </c>
      <c r="D39">
        <v>32</v>
      </c>
      <c r="E39">
        <v>73</v>
      </c>
      <c r="F39">
        <v>2</v>
      </c>
      <c r="G39">
        <v>0.7</v>
      </c>
      <c r="H39">
        <v>2</v>
      </c>
      <c r="I39">
        <v>0</v>
      </c>
      <c r="J39">
        <v>1</v>
      </c>
      <c r="K39">
        <v>1</v>
      </c>
      <c r="L39">
        <v>94523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5</v>
      </c>
      <c r="U39">
        <v>1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 x14ac:dyDescent="0.35">
      <c r="A40">
        <v>126</v>
      </c>
      <c r="B40">
        <v>126</v>
      </c>
      <c r="C40">
        <v>60</v>
      </c>
      <c r="D40">
        <v>35</v>
      </c>
      <c r="E40">
        <v>80</v>
      </c>
      <c r="F40">
        <v>3</v>
      </c>
      <c r="G40">
        <v>0.5</v>
      </c>
      <c r="H40">
        <v>1</v>
      </c>
      <c r="I40">
        <v>0</v>
      </c>
      <c r="J40">
        <v>1</v>
      </c>
      <c r="K40">
        <v>0</v>
      </c>
      <c r="L40">
        <v>91301</v>
      </c>
      <c r="M40">
        <v>0</v>
      </c>
      <c r="N40">
        <v>0</v>
      </c>
      <c r="O40">
        <v>0</v>
      </c>
      <c r="Q40">
        <v>1</v>
      </c>
      <c r="R40">
        <v>0</v>
      </c>
      <c r="S40">
        <v>0</v>
      </c>
      <c r="T40">
        <v>5</v>
      </c>
      <c r="U40">
        <v>1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 x14ac:dyDescent="0.35">
      <c r="A41">
        <v>128</v>
      </c>
      <c r="B41">
        <v>128</v>
      </c>
      <c r="C41">
        <v>34</v>
      </c>
      <c r="D41">
        <v>8</v>
      </c>
      <c r="E41">
        <v>82</v>
      </c>
      <c r="F41">
        <v>1</v>
      </c>
      <c r="G41">
        <v>2.7</v>
      </c>
      <c r="H41">
        <v>2</v>
      </c>
      <c r="I41">
        <v>251</v>
      </c>
      <c r="J41">
        <v>1</v>
      </c>
      <c r="K41">
        <v>0</v>
      </c>
      <c r="L41">
        <v>92646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5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</row>
    <row r="42" spans="1:29" x14ac:dyDescent="0.35">
      <c r="A42">
        <v>132</v>
      </c>
      <c r="B42">
        <v>132</v>
      </c>
      <c r="C42">
        <v>58</v>
      </c>
      <c r="D42">
        <v>34</v>
      </c>
      <c r="E42">
        <v>149</v>
      </c>
      <c r="F42">
        <v>4</v>
      </c>
      <c r="G42">
        <v>7.2</v>
      </c>
      <c r="H42">
        <v>2</v>
      </c>
      <c r="I42">
        <v>0</v>
      </c>
      <c r="J42">
        <v>1</v>
      </c>
      <c r="K42">
        <v>1</v>
      </c>
      <c r="L42">
        <v>93720</v>
      </c>
      <c r="M42">
        <v>1</v>
      </c>
      <c r="N42">
        <v>0</v>
      </c>
      <c r="O42">
        <v>1</v>
      </c>
      <c r="Q42">
        <v>0</v>
      </c>
      <c r="R42">
        <v>1</v>
      </c>
      <c r="S42">
        <v>1</v>
      </c>
      <c r="T42">
        <v>10</v>
      </c>
      <c r="U42">
        <v>0</v>
      </c>
      <c r="V42">
        <v>1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1</v>
      </c>
    </row>
    <row r="43" spans="1:29" x14ac:dyDescent="0.35">
      <c r="A43">
        <v>134</v>
      </c>
      <c r="B43">
        <v>134</v>
      </c>
      <c r="C43">
        <v>30</v>
      </c>
      <c r="D43">
        <v>4</v>
      </c>
      <c r="E43">
        <v>39</v>
      </c>
      <c r="F43">
        <v>3</v>
      </c>
      <c r="G43">
        <v>1.1000000000000001</v>
      </c>
      <c r="H43">
        <v>2</v>
      </c>
      <c r="I43">
        <v>0</v>
      </c>
      <c r="J43">
        <v>1</v>
      </c>
      <c r="K43">
        <v>0</v>
      </c>
      <c r="L43">
        <v>90245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5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</row>
    <row r="44" spans="1:29" x14ac:dyDescent="0.35">
      <c r="A44">
        <v>139</v>
      </c>
      <c r="B44">
        <v>139</v>
      </c>
      <c r="C44">
        <v>59</v>
      </c>
      <c r="D44">
        <v>34</v>
      </c>
      <c r="E44">
        <v>42</v>
      </c>
      <c r="F44">
        <v>3</v>
      </c>
      <c r="G44">
        <v>1.5</v>
      </c>
      <c r="H44">
        <v>1</v>
      </c>
      <c r="I44">
        <v>0</v>
      </c>
      <c r="J44">
        <v>0</v>
      </c>
      <c r="K44">
        <v>1</v>
      </c>
      <c r="L44">
        <v>94928</v>
      </c>
      <c r="M44">
        <v>0</v>
      </c>
      <c r="N44">
        <v>1</v>
      </c>
      <c r="O44">
        <v>1</v>
      </c>
      <c r="Q44">
        <v>1</v>
      </c>
      <c r="R44">
        <v>0</v>
      </c>
      <c r="S44">
        <v>0</v>
      </c>
      <c r="T44">
        <v>5</v>
      </c>
      <c r="U44">
        <v>1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</row>
    <row r="45" spans="1:29" x14ac:dyDescent="0.35">
      <c r="A45">
        <v>141</v>
      </c>
      <c r="B45">
        <v>141</v>
      </c>
      <c r="C45">
        <v>51</v>
      </c>
      <c r="D45">
        <v>25</v>
      </c>
      <c r="E45">
        <v>31</v>
      </c>
      <c r="F45">
        <v>2</v>
      </c>
      <c r="G45">
        <v>0.4</v>
      </c>
      <c r="H45">
        <v>3</v>
      </c>
      <c r="I45">
        <v>161</v>
      </c>
      <c r="J45">
        <v>1</v>
      </c>
      <c r="K45">
        <v>1</v>
      </c>
      <c r="L45">
        <v>90245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5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 x14ac:dyDescent="0.35">
      <c r="A46">
        <v>142</v>
      </c>
      <c r="B46">
        <v>142</v>
      </c>
      <c r="C46">
        <v>35</v>
      </c>
      <c r="D46">
        <v>11</v>
      </c>
      <c r="E46">
        <v>58</v>
      </c>
      <c r="F46">
        <v>3</v>
      </c>
      <c r="G46">
        <v>2</v>
      </c>
      <c r="H46">
        <v>1</v>
      </c>
      <c r="I46">
        <v>149</v>
      </c>
      <c r="J46">
        <v>1</v>
      </c>
      <c r="K46">
        <v>1</v>
      </c>
      <c r="L46">
        <v>95831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5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 x14ac:dyDescent="0.35">
      <c r="A47">
        <v>145</v>
      </c>
      <c r="B47">
        <v>145</v>
      </c>
      <c r="C47">
        <v>49</v>
      </c>
      <c r="D47">
        <v>23</v>
      </c>
      <c r="E47">
        <v>70</v>
      </c>
      <c r="F47">
        <v>2</v>
      </c>
      <c r="G47">
        <v>1.5</v>
      </c>
      <c r="H47">
        <v>2</v>
      </c>
      <c r="I47">
        <v>0</v>
      </c>
      <c r="J47">
        <v>0</v>
      </c>
      <c r="K47">
        <v>0</v>
      </c>
      <c r="L47">
        <v>92093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5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</row>
    <row r="48" spans="1:29" x14ac:dyDescent="0.35">
      <c r="A48">
        <v>146</v>
      </c>
      <c r="B48">
        <v>146</v>
      </c>
      <c r="C48">
        <v>59</v>
      </c>
      <c r="D48">
        <v>35</v>
      </c>
      <c r="E48">
        <v>124</v>
      </c>
      <c r="F48">
        <v>1</v>
      </c>
      <c r="G48">
        <v>7.4</v>
      </c>
      <c r="H48">
        <v>1</v>
      </c>
      <c r="I48">
        <v>0</v>
      </c>
      <c r="J48">
        <v>0</v>
      </c>
      <c r="K48">
        <v>1</v>
      </c>
      <c r="L48">
        <v>90007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22</v>
      </c>
      <c r="U48">
        <v>1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</row>
    <row r="49" spans="1:29" x14ac:dyDescent="0.35">
      <c r="A49">
        <v>152</v>
      </c>
      <c r="B49">
        <v>152</v>
      </c>
      <c r="C49">
        <v>26</v>
      </c>
      <c r="D49">
        <v>0</v>
      </c>
      <c r="E49">
        <v>132</v>
      </c>
      <c r="F49">
        <v>3</v>
      </c>
      <c r="G49">
        <v>6.5</v>
      </c>
      <c r="H49">
        <v>3</v>
      </c>
      <c r="I49">
        <v>0</v>
      </c>
      <c r="J49">
        <v>0</v>
      </c>
      <c r="K49">
        <v>1</v>
      </c>
      <c r="L49">
        <v>92834</v>
      </c>
      <c r="M49">
        <v>1</v>
      </c>
      <c r="N49">
        <v>0</v>
      </c>
      <c r="O49">
        <v>0</v>
      </c>
      <c r="Q49">
        <v>0</v>
      </c>
      <c r="R49">
        <v>1</v>
      </c>
      <c r="S49">
        <v>1</v>
      </c>
      <c r="T49">
        <v>10</v>
      </c>
      <c r="U49">
        <v>0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0</v>
      </c>
      <c r="AC49">
        <v>1</v>
      </c>
    </row>
    <row r="50" spans="1:29" x14ac:dyDescent="0.35">
      <c r="A50">
        <v>157</v>
      </c>
      <c r="B50">
        <v>157</v>
      </c>
      <c r="C50">
        <v>26</v>
      </c>
      <c r="D50">
        <v>0</v>
      </c>
      <c r="E50">
        <v>15</v>
      </c>
      <c r="F50">
        <v>4</v>
      </c>
      <c r="G50">
        <v>0.4</v>
      </c>
      <c r="H50">
        <v>1</v>
      </c>
      <c r="I50">
        <v>0</v>
      </c>
      <c r="J50">
        <v>0</v>
      </c>
      <c r="K50">
        <v>1</v>
      </c>
      <c r="L50">
        <v>92131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5</v>
      </c>
      <c r="U50">
        <v>1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</row>
    <row r="51" spans="1:29" x14ac:dyDescent="0.35">
      <c r="A51">
        <v>158</v>
      </c>
      <c r="B51">
        <v>158</v>
      </c>
      <c r="C51">
        <v>41</v>
      </c>
      <c r="D51">
        <v>17</v>
      </c>
      <c r="E51">
        <v>83</v>
      </c>
      <c r="F51">
        <v>4</v>
      </c>
      <c r="G51">
        <v>2.67</v>
      </c>
      <c r="H51">
        <v>1</v>
      </c>
      <c r="I51">
        <v>0</v>
      </c>
      <c r="J51">
        <v>1</v>
      </c>
      <c r="K51">
        <v>1</v>
      </c>
      <c r="L51">
        <v>94025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5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</row>
    <row r="52" spans="1:29" x14ac:dyDescent="0.35">
      <c r="A52">
        <v>159</v>
      </c>
      <c r="B52">
        <v>159</v>
      </c>
      <c r="C52">
        <v>32</v>
      </c>
      <c r="D52">
        <v>6</v>
      </c>
      <c r="E52">
        <v>79</v>
      </c>
      <c r="F52">
        <v>2</v>
      </c>
      <c r="G52">
        <v>1.5</v>
      </c>
      <c r="H52">
        <v>3</v>
      </c>
      <c r="I52">
        <v>0</v>
      </c>
      <c r="J52">
        <v>1</v>
      </c>
      <c r="K52">
        <v>1</v>
      </c>
      <c r="L52">
        <v>94720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5</v>
      </c>
      <c r="U52">
        <v>1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</row>
    <row r="53" spans="1:29" x14ac:dyDescent="0.35">
      <c r="A53">
        <v>161</v>
      </c>
      <c r="B53">
        <v>161</v>
      </c>
      <c r="C53">
        <v>29</v>
      </c>
      <c r="D53">
        <v>0</v>
      </c>
      <c r="E53">
        <v>134</v>
      </c>
      <c r="F53">
        <v>4</v>
      </c>
      <c r="G53">
        <v>6.5</v>
      </c>
      <c r="H53">
        <v>3</v>
      </c>
      <c r="I53">
        <v>0</v>
      </c>
      <c r="J53">
        <v>0</v>
      </c>
      <c r="K53">
        <v>0</v>
      </c>
      <c r="L53">
        <v>95819</v>
      </c>
      <c r="M53">
        <v>1</v>
      </c>
      <c r="N53">
        <v>0</v>
      </c>
      <c r="O53">
        <v>0</v>
      </c>
      <c r="Q53">
        <v>0</v>
      </c>
      <c r="R53">
        <v>1</v>
      </c>
      <c r="S53">
        <v>1</v>
      </c>
      <c r="T53">
        <v>10</v>
      </c>
      <c r="U53">
        <v>0</v>
      </c>
      <c r="V53">
        <v>1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1</v>
      </c>
    </row>
    <row r="54" spans="1:29" x14ac:dyDescent="0.35">
      <c r="A54">
        <v>163</v>
      </c>
      <c r="B54">
        <v>163</v>
      </c>
      <c r="C54">
        <v>38</v>
      </c>
      <c r="D54">
        <v>12</v>
      </c>
      <c r="E54">
        <v>52</v>
      </c>
      <c r="F54">
        <v>1</v>
      </c>
      <c r="G54">
        <v>2</v>
      </c>
      <c r="H54">
        <v>1</v>
      </c>
      <c r="I54">
        <v>0</v>
      </c>
      <c r="J54">
        <v>0</v>
      </c>
      <c r="K54">
        <v>0</v>
      </c>
      <c r="L54">
        <v>90036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5</v>
      </c>
      <c r="U54">
        <v>1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</row>
    <row r="55" spans="1:29" x14ac:dyDescent="0.35">
      <c r="A55">
        <v>165</v>
      </c>
      <c r="B55">
        <v>165</v>
      </c>
      <c r="C55">
        <v>53</v>
      </c>
      <c r="D55">
        <v>27</v>
      </c>
      <c r="E55">
        <v>92</v>
      </c>
      <c r="F55">
        <v>2</v>
      </c>
      <c r="G55">
        <v>1.1000000000000001</v>
      </c>
      <c r="H55">
        <v>1</v>
      </c>
      <c r="I55">
        <v>0</v>
      </c>
      <c r="J55">
        <v>0</v>
      </c>
      <c r="K55">
        <v>0</v>
      </c>
      <c r="L55">
        <v>95120</v>
      </c>
      <c r="M55">
        <v>0</v>
      </c>
      <c r="N55">
        <v>1</v>
      </c>
      <c r="O55">
        <v>0</v>
      </c>
      <c r="Q55">
        <v>1</v>
      </c>
      <c r="R55">
        <v>0</v>
      </c>
      <c r="S55">
        <v>0</v>
      </c>
      <c r="T55">
        <v>5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</row>
    <row r="56" spans="1:29" x14ac:dyDescent="0.35">
      <c r="A56">
        <v>167</v>
      </c>
      <c r="B56">
        <v>167</v>
      </c>
      <c r="C56">
        <v>25</v>
      </c>
      <c r="D56">
        <v>1</v>
      </c>
      <c r="E56">
        <v>21</v>
      </c>
      <c r="F56">
        <v>3</v>
      </c>
      <c r="G56">
        <v>1</v>
      </c>
      <c r="H56">
        <v>2</v>
      </c>
      <c r="I56">
        <v>0</v>
      </c>
      <c r="J56">
        <v>0</v>
      </c>
      <c r="K56">
        <v>0</v>
      </c>
      <c r="L56">
        <v>95827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5</v>
      </c>
      <c r="U56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</row>
    <row r="57" spans="1:29" x14ac:dyDescent="0.35">
      <c r="A57">
        <v>168</v>
      </c>
      <c r="B57">
        <v>168</v>
      </c>
      <c r="C57">
        <v>33</v>
      </c>
      <c r="D57">
        <v>9</v>
      </c>
      <c r="E57">
        <v>23</v>
      </c>
      <c r="F57">
        <v>3</v>
      </c>
      <c r="G57">
        <v>0.9</v>
      </c>
      <c r="H57">
        <v>3</v>
      </c>
      <c r="I57">
        <v>0</v>
      </c>
      <c r="J57">
        <v>1</v>
      </c>
      <c r="K57">
        <v>1</v>
      </c>
      <c r="L57">
        <v>94305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5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</row>
    <row r="58" spans="1:29" x14ac:dyDescent="0.35">
      <c r="A58">
        <v>169</v>
      </c>
      <c r="B58">
        <v>169</v>
      </c>
      <c r="C58">
        <v>50</v>
      </c>
      <c r="D58">
        <v>26</v>
      </c>
      <c r="E58">
        <v>13</v>
      </c>
      <c r="F58">
        <v>4</v>
      </c>
      <c r="G58">
        <v>1</v>
      </c>
      <c r="H58">
        <v>1</v>
      </c>
      <c r="I58">
        <v>0</v>
      </c>
      <c r="J58">
        <v>1</v>
      </c>
      <c r="K58">
        <v>0</v>
      </c>
      <c r="L58">
        <v>91320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5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</row>
    <row r="59" spans="1:29" x14ac:dyDescent="0.35">
      <c r="A59">
        <v>177</v>
      </c>
      <c r="B59">
        <v>177</v>
      </c>
      <c r="C59">
        <v>52</v>
      </c>
      <c r="D59">
        <v>25</v>
      </c>
      <c r="E59">
        <v>44</v>
      </c>
      <c r="F59">
        <v>3</v>
      </c>
      <c r="G59">
        <v>1</v>
      </c>
      <c r="H59">
        <v>2</v>
      </c>
      <c r="I59">
        <v>135</v>
      </c>
      <c r="J59">
        <v>1</v>
      </c>
      <c r="K59">
        <v>0</v>
      </c>
      <c r="L59">
        <v>93111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5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</row>
    <row r="60" spans="1:29" x14ac:dyDescent="0.35">
      <c r="A60">
        <v>180</v>
      </c>
      <c r="B60">
        <v>180</v>
      </c>
      <c r="C60">
        <v>62</v>
      </c>
      <c r="D60">
        <v>37</v>
      </c>
      <c r="E60">
        <v>11</v>
      </c>
      <c r="F60">
        <v>1</v>
      </c>
      <c r="G60">
        <v>0.1</v>
      </c>
      <c r="H60">
        <v>1</v>
      </c>
      <c r="I60">
        <v>0</v>
      </c>
      <c r="J60">
        <v>1</v>
      </c>
      <c r="K60">
        <v>0</v>
      </c>
      <c r="L60">
        <v>91942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5</v>
      </c>
      <c r="U60">
        <v>1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</row>
    <row r="61" spans="1:29" x14ac:dyDescent="0.35">
      <c r="A61">
        <v>183</v>
      </c>
      <c r="B61">
        <v>183</v>
      </c>
      <c r="C61">
        <v>24</v>
      </c>
      <c r="D61">
        <v>0</v>
      </c>
      <c r="E61">
        <v>135</v>
      </c>
      <c r="F61">
        <v>1</v>
      </c>
      <c r="G61">
        <v>1.5</v>
      </c>
      <c r="H61">
        <v>1</v>
      </c>
      <c r="I61">
        <v>0</v>
      </c>
      <c r="J61">
        <v>1</v>
      </c>
      <c r="K61">
        <v>0</v>
      </c>
      <c r="L61">
        <v>95133</v>
      </c>
      <c r="M61">
        <v>0</v>
      </c>
      <c r="N61">
        <v>0</v>
      </c>
      <c r="O61">
        <v>0</v>
      </c>
      <c r="Q61">
        <v>1</v>
      </c>
      <c r="R61">
        <v>0</v>
      </c>
      <c r="S61">
        <v>0</v>
      </c>
      <c r="T61">
        <v>22</v>
      </c>
      <c r="U61">
        <v>1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</row>
    <row r="62" spans="1:29" x14ac:dyDescent="0.35">
      <c r="A62">
        <v>184</v>
      </c>
      <c r="B62">
        <v>184</v>
      </c>
      <c r="C62">
        <v>29</v>
      </c>
      <c r="D62">
        <v>3</v>
      </c>
      <c r="E62">
        <v>148</v>
      </c>
      <c r="F62">
        <v>3</v>
      </c>
      <c r="G62">
        <v>4.0999999999999996</v>
      </c>
      <c r="H62">
        <v>1</v>
      </c>
      <c r="I62">
        <v>0</v>
      </c>
      <c r="J62">
        <v>1</v>
      </c>
      <c r="K62">
        <v>0</v>
      </c>
      <c r="L62">
        <v>92173</v>
      </c>
      <c r="M62">
        <v>1</v>
      </c>
      <c r="N62">
        <v>0</v>
      </c>
      <c r="O62">
        <v>0</v>
      </c>
      <c r="Q62">
        <v>1</v>
      </c>
      <c r="R62">
        <v>1</v>
      </c>
      <c r="S62">
        <v>1</v>
      </c>
      <c r="T62">
        <v>20</v>
      </c>
      <c r="U62">
        <v>0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  <c r="AB62">
        <v>0</v>
      </c>
      <c r="AC62">
        <v>1</v>
      </c>
    </row>
    <row r="63" spans="1:29" x14ac:dyDescent="0.35">
      <c r="A63">
        <v>191</v>
      </c>
      <c r="B63">
        <v>191</v>
      </c>
      <c r="C63">
        <v>60</v>
      </c>
      <c r="D63">
        <v>36</v>
      </c>
      <c r="E63">
        <v>93</v>
      </c>
      <c r="F63">
        <v>1</v>
      </c>
      <c r="G63">
        <v>4.3</v>
      </c>
      <c r="H63">
        <v>1</v>
      </c>
      <c r="I63">
        <v>0</v>
      </c>
      <c r="J63">
        <v>1</v>
      </c>
      <c r="K63">
        <v>0</v>
      </c>
      <c r="L63">
        <v>92521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16</v>
      </c>
      <c r="U63">
        <v>0.58333333333333004</v>
      </c>
      <c r="V63">
        <v>0.41666666666666002</v>
      </c>
      <c r="W63">
        <v>0.58333333333333004</v>
      </c>
      <c r="X63">
        <v>0.41666666666666002</v>
      </c>
      <c r="Y63">
        <v>0.77777777777777002</v>
      </c>
      <c r="Z63">
        <v>0.22222222222221999</v>
      </c>
      <c r="AA63">
        <v>0.41666666666666902</v>
      </c>
      <c r="AB63">
        <v>-0.41666666666666002</v>
      </c>
      <c r="AC63">
        <v>0</v>
      </c>
    </row>
    <row r="64" spans="1:29" x14ac:dyDescent="0.35">
      <c r="A64">
        <v>194</v>
      </c>
      <c r="B64">
        <v>194</v>
      </c>
      <c r="C64">
        <v>48</v>
      </c>
      <c r="D64">
        <v>24</v>
      </c>
      <c r="E64">
        <v>21</v>
      </c>
      <c r="F64">
        <v>4</v>
      </c>
      <c r="G64">
        <v>0.6</v>
      </c>
      <c r="H64">
        <v>1</v>
      </c>
      <c r="I64">
        <v>0</v>
      </c>
      <c r="J64">
        <v>1</v>
      </c>
      <c r="K64">
        <v>1</v>
      </c>
      <c r="L64">
        <v>93118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5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</row>
    <row r="65" spans="1:29" x14ac:dyDescent="0.35">
      <c r="A65">
        <v>195</v>
      </c>
      <c r="B65">
        <v>195</v>
      </c>
      <c r="C65">
        <v>53</v>
      </c>
      <c r="D65">
        <v>29</v>
      </c>
      <c r="E65">
        <v>144</v>
      </c>
      <c r="F65">
        <v>2</v>
      </c>
      <c r="G65">
        <v>6.8</v>
      </c>
      <c r="H65">
        <v>1</v>
      </c>
      <c r="I65">
        <v>0</v>
      </c>
      <c r="J65">
        <v>1</v>
      </c>
      <c r="K65">
        <v>0</v>
      </c>
      <c r="L65">
        <v>92697</v>
      </c>
      <c r="M65">
        <v>0</v>
      </c>
      <c r="N65">
        <v>0</v>
      </c>
      <c r="O65">
        <v>0</v>
      </c>
      <c r="Q65">
        <v>1</v>
      </c>
      <c r="R65">
        <v>0</v>
      </c>
      <c r="S65">
        <v>0</v>
      </c>
      <c r="T65">
        <v>22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</row>
    <row r="66" spans="1:29" x14ac:dyDescent="0.35">
      <c r="A66">
        <v>198</v>
      </c>
      <c r="B66">
        <v>198</v>
      </c>
      <c r="C66">
        <v>55</v>
      </c>
      <c r="D66">
        <v>31</v>
      </c>
      <c r="E66">
        <v>9</v>
      </c>
      <c r="F66">
        <v>4</v>
      </c>
      <c r="G66">
        <v>0.7</v>
      </c>
      <c r="H66">
        <v>1</v>
      </c>
      <c r="I66">
        <v>89</v>
      </c>
      <c r="J66">
        <v>1</v>
      </c>
      <c r="K66">
        <v>0</v>
      </c>
      <c r="L66">
        <v>91345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5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</row>
    <row r="67" spans="1:29" x14ac:dyDescent="0.35">
      <c r="A67">
        <v>201</v>
      </c>
      <c r="B67">
        <v>201</v>
      </c>
      <c r="C67">
        <v>32</v>
      </c>
      <c r="D67">
        <v>6</v>
      </c>
      <c r="E67">
        <v>29</v>
      </c>
      <c r="F67">
        <v>1</v>
      </c>
      <c r="G67">
        <v>1.9</v>
      </c>
      <c r="H67">
        <v>3</v>
      </c>
      <c r="I67">
        <v>0</v>
      </c>
      <c r="J67">
        <v>1</v>
      </c>
      <c r="K67">
        <v>1</v>
      </c>
      <c r="L67">
        <v>91355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5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</row>
    <row r="68" spans="1:29" x14ac:dyDescent="0.35">
      <c r="A68">
        <v>202</v>
      </c>
      <c r="B68">
        <v>202</v>
      </c>
      <c r="C68">
        <v>35</v>
      </c>
      <c r="D68">
        <v>9</v>
      </c>
      <c r="E68">
        <v>20</v>
      </c>
      <c r="F68">
        <v>2</v>
      </c>
      <c r="G68">
        <v>1.4</v>
      </c>
      <c r="H68">
        <v>3</v>
      </c>
      <c r="I68">
        <v>0</v>
      </c>
      <c r="J68">
        <v>1</v>
      </c>
      <c r="K68">
        <v>1</v>
      </c>
      <c r="L68">
        <v>94609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5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</row>
    <row r="69" spans="1:29" x14ac:dyDescent="0.35">
      <c r="A69">
        <v>203</v>
      </c>
      <c r="B69">
        <v>203</v>
      </c>
      <c r="C69">
        <v>30</v>
      </c>
      <c r="D69">
        <v>3</v>
      </c>
      <c r="E69">
        <v>68</v>
      </c>
      <c r="F69">
        <v>4</v>
      </c>
      <c r="G69">
        <v>2</v>
      </c>
      <c r="H69">
        <v>2</v>
      </c>
      <c r="I69">
        <v>0</v>
      </c>
      <c r="J69">
        <v>1</v>
      </c>
      <c r="K69">
        <v>0</v>
      </c>
      <c r="L69">
        <v>94306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5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</row>
    <row r="70" spans="1:29" x14ac:dyDescent="0.35">
      <c r="A70">
        <v>205</v>
      </c>
      <c r="B70">
        <v>205</v>
      </c>
      <c r="C70">
        <v>56</v>
      </c>
      <c r="D70">
        <v>31</v>
      </c>
      <c r="E70">
        <v>61</v>
      </c>
      <c r="F70">
        <v>2</v>
      </c>
      <c r="G70">
        <v>1.9</v>
      </c>
      <c r="H70">
        <v>2</v>
      </c>
      <c r="I70">
        <v>105</v>
      </c>
      <c r="J70">
        <v>0</v>
      </c>
      <c r="K70">
        <v>0</v>
      </c>
      <c r="L70">
        <v>96150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5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</row>
    <row r="71" spans="1:29" x14ac:dyDescent="0.35">
      <c r="A71">
        <v>208</v>
      </c>
      <c r="B71">
        <v>208</v>
      </c>
      <c r="C71">
        <v>34</v>
      </c>
      <c r="D71">
        <v>10</v>
      </c>
      <c r="E71">
        <v>71</v>
      </c>
      <c r="F71">
        <v>4</v>
      </c>
      <c r="G71">
        <v>0.1</v>
      </c>
      <c r="H71">
        <v>2</v>
      </c>
      <c r="I71">
        <v>0</v>
      </c>
      <c r="J71">
        <v>0</v>
      </c>
      <c r="K71">
        <v>0</v>
      </c>
      <c r="L71">
        <v>94115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5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</row>
    <row r="72" spans="1:29" x14ac:dyDescent="0.35">
      <c r="A72">
        <v>229</v>
      </c>
      <c r="B72">
        <v>229</v>
      </c>
      <c r="C72">
        <v>47</v>
      </c>
      <c r="D72">
        <v>22</v>
      </c>
      <c r="E72">
        <v>53</v>
      </c>
      <c r="F72">
        <v>4</v>
      </c>
      <c r="G72">
        <v>1.9</v>
      </c>
      <c r="H72">
        <v>3</v>
      </c>
      <c r="I72">
        <v>98</v>
      </c>
      <c r="J72">
        <v>0</v>
      </c>
      <c r="K72">
        <v>1</v>
      </c>
      <c r="L72">
        <v>92677</v>
      </c>
      <c r="M72">
        <v>0</v>
      </c>
      <c r="N72">
        <v>1</v>
      </c>
      <c r="O72">
        <v>1</v>
      </c>
      <c r="Q72">
        <v>0</v>
      </c>
      <c r="R72">
        <v>0</v>
      </c>
      <c r="S72">
        <v>0</v>
      </c>
      <c r="T72">
        <v>5</v>
      </c>
      <c r="U72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</row>
    <row r="73" spans="1:29" x14ac:dyDescent="0.35">
      <c r="A73">
        <v>232</v>
      </c>
      <c r="B73">
        <v>232</v>
      </c>
      <c r="C73">
        <v>35</v>
      </c>
      <c r="D73">
        <v>10</v>
      </c>
      <c r="E73">
        <v>61</v>
      </c>
      <c r="F73">
        <v>4</v>
      </c>
      <c r="G73">
        <v>2.1</v>
      </c>
      <c r="H73">
        <v>3</v>
      </c>
      <c r="I73">
        <v>0</v>
      </c>
      <c r="J73">
        <v>1</v>
      </c>
      <c r="K73">
        <v>0</v>
      </c>
      <c r="L73">
        <v>94304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5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</row>
    <row r="74" spans="1:29" x14ac:dyDescent="0.35">
      <c r="A74">
        <v>234</v>
      </c>
      <c r="B74">
        <v>234</v>
      </c>
      <c r="C74">
        <v>62</v>
      </c>
      <c r="D74">
        <v>37</v>
      </c>
      <c r="E74">
        <v>58</v>
      </c>
      <c r="F74">
        <v>4</v>
      </c>
      <c r="G74">
        <v>1.7</v>
      </c>
      <c r="H74">
        <v>1</v>
      </c>
      <c r="I74">
        <v>0</v>
      </c>
      <c r="J74">
        <v>1</v>
      </c>
      <c r="K74">
        <v>0</v>
      </c>
      <c r="L74">
        <v>91320</v>
      </c>
      <c r="M74">
        <v>0</v>
      </c>
      <c r="N74">
        <v>0</v>
      </c>
      <c r="O74">
        <v>0</v>
      </c>
      <c r="Q74">
        <v>1</v>
      </c>
      <c r="R74">
        <v>0</v>
      </c>
      <c r="S74">
        <v>0</v>
      </c>
      <c r="T74">
        <v>5</v>
      </c>
      <c r="U74">
        <v>1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</row>
    <row r="75" spans="1:29" x14ac:dyDescent="0.35">
      <c r="A75">
        <v>236</v>
      </c>
      <c r="B75">
        <v>236</v>
      </c>
      <c r="C75">
        <v>38</v>
      </c>
      <c r="D75">
        <v>8</v>
      </c>
      <c r="E75">
        <v>71</v>
      </c>
      <c r="F75">
        <v>4</v>
      </c>
      <c r="G75">
        <v>1.8</v>
      </c>
      <c r="H75">
        <v>3</v>
      </c>
      <c r="I75">
        <v>0</v>
      </c>
      <c r="J75">
        <v>1</v>
      </c>
      <c r="K75">
        <v>0</v>
      </c>
      <c r="L75">
        <v>94720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5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</row>
    <row r="76" spans="1:29" x14ac:dyDescent="0.35">
      <c r="A76">
        <v>238</v>
      </c>
      <c r="B76">
        <v>238</v>
      </c>
      <c r="C76">
        <v>62</v>
      </c>
      <c r="D76">
        <v>38</v>
      </c>
      <c r="E76">
        <v>83</v>
      </c>
      <c r="F76">
        <v>1</v>
      </c>
      <c r="G76">
        <v>1.8</v>
      </c>
      <c r="H76">
        <v>3</v>
      </c>
      <c r="I76">
        <v>0</v>
      </c>
      <c r="J76">
        <v>1</v>
      </c>
      <c r="K76">
        <v>0</v>
      </c>
      <c r="L76">
        <v>92521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5</v>
      </c>
      <c r="U76">
        <v>1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</row>
    <row r="77" spans="1:29" x14ac:dyDescent="0.35">
      <c r="A77">
        <v>240</v>
      </c>
      <c r="B77">
        <v>240</v>
      </c>
      <c r="C77">
        <v>28</v>
      </c>
      <c r="D77">
        <v>3</v>
      </c>
      <c r="E77">
        <v>52</v>
      </c>
      <c r="F77">
        <v>4</v>
      </c>
      <c r="G77">
        <v>1.7</v>
      </c>
      <c r="H77">
        <v>2</v>
      </c>
      <c r="I77">
        <v>0</v>
      </c>
      <c r="J77">
        <v>0</v>
      </c>
      <c r="K77">
        <v>0</v>
      </c>
      <c r="L77">
        <v>94112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5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topLeftCell="B1" workbookViewId="0">
      <selection activeCell="M10" sqref="M10"/>
    </sheetView>
  </sheetViews>
  <sheetFormatPr defaultRowHeight="14.5" x14ac:dyDescent="0.35"/>
  <cols>
    <col min="1" max="1" width="41.90625" bestFit="1" customWidth="1"/>
    <col min="2" max="2" width="8.6328125" bestFit="1" customWidth="1"/>
    <col min="6" max="6" width="16.7265625" bestFit="1" customWidth="1"/>
    <col min="7" max="7" width="15.6328125" bestFit="1" customWidth="1"/>
    <col min="8" max="8" width="15.08984375" bestFit="1" customWidth="1"/>
    <col min="9" max="9" width="9.1796875" customWidth="1"/>
    <col min="11" max="11" width="10.1796875" bestFit="1" customWidth="1"/>
    <col min="12" max="12" width="21.36328125" bestFit="1" customWidth="1"/>
    <col min="13" max="13" width="17.90625" customWidth="1"/>
  </cols>
  <sheetData>
    <row r="1" spans="1:14" x14ac:dyDescent="0.35">
      <c r="A1" t="s">
        <v>29</v>
      </c>
      <c r="L1" t="s">
        <v>36</v>
      </c>
      <c r="M1" t="s">
        <v>37</v>
      </c>
    </row>
    <row r="2" spans="1:14" x14ac:dyDescent="0.35">
      <c r="A2" s="6"/>
      <c r="B2" s="2" t="s">
        <v>30</v>
      </c>
      <c r="F2" t="s">
        <v>31</v>
      </c>
      <c r="K2" t="s">
        <v>36</v>
      </c>
      <c r="L2" s="9" t="s">
        <v>65</v>
      </c>
      <c r="M2" s="9" t="s">
        <v>62</v>
      </c>
    </row>
    <row r="3" spans="1:14" ht="15.5" x14ac:dyDescent="0.35">
      <c r="A3" s="7" t="s">
        <v>50</v>
      </c>
      <c r="B3" s="2">
        <f>(G6+H5)/(G5+H5+G6+H6)</f>
        <v>1.5203040608121624E-2</v>
      </c>
      <c r="F3" s="4"/>
      <c r="G3" s="15" t="s">
        <v>32</v>
      </c>
      <c r="H3" s="15"/>
      <c r="K3" t="s">
        <v>37</v>
      </c>
      <c r="L3" s="9" t="s">
        <v>64</v>
      </c>
      <c r="M3" s="9" t="s">
        <v>63</v>
      </c>
    </row>
    <row r="4" spans="1:14" ht="16" thickBot="1" x14ac:dyDescent="0.4">
      <c r="A4" s="7" t="s">
        <v>53</v>
      </c>
      <c r="B4" s="2">
        <f>(G5)/(G7)</f>
        <v>0.94226579520697162</v>
      </c>
      <c r="F4" s="5" t="s">
        <v>33</v>
      </c>
      <c r="G4" s="1" t="s">
        <v>46</v>
      </c>
      <c r="H4" s="1" t="s">
        <v>47</v>
      </c>
      <c r="I4" t="s">
        <v>34</v>
      </c>
    </row>
    <row r="5" spans="1:14" ht="16" thickBot="1" x14ac:dyDescent="0.4">
      <c r="A5" s="7" t="s">
        <v>51</v>
      </c>
      <c r="B5" s="2">
        <f>G6/I6</f>
        <v>5.8667257029001545E-3</v>
      </c>
      <c r="F5" s="1" t="s">
        <v>12</v>
      </c>
      <c r="G5" s="12">
        <f>L6/100*$H$11</f>
        <v>6.5740000000000007</v>
      </c>
      <c r="H5" s="12">
        <f>M6/100*$H$11</f>
        <v>0.75239999999999996</v>
      </c>
      <c r="I5" s="13">
        <f>SUM(G5:H5)</f>
        <v>7.3264000000000005</v>
      </c>
      <c r="L5" t="s">
        <v>36</v>
      </c>
      <c r="M5" t="s">
        <v>37</v>
      </c>
    </row>
    <row r="6" spans="1:14" ht="16" thickBot="1" x14ac:dyDescent="0.4">
      <c r="A6" s="7" t="s">
        <v>52</v>
      </c>
      <c r="B6" s="2">
        <f>H5/I5</f>
        <v>0.10269709543568463</v>
      </c>
      <c r="F6" s="1" t="s">
        <v>47</v>
      </c>
      <c r="G6" s="12">
        <f>L7/100*$H$11</f>
        <v>0.40279999999999999</v>
      </c>
      <c r="H6" s="12">
        <f>M7/100*$H$11</f>
        <v>68.255600000000001</v>
      </c>
      <c r="I6" s="13">
        <f>SUM(G6:H6)</f>
        <v>68.6584</v>
      </c>
      <c r="K6" t="s">
        <v>36</v>
      </c>
      <c r="L6" s="9">
        <v>8.65</v>
      </c>
      <c r="M6" s="9">
        <v>0.99</v>
      </c>
      <c r="N6" s="14" t="s">
        <v>61</v>
      </c>
    </row>
    <row r="7" spans="1:14" ht="15.5" x14ac:dyDescent="0.35">
      <c r="A7" s="7" t="s">
        <v>54</v>
      </c>
      <c r="B7" s="3">
        <f>H6/I6</f>
        <v>0.99413327429709986</v>
      </c>
      <c r="F7" t="s">
        <v>34</v>
      </c>
      <c r="G7" s="13">
        <f>SUM(G5:G6)</f>
        <v>6.9768000000000008</v>
      </c>
      <c r="H7" s="13">
        <f>SUM(H5:H6)</f>
        <v>69.007999999999996</v>
      </c>
      <c r="I7" s="11">
        <f>SUM(I5:I6)</f>
        <v>75.984800000000007</v>
      </c>
      <c r="K7" t="s">
        <v>37</v>
      </c>
      <c r="L7" s="9">
        <v>0.53</v>
      </c>
      <c r="M7" s="9">
        <v>89.81</v>
      </c>
    </row>
    <row r="8" spans="1:14" ht="15.5" x14ac:dyDescent="0.35">
      <c r="A8" s="7" t="s">
        <v>38</v>
      </c>
      <c r="B8" s="2">
        <f>M10</f>
        <v>0.89730290456431538</v>
      </c>
      <c r="I8" s="11">
        <f>SUM(G7:H7)</f>
        <v>75.984799999999993</v>
      </c>
    </row>
    <row r="9" spans="1:14" ht="15.5" x14ac:dyDescent="0.35">
      <c r="A9" s="7" t="s">
        <v>40</v>
      </c>
      <c r="B9" s="2">
        <f>M11</f>
        <v>0.99413327429709986</v>
      </c>
    </row>
    <row r="10" spans="1:14" ht="15.5" x14ac:dyDescent="0.35">
      <c r="A10" s="7" t="s">
        <v>59</v>
      </c>
      <c r="B10" s="2">
        <f>G5/G7</f>
        <v>0.94226579520697162</v>
      </c>
      <c r="F10" t="s">
        <v>48</v>
      </c>
      <c r="H10">
        <v>1502</v>
      </c>
      <c r="K10" t="s">
        <v>38</v>
      </c>
      <c r="L10" t="s">
        <v>39</v>
      </c>
      <c r="M10">
        <f>G5/(G5+H5)</f>
        <v>0.89730290456431538</v>
      </c>
    </row>
    <row r="11" spans="1:14" ht="15.5" x14ac:dyDescent="0.35">
      <c r="A11" s="7" t="s">
        <v>58</v>
      </c>
      <c r="B11" s="2">
        <f>1-B9</f>
        <v>5.8667257029001441E-3</v>
      </c>
      <c r="F11" s="10" t="s">
        <v>49</v>
      </c>
      <c r="G11" s="10"/>
      <c r="H11" s="10">
        <f>ROUNDUP(H10*0.05,0)</f>
        <v>76</v>
      </c>
      <c r="K11" t="s">
        <v>40</v>
      </c>
      <c r="L11" t="s">
        <v>41</v>
      </c>
      <c r="M11">
        <f>H6/(G6+H6)</f>
        <v>0.99413327429709986</v>
      </c>
    </row>
    <row r="12" spans="1:14" ht="15.5" x14ac:dyDescent="0.35">
      <c r="A12" s="7" t="s">
        <v>57</v>
      </c>
      <c r="B12" s="2">
        <f>B8</f>
        <v>0.89730290456431538</v>
      </c>
      <c r="K12" t="s">
        <v>42</v>
      </c>
      <c r="L12" t="s">
        <v>43</v>
      </c>
      <c r="M12">
        <f>(G5+H6)/(G5+H5+G6+H6)</f>
        <v>0.98479695939187828</v>
      </c>
    </row>
    <row r="13" spans="1:14" ht="15.5" x14ac:dyDescent="0.35">
      <c r="A13" s="7" t="s">
        <v>56</v>
      </c>
      <c r="B13" s="2">
        <f xml:space="preserve"> B8/((G5+H5)/H11)</f>
        <v>9.3081214166422761</v>
      </c>
      <c r="C13" t="s">
        <v>35</v>
      </c>
      <c r="K13" t="s">
        <v>44</v>
      </c>
      <c r="L13" t="s">
        <v>45</v>
      </c>
      <c r="M13">
        <f>G5/(G5+G6)</f>
        <v>0.94226579520697162</v>
      </c>
    </row>
    <row r="14" spans="1:14" ht="15.5" x14ac:dyDescent="0.35">
      <c r="A14" s="7" t="s">
        <v>55</v>
      </c>
      <c r="B14" s="2">
        <v>807.32709999999997</v>
      </c>
      <c r="D14" s="8"/>
    </row>
  </sheetData>
  <mergeCells count="1">
    <mergeCell ref="G3:H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960B-1146-42B1-BA18-0B3336FF459F}">
  <dimension ref="A1:AQ42"/>
  <sheetViews>
    <sheetView topLeftCell="Z1" workbookViewId="0">
      <selection activeCell="AN1" activeCellId="1" sqref="AC1:AC1048576 AN1:AN1048576"/>
    </sheetView>
  </sheetViews>
  <sheetFormatPr defaultRowHeight="14.5" x14ac:dyDescent="0.35"/>
  <cols>
    <col min="18" max="18" width="10.1796875" customWidth="1"/>
    <col min="20" max="20" width="9.6328125" customWidth="1"/>
    <col min="22" max="23" width="13.36328125" customWidth="1"/>
  </cols>
  <sheetData>
    <row r="1" spans="1:43" s="19" customFormat="1" ht="72.5" x14ac:dyDescent="0.35">
      <c r="A1" s="19" t="s">
        <v>66</v>
      </c>
      <c r="B1" s="19" t="s">
        <v>67</v>
      </c>
      <c r="C1" s="19" t="s">
        <v>68</v>
      </c>
      <c r="D1" s="19" t="s">
        <v>60</v>
      </c>
      <c r="E1" s="19" t="s">
        <v>69</v>
      </c>
      <c r="F1" s="19" t="s">
        <v>70</v>
      </c>
      <c r="G1" s="19" t="s">
        <v>71</v>
      </c>
      <c r="H1" s="19" t="s">
        <v>72</v>
      </c>
      <c r="I1" s="19" t="s">
        <v>73</v>
      </c>
      <c r="J1" s="19" t="s">
        <v>74</v>
      </c>
      <c r="K1" s="19" t="s">
        <v>75</v>
      </c>
      <c r="L1" s="19" t="s">
        <v>76</v>
      </c>
      <c r="M1" s="19" t="s">
        <v>77</v>
      </c>
      <c r="N1" s="19" t="s">
        <v>78</v>
      </c>
      <c r="O1" s="19" t="s">
        <v>79</v>
      </c>
      <c r="P1" s="19" t="s">
        <v>80</v>
      </c>
      <c r="Q1" s="19" t="s">
        <v>81</v>
      </c>
      <c r="R1" s="17" t="s">
        <v>102</v>
      </c>
      <c r="S1" s="19" t="s">
        <v>82</v>
      </c>
      <c r="T1" s="17" t="s">
        <v>103</v>
      </c>
      <c r="U1" s="19" t="s">
        <v>83</v>
      </c>
      <c r="V1" s="17" t="s">
        <v>104</v>
      </c>
      <c r="W1" s="17" t="s">
        <v>105</v>
      </c>
      <c r="X1" s="17" t="s">
        <v>106</v>
      </c>
      <c r="Y1" s="19" t="s">
        <v>84</v>
      </c>
      <c r="Z1" s="19" t="s">
        <v>85</v>
      </c>
      <c r="AA1" s="19" t="s">
        <v>86</v>
      </c>
      <c r="AB1" s="19" t="s">
        <v>87</v>
      </c>
      <c r="AC1" s="19" t="s">
        <v>88</v>
      </c>
      <c r="AD1" s="19" t="s">
        <v>89</v>
      </c>
      <c r="AE1" s="19" t="s">
        <v>90</v>
      </c>
      <c r="AF1" s="19" t="s">
        <v>91</v>
      </c>
      <c r="AG1" s="19" t="s">
        <v>92</v>
      </c>
      <c r="AH1" s="19" t="s">
        <v>55</v>
      </c>
      <c r="AI1" s="17" t="s">
        <v>107</v>
      </c>
      <c r="AJ1" s="19" t="s">
        <v>93</v>
      </c>
      <c r="AK1" s="19" t="s">
        <v>94</v>
      </c>
      <c r="AL1" s="17" t="s">
        <v>108</v>
      </c>
      <c r="AM1" s="19" t="s">
        <v>95</v>
      </c>
      <c r="AN1" s="17" t="s">
        <v>109</v>
      </c>
      <c r="AO1" s="19" t="s">
        <v>96</v>
      </c>
      <c r="AP1" s="19" t="s">
        <v>97</v>
      </c>
      <c r="AQ1" s="19" t="s">
        <v>98</v>
      </c>
    </row>
    <row r="2" spans="1:43" x14ac:dyDescent="0.35">
      <c r="A2" t="s">
        <v>99</v>
      </c>
      <c r="B2" t="s">
        <v>12</v>
      </c>
      <c r="C2" t="s">
        <v>100</v>
      </c>
      <c r="D2">
        <v>1</v>
      </c>
      <c r="E2">
        <v>100</v>
      </c>
      <c r="F2">
        <v>52.238805970149201</v>
      </c>
      <c r="G2">
        <v>52.238805970149201</v>
      </c>
      <c r="H2">
        <v>9.5769010899999998</v>
      </c>
      <c r="I2">
        <v>9.5769010899999998</v>
      </c>
      <c r="J2">
        <v>5</v>
      </c>
      <c r="K2">
        <v>5</v>
      </c>
      <c r="L2">
        <v>5</v>
      </c>
      <c r="M2">
        <v>1</v>
      </c>
      <c r="N2">
        <v>1</v>
      </c>
      <c r="O2">
        <v>175</v>
      </c>
      <c r="P2">
        <v>1</v>
      </c>
      <c r="Q2">
        <v>175</v>
      </c>
      <c r="R2" s="18">
        <f>Q2</f>
        <v>175</v>
      </c>
      <c r="S2">
        <v>0</v>
      </c>
      <c r="T2" s="18">
        <f>S2</f>
        <v>0</v>
      </c>
      <c r="U2">
        <v>17</v>
      </c>
      <c r="V2" s="20">
        <f>Q2/(Q2+S2)*100</f>
        <v>100</v>
      </c>
      <c r="W2" s="20">
        <f>R2/(R2+T2)*100</f>
        <v>100</v>
      </c>
      <c r="X2" s="18">
        <f>Q$42/O$42*100</f>
        <v>9.6</v>
      </c>
      <c r="Y2">
        <v>175</v>
      </c>
      <c r="Z2">
        <v>52.238805970149201</v>
      </c>
      <c r="AA2">
        <v>52.238805970149201</v>
      </c>
      <c r="AB2">
        <v>10.4417910447761</v>
      </c>
      <c r="AC2">
        <v>10.4417910447761</v>
      </c>
      <c r="AD2">
        <v>100</v>
      </c>
      <c r="AE2">
        <v>100</v>
      </c>
      <c r="AF2">
        <v>100</v>
      </c>
      <c r="AG2">
        <v>944.17910447761199</v>
      </c>
      <c r="AH2">
        <v>944.17910447761096</v>
      </c>
      <c r="AI2" s="20">
        <f>(AN2-1)*100</f>
        <v>941.66666666666674</v>
      </c>
      <c r="AJ2">
        <v>0</v>
      </c>
      <c r="AK2">
        <v>10.4417910407801</v>
      </c>
      <c r="AL2" s="20">
        <f>V2/X2</f>
        <v>10.416666666666668</v>
      </c>
      <c r="AM2">
        <v>10.4417910407801</v>
      </c>
      <c r="AN2" s="20">
        <f>W2/X2</f>
        <v>10.416666666666668</v>
      </c>
      <c r="AO2">
        <v>0.99999999961731301</v>
      </c>
      <c r="AP2">
        <v>0.99999999961731301</v>
      </c>
      <c r="AQ2">
        <v>1</v>
      </c>
    </row>
    <row r="3" spans="1:43" x14ac:dyDescent="0.35">
      <c r="A3" t="s">
        <v>99</v>
      </c>
      <c r="B3" t="s">
        <v>12</v>
      </c>
      <c r="C3" t="s">
        <v>100</v>
      </c>
      <c r="D3">
        <v>1</v>
      </c>
      <c r="E3">
        <v>90.358047016274796</v>
      </c>
      <c r="F3">
        <v>42.165123748346801</v>
      </c>
      <c r="G3">
        <v>94.403929718496101</v>
      </c>
      <c r="H3">
        <v>9.5769010899999998</v>
      </c>
      <c r="I3">
        <v>9.5769010899999998</v>
      </c>
      <c r="J3">
        <v>5</v>
      </c>
      <c r="K3">
        <v>10</v>
      </c>
      <c r="L3">
        <v>10</v>
      </c>
      <c r="M3">
        <v>0.11392405063291</v>
      </c>
      <c r="N3">
        <v>1</v>
      </c>
      <c r="O3">
        <v>175</v>
      </c>
      <c r="P3">
        <v>0.80716094032549401</v>
      </c>
      <c r="Q3">
        <v>141.25316455696199</v>
      </c>
      <c r="R3" s="18">
        <f>Q3+R2</f>
        <v>316.25316455696202</v>
      </c>
      <c r="S3">
        <v>33.746835443037902</v>
      </c>
      <c r="T3" s="18">
        <f>S3+T2</f>
        <v>33.746835443037902</v>
      </c>
      <c r="U3">
        <v>17</v>
      </c>
      <c r="V3" s="20">
        <f t="shared" ref="V3:W21" si="0">Q3/(Q3+S3)*100</f>
        <v>80.716094032549762</v>
      </c>
      <c r="W3" s="20">
        <f>R3/(R3+T3)*100</f>
        <v>90.358047016274881</v>
      </c>
      <c r="X3" s="18">
        <f t="shared" ref="X3:X41" si="1">Q$42/O$42*100</f>
        <v>9.6</v>
      </c>
      <c r="Y3">
        <v>160</v>
      </c>
      <c r="Z3">
        <v>100</v>
      </c>
      <c r="AA3">
        <v>47.761194029850699</v>
      </c>
      <c r="AB3">
        <v>9.5522388059701395</v>
      </c>
      <c r="AC3">
        <v>9.9942857142857093</v>
      </c>
      <c r="AD3">
        <v>91.428571428571402</v>
      </c>
      <c r="AE3">
        <v>80.716094032549705</v>
      </c>
      <c r="AF3">
        <v>95.714285714285694</v>
      </c>
      <c r="AG3">
        <v>899.42857142857099</v>
      </c>
      <c r="AH3">
        <v>843.49984615799804</v>
      </c>
      <c r="AI3" s="20">
        <f t="shared" ref="AI3:AI41" si="2">(AN3-1)*100</f>
        <v>841.22965641952999</v>
      </c>
      <c r="AJ3">
        <v>0</v>
      </c>
      <c r="AK3">
        <v>8.4282058751584898</v>
      </c>
      <c r="AL3" s="20">
        <f t="shared" ref="AL3:AL41" si="3">V3/X3</f>
        <v>8.4079264617239335</v>
      </c>
      <c r="AM3">
        <v>9.4349984579693302</v>
      </c>
      <c r="AN3" s="20">
        <f t="shared" ref="AN3:AN41" si="4">W3/X3</f>
        <v>9.4122965641952998</v>
      </c>
      <c r="AO3">
        <v>0.99999999961731301</v>
      </c>
      <c r="AP3">
        <v>0.99999999961731301</v>
      </c>
      <c r="AQ3">
        <v>2</v>
      </c>
    </row>
    <row r="4" spans="1:43" x14ac:dyDescent="0.35">
      <c r="A4" t="s">
        <v>99</v>
      </c>
      <c r="B4" t="s">
        <v>12</v>
      </c>
      <c r="C4" t="s">
        <v>100</v>
      </c>
      <c r="D4">
        <v>1</v>
      </c>
      <c r="E4">
        <v>63.357910906298002</v>
      </c>
      <c r="F4">
        <v>4.8883187167470199</v>
      </c>
      <c r="G4">
        <v>99.292248435243096</v>
      </c>
      <c r="H4">
        <v>9.5769010899999998</v>
      </c>
      <c r="I4">
        <v>9.5769010899999998</v>
      </c>
      <c r="J4">
        <v>5</v>
      </c>
      <c r="K4">
        <v>15</v>
      </c>
      <c r="L4">
        <v>15</v>
      </c>
      <c r="M4">
        <v>8.0645161290319997E-2</v>
      </c>
      <c r="N4">
        <v>0.11392405063291</v>
      </c>
      <c r="O4">
        <v>175</v>
      </c>
      <c r="P4">
        <v>9.3576386863440802E-2</v>
      </c>
      <c r="Q4">
        <v>16.3758677011025</v>
      </c>
      <c r="R4" s="18">
        <f t="shared" ref="R4:R41" si="5">Q4+R3</f>
        <v>332.62903225806451</v>
      </c>
      <c r="S4">
        <v>158.624132298897</v>
      </c>
      <c r="T4" s="18">
        <f t="shared" ref="T4:T41" si="6">S4+T3</f>
        <v>192.37096774193489</v>
      </c>
      <c r="U4">
        <v>17</v>
      </c>
      <c r="V4" s="20">
        <f t="shared" si="0"/>
        <v>9.3576386863443126</v>
      </c>
      <c r="W4" s="20">
        <f t="shared" si="0"/>
        <v>63.357910906298073</v>
      </c>
      <c r="X4" s="18">
        <f t="shared" si="1"/>
        <v>9.6</v>
      </c>
      <c r="Y4">
        <v>0</v>
      </c>
      <c r="Z4">
        <v>100</v>
      </c>
      <c r="AA4">
        <v>0</v>
      </c>
      <c r="AB4">
        <v>0</v>
      </c>
      <c r="AC4">
        <v>6.6628571428571401</v>
      </c>
      <c r="AD4">
        <v>0</v>
      </c>
      <c r="AE4">
        <v>9.3576386863443002</v>
      </c>
      <c r="AF4">
        <v>63.809523809523803</v>
      </c>
      <c r="AG4">
        <v>566.28571428571399</v>
      </c>
      <c r="AH4">
        <v>561.57006671710496</v>
      </c>
      <c r="AI4" s="20">
        <f t="shared" si="2"/>
        <v>559.97823860727158</v>
      </c>
      <c r="AJ4">
        <v>0</v>
      </c>
      <c r="AK4">
        <v>0.97710507797928003</v>
      </c>
      <c r="AL4" s="20">
        <f t="shared" si="3"/>
        <v>0.97475402982753256</v>
      </c>
      <c r="AM4">
        <v>6.6157006646393102</v>
      </c>
      <c r="AN4" s="20">
        <f t="shared" si="4"/>
        <v>6.5997823860727163</v>
      </c>
      <c r="AO4">
        <v>0.99999999961731301</v>
      </c>
      <c r="AP4">
        <v>0.99999999961731301</v>
      </c>
      <c r="AQ4">
        <v>3</v>
      </c>
    </row>
    <row r="5" spans="1:43" x14ac:dyDescent="0.35">
      <c r="A5" t="s">
        <v>99</v>
      </c>
      <c r="B5" t="s">
        <v>12</v>
      </c>
      <c r="C5" t="s">
        <v>100</v>
      </c>
      <c r="D5">
        <v>1</v>
      </c>
      <c r="E5">
        <v>47.857142857142797</v>
      </c>
      <c r="F5">
        <v>0.70775156475685996</v>
      </c>
      <c r="G5">
        <v>100</v>
      </c>
      <c r="H5">
        <v>9.5769010899999998</v>
      </c>
      <c r="I5">
        <v>9.5769010899999998</v>
      </c>
      <c r="J5">
        <v>5</v>
      </c>
      <c r="K5">
        <v>20</v>
      </c>
      <c r="L5">
        <v>20</v>
      </c>
      <c r="M5">
        <v>0</v>
      </c>
      <c r="N5">
        <v>8.0645161290319997E-2</v>
      </c>
      <c r="O5">
        <v>175</v>
      </c>
      <c r="P5">
        <v>1.3548387096773799E-2</v>
      </c>
      <c r="Q5">
        <v>2.37096774193548</v>
      </c>
      <c r="R5" s="18">
        <f t="shared" si="5"/>
        <v>335</v>
      </c>
      <c r="S5">
        <v>172.629032258064</v>
      </c>
      <c r="T5" s="18">
        <f t="shared" si="6"/>
        <v>364.99999999999886</v>
      </c>
      <c r="U5">
        <v>17</v>
      </c>
      <c r="V5" s="20">
        <f t="shared" si="0"/>
        <v>1.354838709677421</v>
      </c>
      <c r="W5" s="20">
        <f t="shared" si="0"/>
        <v>47.857142857142939</v>
      </c>
      <c r="X5" s="18">
        <f t="shared" si="1"/>
        <v>9.6</v>
      </c>
      <c r="Y5">
        <v>0</v>
      </c>
      <c r="Z5">
        <v>100</v>
      </c>
      <c r="AA5">
        <v>0</v>
      </c>
      <c r="AB5">
        <v>0</v>
      </c>
      <c r="AC5">
        <v>4.9971428571428502</v>
      </c>
      <c r="AD5">
        <v>0</v>
      </c>
      <c r="AE5">
        <v>1.3548387096774099</v>
      </c>
      <c r="AF5">
        <v>47.857142857142797</v>
      </c>
      <c r="AG5">
        <v>399.71428571428498</v>
      </c>
      <c r="AH5">
        <v>399.71428571428498</v>
      </c>
      <c r="AI5" s="20">
        <f t="shared" si="2"/>
        <v>398.51190476190561</v>
      </c>
      <c r="AJ5">
        <v>0</v>
      </c>
      <c r="AK5">
        <v>0.14146942700411799</v>
      </c>
      <c r="AL5" s="20">
        <f t="shared" si="3"/>
        <v>0.1411290322580647</v>
      </c>
      <c r="AM5">
        <v>4.9971428552305097</v>
      </c>
      <c r="AN5" s="20">
        <f t="shared" si="4"/>
        <v>4.9851190476190563</v>
      </c>
      <c r="AO5">
        <v>0.99999999961731301</v>
      </c>
      <c r="AP5">
        <v>0.99999999961731301</v>
      </c>
      <c r="AQ5">
        <v>4</v>
      </c>
    </row>
    <row r="6" spans="1:43" x14ac:dyDescent="0.35">
      <c r="A6" t="s">
        <v>99</v>
      </c>
      <c r="B6" t="s">
        <v>12</v>
      </c>
      <c r="C6" t="s">
        <v>100</v>
      </c>
      <c r="D6">
        <v>1</v>
      </c>
      <c r="E6">
        <v>38.285714285714199</v>
      </c>
      <c r="F6">
        <v>0</v>
      </c>
      <c r="G6">
        <v>100</v>
      </c>
      <c r="H6">
        <v>9.5769010899999998</v>
      </c>
      <c r="I6">
        <v>9.5769010899999998</v>
      </c>
      <c r="J6">
        <v>5</v>
      </c>
      <c r="K6">
        <v>25</v>
      </c>
      <c r="L6">
        <v>25</v>
      </c>
      <c r="M6">
        <v>0</v>
      </c>
      <c r="N6">
        <v>0</v>
      </c>
      <c r="O6">
        <v>175</v>
      </c>
      <c r="P6">
        <v>0</v>
      </c>
      <c r="Q6">
        <v>0</v>
      </c>
      <c r="R6" s="18">
        <f t="shared" si="5"/>
        <v>335</v>
      </c>
      <c r="S6">
        <v>175</v>
      </c>
      <c r="T6" s="18">
        <f t="shared" si="6"/>
        <v>539.99999999999886</v>
      </c>
      <c r="U6">
        <v>17</v>
      </c>
      <c r="V6" s="20">
        <f t="shared" si="0"/>
        <v>0</v>
      </c>
      <c r="W6" s="20">
        <f t="shared" si="0"/>
        <v>38.285714285714334</v>
      </c>
      <c r="X6" s="18">
        <f t="shared" si="1"/>
        <v>9.6</v>
      </c>
      <c r="Y6">
        <v>0</v>
      </c>
      <c r="Z6">
        <v>100</v>
      </c>
      <c r="AA6">
        <v>0</v>
      </c>
      <c r="AB6">
        <v>0</v>
      </c>
      <c r="AC6">
        <v>3.99771428571428</v>
      </c>
      <c r="AD6">
        <v>0</v>
      </c>
      <c r="AE6">
        <v>0</v>
      </c>
      <c r="AF6">
        <v>38.285714285714199</v>
      </c>
      <c r="AG6">
        <v>299.77142857142798</v>
      </c>
      <c r="AH6">
        <v>299.77142857142798</v>
      </c>
      <c r="AI6" s="20">
        <f t="shared" si="2"/>
        <v>298.80952380952436</v>
      </c>
      <c r="AJ6" s="16">
        <v>2.2204460492503099E-14</v>
      </c>
      <c r="AK6">
        <v>0</v>
      </c>
      <c r="AL6" s="20">
        <f t="shared" si="3"/>
        <v>0</v>
      </c>
      <c r="AM6">
        <v>3.99771428418441</v>
      </c>
      <c r="AN6" s="20">
        <f t="shared" si="4"/>
        <v>3.9880952380952435</v>
      </c>
      <c r="AO6">
        <v>0.99999999961731301</v>
      </c>
      <c r="AP6">
        <v>0.99999999961731301</v>
      </c>
      <c r="AQ6">
        <v>5</v>
      </c>
    </row>
    <row r="7" spans="1:43" x14ac:dyDescent="0.35">
      <c r="A7" t="s">
        <v>99</v>
      </c>
      <c r="B7" t="s">
        <v>12</v>
      </c>
      <c r="C7" t="s">
        <v>100</v>
      </c>
      <c r="D7">
        <v>1</v>
      </c>
      <c r="E7">
        <v>31.904761904761902</v>
      </c>
      <c r="F7">
        <v>0</v>
      </c>
      <c r="G7">
        <v>100</v>
      </c>
      <c r="H7">
        <v>9.5769010899999998</v>
      </c>
      <c r="I7">
        <v>9.5769010899999998</v>
      </c>
      <c r="J7">
        <v>5</v>
      </c>
      <c r="K7">
        <v>30</v>
      </c>
      <c r="L7">
        <v>30</v>
      </c>
      <c r="M7">
        <v>0</v>
      </c>
      <c r="N7">
        <v>0</v>
      </c>
      <c r="O7">
        <v>175</v>
      </c>
      <c r="P7">
        <v>0</v>
      </c>
      <c r="Q7">
        <v>0</v>
      </c>
      <c r="R7" s="18">
        <f t="shared" si="5"/>
        <v>335</v>
      </c>
      <c r="S7">
        <v>175</v>
      </c>
      <c r="T7" s="18">
        <f t="shared" si="6"/>
        <v>714.99999999999886</v>
      </c>
      <c r="U7">
        <v>17</v>
      </c>
      <c r="V7" s="20">
        <f t="shared" si="0"/>
        <v>0</v>
      </c>
      <c r="W7" s="20">
        <f t="shared" si="0"/>
        <v>31.904761904761941</v>
      </c>
      <c r="X7" s="18">
        <f t="shared" si="1"/>
        <v>9.6</v>
      </c>
      <c r="Y7">
        <v>0</v>
      </c>
      <c r="Z7">
        <v>100</v>
      </c>
      <c r="AA7">
        <v>0</v>
      </c>
      <c r="AB7">
        <v>0</v>
      </c>
      <c r="AC7">
        <v>3.3314285714285701</v>
      </c>
      <c r="AD7">
        <v>0</v>
      </c>
      <c r="AE7">
        <v>0</v>
      </c>
      <c r="AF7">
        <v>31.904761904761902</v>
      </c>
      <c r="AG7">
        <v>233.142857142857</v>
      </c>
      <c r="AH7">
        <v>233.142857142857</v>
      </c>
      <c r="AI7" s="20">
        <f t="shared" si="2"/>
        <v>232.34126984127022</v>
      </c>
      <c r="AJ7">
        <v>0</v>
      </c>
      <c r="AK7">
        <v>0</v>
      </c>
      <c r="AL7" s="20">
        <f t="shared" si="3"/>
        <v>0</v>
      </c>
      <c r="AM7">
        <v>3.3314285701536699</v>
      </c>
      <c r="AN7" s="20">
        <f t="shared" si="4"/>
        <v>3.3234126984127021</v>
      </c>
      <c r="AO7">
        <v>0.99999999961731301</v>
      </c>
      <c r="AP7">
        <v>0.99999999961731301</v>
      </c>
      <c r="AQ7">
        <v>6</v>
      </c>
    </row>
    <row r="8" spans="1:43" x14ac:dyDescent="0.35">
      <c r="A8" t="s">
        <v>99</v>
      </c>
      <c r="B8" t="s">
        <v>12</v>
      </c>
      <c r="C8" t="s">
        <v>100</v>
      </c>
      <c r="D8">
        <v>1</v>
      </c>
      <c r="E8">
        <v>27.3469387755102</v>
      </c>
      <c r="F8">
        <v>0</v>
      </c>
      <c r="G8">
        <v>100</v>
      </c>
      <c r="H8">
        <v>9.5769010899999998</v>
      </c>
      <c r="I8">
        <v>9.5769010899999998</v>
      </c>
      <c r="J8">
        <v>5</v>
      </c>
      <c r="K8">
        <v>35</v>
      </c>
      <c r="L8">
        <v>35</v>
      </c>
      <c r="M8">
        <v>0</v>
      </c>
      <c r="N8">
        <v>0</v>
      </c>
      <c r="O8">
        <v>175</v>
      </c>
      <c r="P8">
        <v>0</v>
      </c>
      <c r="Q8">
        <v>0</v>
      </c>
      <c r="R8" s="18">
        <f t="shared" si="5"/>
        <v>335</v>
      </c>
      <c r="S8">
        <v>175</v>
      </c>
      <c r="T8" s="18">
        <f t="shared" si="6"/>
        <v>889.99999999999886</v>
      </c>
      <c r="U8">
        <v>17</v>
      </c>
      <c r="V8" s="20">
        <f t="shared" si="0"/>
        <v>0</v>
      </c>
      <c r="W8" s="20">
        <f t="shared" si="0"/>
        <v>27.346938775510232</v>
      </c>
      <c r="X8" s="18">
        <f t="shared" si="1"/>
        <v>9.6</v>
      </c>
      <c r="Y8">
        <v>0</v>
      </c>
      <c r="Z8">
        <v>100</v>
      </c>
      <c r="AA8">
        <v>0</v>
      </c>
      <c r="AB8">
        <v>0</v>
      </c>
      <c r="AC8">
        <v>2.85551020408163</v>
      </c>
      <c r="AD8">
        <v>0</v>
      </c>
      <c r="AE8">
        <v>0</v>
      </c>
      <c r="AF8">
        <v>27.3469387755102</v>
      </c>
      <c r="AG8">
        <v>185.551020408163</v>
      </c>
      <c r="AH8">
        <v>185.551020408163</v>
      </c>
      <c r="AI8" s="20">
        <f t="shared" si="2"/>
        <v>184.86394557823158</v>
      </c>
      <c r="AJ8" s="16">
        <v>2.2204460492503099E-14</v>
      </c>
      <c r="AK8">
        <v>0</v>
      </c>
      <c r="AL8" s="20">
        <f t="shared" si="3"/>
        <v>0</v>
      </c>
      <c r="AM8">
        <v>2.8555102029888602</v>
      </c>
      <c r="AN8" s="20">
        <f t="shared" si="4"/>
        <v>2.8486394557823158</v>
      </c>
      <c r="AO8">
        <v>0.99999999961731301</v>
      </c>
      <c r="AP8">
        <v>0.99999999961731301</v>
      </c>
      <c r="AQ8">
        <v>7</v>
      </c>
    </row>
    <row r="9" spans="1:43" x14ac:dyDescent="0.35">
      <c r="A9" t="s">
        <v>99</v>
      </c>
      <c r="B9" t="s">
        <v>12</v>
      </c>
      <c r="C9" t="s">
        <v>100</v>
      </c>
      <c r="D9">
        <v>1</v>
      </c>
      <c r="E9">
        <v>23.928571428571399</v>
      </c>
      <c r="F9">
        <v>0</v>
      </c>
      <c r="G9">
        <v>100</v>
      </c>
      <c r="H9">
        <v>9.5769010899999998</v>
      </c>
      <c r="I9">
        <v>9.5769010899999998</v>
      </c>
      <c r="J9">
        <v>5</v>
      </c>
      <c r="K9">
        <v>40</v>
      </c>
      <c r="L9">
        <v>40</v>
      </c>
      <c r="M9">
        <v>0</v>
      </c>
      <c r="N9">
        <v>0</v>
      </c>
      <c r="O9">
        <v>175</v>
      </c>
      <c r="P9">
        <v>0</v>
      </c>
      <c r="Q9">
        <v>0</v>
      </c>
      <c r="R9" s="18">
        <f t="shared" si="5"/>
        <v>335</v>
      </c>
      <c r="S9">
        <v>175</v>
      </c>
      <c r="T9" s="18">
        <f t="shared" si="6"/>
        <v>1064.9999999999989</v>
      </c>
      <c r="U9">
        <v>17</v>
      </c>
      <c r="V9" s="20">
        <f t="shared" si="0"/>
        <v>0</v>
      </c>
      <c r="W9" s="20">
        <f t="shared" si="0"/>
        <v>23.928571428571448</v>
      </c>
      <c r="X9" s="18">
        <f t="shared" si="1"/>
        <v>9.6</v>
      </c>
      <c r="Y9">
        <v>0</v>
      </c>
      <c r="Z9">
        <v>100</v>
      </c>
      <c r="AA9">
        <v>0</v>
      </c>
      <c r="AB9">
        <v>0</v>
      </c>
      <c r="AC9">
        <v>2.4985714285714198</v>
      </c>
      <c r="AD9">
        <v>0</v>
      </c>
      <c r="AE9">
        <v>0</v>
      </c>
      <c r="AF9">
        <v>23.928571428571399</v>
      </c>
      <c r="AG9">
        <v>149.85714285714201</v>
      </c>
      <c r="AH9">
        <v>149.85714285714201</v>
      </c>
      <c r="AI9" s="20">
        <f t="shared" si="2"/>
        <v>149.25595238095261</v>
      </c>
      <c r="AJ9">
        <v>0</v>
      </c>
      <c r="AK9">
        <v>0</v>
      </c>
      <c r="AL9" s="20">
        <f t="shared" si="3"/>
        <v>0</v>
      </c>
      <c r="AM9">
        <v>2.49857142761525</v>
      </c>
      <c r="AN9" s="20">
        <f t="shared" si="4"/>
        <v>2.4925595238095259</v>
      </c>
      <c r="AO9">
        <v>0.99999999961731301</v>
      </c>
      <c r="AP9">
        <v>0.99999999961731301</v>
      </c>
      <c r="AQ9">
        <v>8</v>
      </c>
    </row>
    <row r="10" spans="1:43" x14ac:dyDescent="0.35">
      <c r="A10" t="s">
        <v>99</v>
      </c>
      <c r="B10" t="s">
        <v>12</v>
      </c>
      <c r="C10" t="s">
        <v>100</v>
      </c>
      <c r="D10">
        <v>1</v>
      </c>
      <c r="E10">
        <v>21.269841269841201</v>
      </c>
      <c r="F10">
        <v>0</v>
      </c>
      <c r="G10">
        <v>100</v>
      </c>
      <c r="H10">
        <v>9.5769010899999998</v>
      </c>
      <c r="I10">
        <v>9.5769010899999998</v>
      </c>
      <c r="J10">
        <v>5</v>
      </c>
      <c r="K10">
        <v>45</v>
      </c>
      <c r="L10">
        <v>45</v>
      </c>
      <c r="M10">
        <v>0</v>
      </c>
      <c r="N10">
        <v>0</v>
      </c>
      <c r="O10">
        <v>175</v>
      </c>
      <c r="P10">
        <v>0</v>
      </c>
      <c r="Q10">
        <v>0</v>
      </c>
      <c r="R10" s="18">
        <f t="shared" si="5"/>
        <v>335</v>
      </c>
      <c r="S10">
        <v>175</v>
      </c>
      <c r="T10" s="18">
        <f t="shared" si="6"/>
        <v>1239.9999999999989</v>
      </c>
      <c r="U10">
        <v>17</v>
      </c>
      <c r="V10" s="20">
        <f t="shared" si="0"/>
        <v>0</v>
      </c>
      <c r="W10" s="20">
        <f t="shared" si="0"/>
        <v>21.269841269841287</v>
      </c>
      <c r="X10" s="18">
        <f t="shared" si="1"/>
        <v>9.6</v>
      </c>
      <c r="Y10">
        <v>0</v>
      </c>
      <c r="Z10">
        <v>100</v>
      </c>
      <c r="AA10">
        <v>0</v>
      </c>
      <c r="AB10">
        <v>0</v>
      </c>
      <c r="AC10">
        <v>2.2209523809523799</v>
      </c>
      <c r="AD10">
        <v>0</v>
      </c>
      <c r="AE10">
        <v>0</v>
      </c>
      <c r="AF10">
        <v>21.269841269841201</v>
      </c>
      <c r="AG10">
        <v>122.095238095238</v>
      </c>
      <c r="AH10">
        <v>122.095238095238</v>
      </c>
      <c r="AI10" s="20">
        <f t="shared" si="2"/>
        <v>121.56084656084674</v>
      </c>
      <c r="AJ10" s="16">
        <v>2.2204460492503099E-14</v>
      </c>
      <c r="AK10">
        <v>0</v>
      </c>
      <c r="AL10" s="20">
        <f t="shared" si="3"/>
        <v>0</v>
      </c>
      <c r="AM10">
        <v>2.22095238010245</v>
      </c>
      <c r="AN10" s="20">
        <f t="shared" si="4"/>
        <v>2.2156084656084674</v>
      </c>
      <c r="AO10">
        <v>0.99999999961731301</v>
      </c>
      <c r="AP10">
        <v>0.99999999961731301</v>
      </c>
      <c r="AQ10">
        <v>9</v>
      </c>
    </row>
    <row r="11" spans="1:43" x14ac:dyDescent="0.35">
      <c r="A11" t="s">
        <v>99</v>
      </c>
      <c r="B11" t="s">
        <v>12</v>
      </c>
      <c r="C11" t="s">
        <v>100</v>
      </c>
      <c r="D11">
        <v>1</v>
      </c>
      <c r="E11">
        <v>19.153802172670101</v>
      </c>
      <c r="F11">
        <v>0</v>
      </c>
      <c r="G11">
        <v>100</v>
      </c>
      <c r="H11">
        <v>9.5769010899999998</v>
      </c>
      <c r="I11">
        <v>9.5769010899999998</v>
      </c>
      <c r="J11">
        <v>5</v>
      </c>
      <c r="K11">
        <v>50</v>
      </c>
      <c r="L11">
        <v>50</v>
      </c>
      <c r="M11">
        <v>0</v>
      </c>
      <c r="N11">
        <v>0</v>
      </c>
      <c r="O11">
        <v>174</v>
      </c>
      <c r="P11">
        <v>0</v>
      </c>
      <c r="Q11">
        <v>0</v>
      </c>
      <c r="R11" s="18">
        <f t="shared" si="5"/>
        <v>335</v>
      </c>
      <c r="S11">
        <v>174</v>
      </c>
      <c r="T11" s="18">
        <f t="shared" si="6"/>
        <v>1413.9999999999989</v>
      </c>
      <c r="U11">
        <v>17</v>
      </c>
      <c r="V11" s="20">
        <f t="shared" si="0"/>
        <v>0</v>
      </c>
      <c r="W11" s="20">
        <f t="shared" si="0"/>
        <v>19.153802172670108</v>
      </c>
      <c r="X11" s="18">
        <f t="shared" si="1"/>
        <v>9.6</v>
      </c>
      <c r="Y11">
        <v>0</v>
      </c>
      <c r="Z11">
        <v>100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19.153802172670002</v>
      </c>
      <c r="AG11">
        <v>100</v>
      </c>
      <c r="AH11">
        <v>100</v>
      </c>
      <c r="AI11" s="20">
        <f t="shared" si="2"/>
        <v>99.518772631980298</v>
      </c>
      <c r="AJ11" s="16">
        <v>2.2204460492503099E-14</v>
      </c>
      <c r="AK11">
        <v>0</v>
      </c>
      <c r="AL11" s="20">
        <f t="shared" si="3"/>
        <v>0</v>
      </c>
      <c r="AM11">
        <v>1.99999999923462</v>
      </c>
      <c r="AN11" s="20">
        <f t="shared" si="4"/>
        <v>1.995187726319803</v>
      </c>
      <c r="AO11">
        <v>0.99999999961731301</v>
      </c>
      <c r="AP11">
        <v>0.99999999961731301</v>
      </c>
      <c r="AQ11">
        <v>10</v>
      </c>
    </row>
    <row r="12" spans="1:43" x14ac:dyDescent="0.35">
      <c r="A12" t="s">
        <v>99</v>
      </c>
      <c r="B12" t="s">
        <v>12</v>
      </c>
      <c r="C12" t="s">
        <v>100</v>
      </c>
      <c r="D12">
        <v>1</v>
      </c>
      <c r="E12">
        <v>17.411642411642401</v>
      </c>
      <c r="F12">
        <v>0</v>
      </c>
      <c r="G12">
        <v>100</v>
      </c>
      <c r="H12">
        <v>9.5769010899999998</v>
      </c>
      <c r="I12">
        <v>9.5769010899999998</v>
      </c>
      <c r="J12">
        <v>5</v>
      </c>
      <c r="K12">
        <v>55</v>
      </c>
      <c r="L12">
        <v>55</v>
      </c>
      <c r="M12">
        <v>0</v>
      </c>
      <c r="N12">
        <v>0</v>
      </c>
      <c r="O12">
        <v>175</v>
      </c>
      <c r="P12">
        <v>0</v>
      </c>
      <c r="Q12">
        <v>0</v>
      </c>
      <c r="R12" s="18">
        <f t="shared" si="5"/>
        <v>335</v>
      </c>
      <c r="S12">
        <v>175</v>
      </c>
      <c r="T12" s="18">
        <f t="shared" si="6"/>
        <v>1588.9999999999989</v>
      </c>
      <c r="U12">
        <v>17</v>
      </c>
      <c r="V12" s="20">
        <f t="shared" si="0"/>
        <v>0</v>
      </c>
      <c r="W12" s="20">
        <f t="shared" si="0"/>
        <v>17.411642411642422</v>
      </c>
      <c r="X12" s="18">
        <f t="shared" si="1"/>
        <v>9.6</v>
      </c>
      <c r="Y12">
        <v>0</v>
      </c>
      <c r="Z12">
        <v>100</v>
      </c>
      <c r="AA12">
        <v>0</v>
      </c>
      <c r="AB12">
        <v>0</v>
      </c>
      <c r="AC12">
        <v>1.8180873180873101</v>
      </c>
      <c r="AD12">
        <v>0</v>
      </c>
      <c r="AE12">
        <v>0</v>
      </c>
      <c r="AF12">
        <v>17.411642411642401</v>
      </c>
      <c r="AG12">
        <v>81.808731808731807</v>
      </c>
      <c r="AH12">
        <v>81.808731808731807</v>
      </c>
      <c r="AI12" s="20">
        <f t="shared" si="2"/>
        <v>81.371275121275247</v>
      </c>
      <c r="AJ12">
        <v>0</v>
      </c>
      <c r="AK12">
        <v>0</v>
      </c>
      <c r="AL12" s="20">
        <f t="shared" si="3"/>
        <v>0</v>
      </c>
      <c r="AM12">
        <v>1.8180873173915599</v>
      </c>
      <c r="AN12" s="20">
        <f t="shared" si="4"/>
        <v>1.8137127512127524</v>
      </c>
      <c r="AO12">
        <v>0.99999999961731301</v>
      </c>
      <c r="AP12">
        <v>0.99999999961731301</v>
      </c>
      <c r="AQ12">
        <v>11</v>
      </c>
    </row>
    <row r="13" spans="1:43" x14ac:dyDescent="0.35">
      <c r="A13" t="s">
        <v>99</v>
      </c>
      <c r="B13" t="s">
        <v>12</v>
      </c>
      <c r="C13" t="s">
        <v>100</v>
      </c>
      <c r="D13">
        <v>1</v>
      </c>
      <c r="E13">
        <v>15.9599809433063</v>
      </c>
      <c r="F13">
        <v>0</v>
      </c>
      <c r="G13">
        <v>100</v>
      </c>
      <c r="H13">
        <v>9.5769010899999998</v>
      </c>
      <c r="I13">
        <v>9.5769010899999998</v>
      </c>
      <c r="J13">
        <v>5</v>
      </c>
      <c r="K13">
        <v>60</v>
      </c>
      <c r="L13">
        <v>60</v>
      </c>
      <c r="M13">
        <v>0</v>
      </c>
      <c r="N13">
        <v>0</v>
      </c>
      <c r="O13">
        <v>175</v>
      </c>
      <c r="P13">
        <v>0</v>
      </c>
      <c r="Q13">
        <v>0</v>
      </c>
      <c r="R13" s="18">
        <f t="shared" si="5"/>
        <v>335</v>
      </c>
      <c r="S13">
        <v>175</v>
      </c>
      <c r="T13" s="18">
        <f t="shared" si="6"/>
        <v>1763.9999999999989</v>
      </c>
      <c r="U13">
        <v>17</v>
      </c>
      <c r="V13" s="20">
        <f t="shared" si="0"/>
        <v>0</v>
      </c>
      <c r="W13" s="20">
        <f t="shared" si="0"/>
        <v>15.959980943306343</v>
      </c>
      <c r="X13" s="18">
        <f t="shared" si="1"/>
        <v>9.6</v>
      </c>
      <c r="Y13">
        <v>0</v>
      </c>
      <c r="Z13">
        <v>100</v>
      </c>
      <c r="AA13">
        <v>0</v>
      </c>
      <c r="AB13">
        <v>0</v>
      </c>
      <c r="AC13">
        <v>1.6665078608861299</v>
      </c>
      <c r="AD13">
        <v>0</v>
      </c>
      <c r="AE13">
        <v>0</v>
      </c>
      <c r="AF13">
        <v>15.9599809433063</v>
      </c>
      <c r="AG13">
        <v>66.6507860886136</v>
      </c>
      <c r="AH13">
        <v>66.6507860886136</v>
      </c>
      <c r="AI13" s="20">
        <f t="shared" si="2"/>
        <v>66.249801492774424</v>
      </c>
      <c r="AJ13">
        <v>0</v>
      </c>
      <c r="AK13">
        <v>0</v>
      </c>
      <c r="AL13" s="20">
        <f t="shared" si="3"/>
        <v>0</v>
      </c>
      <c r="AM13">
        <v>1.66650786024838</v>
      </c>
      <c r="AN13" s="20">
        <f t="shared" si="4"/>
        <v>1.6624980149277442</v>
      </c>
      <c r="AO13">
        <v>0.99999999961731301</v>
      </c>
      <c r="AP13">
        <v>0.99999999961731301</v>
      </c>
      <c r="AQ13">
        <v>12</v>
      </c>
    </row>
    <row r="14" spans="1:43" x14ac:dyDescent="0.35">
      <c r="A14" t="s">
        <v>99</v>
      </c>
      <c r="B14" t="s">
        <v>12</v>
      </c>
      <c r="C14" t="s">
        <v>100</v>
      </c>
      <c r="D14">
        <v>1</v>
      </c>
      <c r="E14">
        <v>14.731750219876799</v>
      </c>
      <c r="F14">
        <v>0</v>
      </c>
      <c r="G14">
        <v>100</v>
      </c>
      <c r="H14">
        <v>9.5769010899999998</v>
      </c>
      <c r="I14">
        <v>9.5769010899999998</v>
      </c>
      <c r="J14">
        <v>5</v>
      </c>
      <c r="K14">
        <v>65</v>
      </c>
      <c r="L14">
        <v>65</v>
      </c>
      <c r="M14">
        <v>0</v>
      </c>
      <c r="N14">
        <v>0</v>
      </c>
      <c r="O14">
        <v>175</v>
      </c>
      <c r="P14">
        <v>0</v>
      </c>
      <c r="Q14">
        <v>0</v>
      </c>
      <c r="R14" s="18">
        <f t="shared" si="5"/>
        <v>335</v>
      </c>
      <c r="S14">
        <v>175</v>
      </c>
      <c r="T14" s="18">
        <f t="shared" si="6"/>
        <v>1938.9999999999989</v>
      </c>
      <c r="U14">
        <v>17</v>
      </c>
      <c r="V14" s="20">
        <f t="shared" si="0"/>
        <v>0</v>
      </c>
      <c r="W14" s="20">
        <f t="shared" si="0"/>
        <v>14.731750219876874</v>
      </c>
      <c r="X14" s="18">
        <f t="shared" si="1"/>
        <v>9.6</v>
      </c>
      <c r="Y14">
        <v>0</v>
      </c>
      <c r="Z14">
        <v>100</v>
      </c>
      <c r="AA14">
        <v>0</v>
      </c>
      <c r="AB14">
        <v>0</v>
      </c>
      <c r="AC14">
        <v>1.5382585751978799</v>
      </c>
      <c r="AD14">
        <v>0</v>
      </c>
      <c r="AE14">
        <v>0</v>
      </c>
      <c r="AF14">
        <v>14.731750219876799</v>
      </c>
      <c r="AG14">
        <v>53.825857519788897</v>
      </c>
      <c r="AH14">
        <v>53.825857519788897</v>
      </c>
      <c r="AI14" s="20">
        <f t="shared" si="2"/>
        <v>53.455731457050781</v>
      </c>
      <c r="AJ14" s="16">
        <v>2.2204460492503099E-14</v>
      </c>
      <c r="AK14">
        <v>0</v>
      </c>
      <c r="AL14" s="20">
        <f t="shared" si="3"/>
        <v>0</v>
      </c>
      <c r="AM14">
        <v>1.5382585746092099</v>
      </c>
      <c r="AN14" s="20">
        <f t="shared" si="4"/>
        <v>1.5345573145705078</v>
      </c>
      <c r="AO14">
        <v>0.99999999961731301</v>
      </c>
      <c r="AP14">
        <v>0.99999999961731301</v>
      </c>
      <c r="AQ14">
        <v>13</v>
      </c>
    </row>
    <row r="15" spans="1:43" x14ac:dyDescent="0.35">
      <c r="A15" t="s">
        <v>99</v>
      </c>
      <c r="B15" t="s">
        <v>12</v>
      </c>
      <c r="C15" t="s">
        <v>100</v>
      </c>
      <c r="D15">
        <v>1</v>
      </c>
      <c r="E15">
        <v>13.679052674560999</v>
      </c>
      <c r="F15">
        <v>0</v>
      </c>
      <c r="G15">
        <v>100</v>
      </c>
      <c r="H15">
        <v>9.5769010899999998</v>
      </c>
      <c r="I15">
        <v>9.5769010899999998</v>
      </c>
      <c r="J15">
        <v>5</v>
      </c>
      <c r="K15">
        <v>70</v>
      </c>
      <c r="L15">
        <v>70</v>
      </c>
      <c r="M15">
        <v>0</v>
      </c>
      <c r="N15">
        <v>0</v>
      </c>
      <c r="O15">
        <v>175</v>
      </c>
      <c r="P15">
        <v>0</v>
      </c>
      <c r="Q15">
        <v>0</v>
      </c>
      <c r="R15" s="18">
        <f t="shared" si="5"/>
        <v>335</v>
      </c>
      <c r="S15">
        <v>175</v>
      </c>
      <c r="T15" s="18">
        <f t="shared" si="6"/>
        <v>2113.9999999999991</v>
      </c>
      <c r="U15">
        <v>17</v>
      </c>
      <c r="V15" s="20">
        <f t="shared" si="0"/>
        <v>0</v>
      </c>
      <c r="W15" s="20">
        <f t="shared" si="0"/>
        <v>13.679052674561051</v>
      </c>
      <c r="X15" s="18">
        <f t="shared" si="1"/>
        <v>9.6</v>
      </c>
      <c r="Y15">
        <v>0</v>
      </c>
      <c r="Z15">
        <v>100</v>
      </c>
      <c r="AA15">
        <v>0</v>
      </c>
      <c r="AB15">
        <v>0</v>
      </c>
      <c r="AC15">
        <v>1.4283380971825199</v>
      </c>
      <c r="AD15">
        <v>0</v>
      </c>
      <c r="AE15">
        <v>0</v>
      </c>
      <c r="AF15">
        <v>13.679052674560999</v>
      </c>
      <c r="AG15">
        <v>42.833809718252297</v>
      </c>
      <c r="AH15">
        <v>42.833809718252297</v>
      </c>
      <c r="AI15" s="20">
        <f t="shared" si="2"/>
        <v>42.490132026677621</v>
      </c>
      <c r="AJ15" s="16">
        <v>2.2204460492503099E-14</v>
      </c>
      <c r="AK15">
        <v>0</v>
      </c>
      <c r="AL15" s="20">
        <f t="shared" si="3"/>
        <v>0</v>
      </c>
      <c r="AM15">
        <v>1.42833809663591</v>
      </c>
      <c r="AN15" s="20">
        <f t="shared" si="4"/>
        <v>1.4249013202667762</v>
      </c>
      <c r="AO15">
        <v>0.99999999961731301</v>
      </c>
      <c r="AP15">
        <v>0.99999999961731301</v>
      </c>
      <c r="AQ15">
        <v>14</v>
      </c>
    </row>
    <row r="16" spans="1:43" x14ac:dyDescent="0.35">
      <c r="A16" t="s">
        <v>99</v>
      </c>
      <c r="B16" t="s">
        <v>12</v>
      </c>
      <c r="C16" t="s">
        <v>100</v>
      </c>
      <c r="D16">
        <v>1</v>
      </c>
      <c r="E16">
        <v>12.766768292682899</v>
      </c>
      <c r="F16">
        <v>0</v>
      </c>
      <c r="G16">
        <v>100</v>
      </c>
      <c r="H16">
        <v>9.5769010899999998</v>
      </c>
      <c r="I16">
        <v>9.5769010899999998</v>
      </c>
      <c r="J16">
        <v>5</v>
      </c>
      <c r="K16">
        <v>75</v>
      </c>
      <c r="L16">
        <v>75</v>
      </c>
      <c r="M16">
        <v>0</v>
      </c>
      <c r="N16">
        <v>0</v>
      </c>
      <c r="O16">
        <v>175</v>
      </c>
      <c r="P16">
        <v>0</v>
      </c>
      <c r="Q16">
        <v>0</v>
      </c>
      <c r="R16" s="18">
        <f t="shared" si="5"/>
        <v>335</v>
      </c>
      <c r="S16">
        <v>175</v>
      </c>
      <c r="T16" s="18">
        <f t="shared" si="6"/>
        <v>2288.9999999999991</v>
      </c>
      <c r="U16">
        <v>17</v>
      </c>
      <c r="V16" s="20">
        <f t="shared" si="0"/>
        <v>0</v>
      </c>
      <c r="W16" s="20">
        <f t="shared" si="0"/>
        <v>12.766768292682931</v>
      </c>
      <c r="X16" s="18">
        <f t="shared" si="1"/>
        <v>9.6</v>
      </c>
      <c r="Y16">
        <v>0</v>
      </c>
      <c r="Z16">
        <v>100</v>
      </c>
      <c r="AA16">
        <v>0</v>
      </c>
      <c r="AB16">
        <v>0</v>
      </c>
      <c r="AC16">
        <v>1.33307926829268</v>
      </c>
      <c r="AD16">
        <v>0</v>
      </c>
      <c r="AE16">
        <v>0</v>
      </c>
      <c r="AF16">
        <v>12.766768292682899</v>
      </c>
      <c r="AG16">
        <v>33.307926829268197</v>
      </c>
      <c r="AH16">
        <v>33.307926829268297</v>
      </c>
      <c r="AI16" s="20">
        <f t="shared" si="2"/>
        <v>32.987169715447195</v>
      </c>
      <c r="AJ16" s="16">
        <v>2.2204460492503099E-14</v>
      </c>
      <c r="AK16">
        <v>0</v>
      </c>
      <c r="AL16" s="20">
        <f t="shared" si="3"/>
        <v>0</v>
      </c>
      <c r="AM16">
        <v>1.3330792677825301</v>
      </c>
      <c r="AN16" s="20">
        <f t="shared" si="4"/>
        <v>1.329871697154472</v>
      </c>
      <c r="AO16">
        <v>0.99999999961731301</v>
      </c>
      <c r="AP16">
        <v>0.99999999961731301</v>
      </c>
      <c r="AQ16">
        <v>15</v>
      </c>
    </row>
    <row r="17" spans="1:43" x14ac:dyDescent="0.35">
      <c r="A17" t="s">
        <v>99</v>
      </c>
      <c r="B17" t="s">
        <v>12</v>
      </c>
      <c r="C17" t="s">
        <v>100</v>
      </c>
      <c r="D17">
        <v>1</v>
      </c>
      <c r="E17">
        <v>11.9685602000714</v>
      </c>
      <c r="F17">
        <v>0</v>
      </c>
      <c r="G17">
        <v>100</v>
      </c>
      <c r="H17">
        <v>9.5769010899999998</v>
      </c>
      <c r="I17">
        <v>9.5769010899999998</v>
      </c>
      <c r="J17">
        <v>5</v>
      </c>
      <c r="K17">
        <v>80</v>
      </c>
      <c r="L17">
        <v>80</v>
      </c>
      <c r="M17">
        <v>0</v>
      </c>
      <c r="N17">
        <v>0</v>
      </c>
      <c r="O17">
        <v>175</v>
      </c>
      <c r="P17">
        <v>0</v>
      </c>
      <c r="Q17">
        <v>0</v>
      </c>
      <c r="R17" s="18">
        <f t="shared" si="5"/>
        <v>335</v>
      </c>
      <c r="S17">
        <v>175</v>
      </c>
      <c r="T17" s="18">
        <f t="shared" si="6"/>
        <v>2463.9999999999991</v>
      </c>
      <c r="U17">
        <v>16</v>
      </c>
      <c r="V17" s="20">
        <f t="shared" si="0"/>
        <v>0</v>
      </c>
      <c r="W17" s="20">
        <f t="shared" si="0"/>
        <v>11.968560200071458</v>
      </c>
      <c r="X17" s="18">
        <f t="shared" si="1"/>
        <v>9.6</v>
      </c>
      <c r="Y17">
        <v>0</v>
      </c>
      <c r="Z17">
        <v>100</v>
      </c>
      <c r="AA17">
        <v>0</v>
      </c>
      <c r="AB17">
        <v>0</v>
      </c>
      <c r="AC17">
        <v>1.24973204715969</v>
      </c>
      <c r="AD17">
        <v>0</v>
      </c>
      <c r="AE17">
        <v>0</v>
      </c>
      <c r="AF17">
        <v>11.9685602000714</v>
      </c>
      <c r="AG17">
        <v>24.973204715969999</v>
      </c>
      <c r="AH17">
        <v>24.973204715969999</v>
      </c>
      <c r="AI17" s="20">
        <f t="shared" si="2"/>
        <v>24.672502084077696</v>
      </c>
      <c r="AJ17">
        <v>0</v>
      </c>
      <c r="AK17">
        <v>0</v>
      </c>
      <c r="AL17" s="20">
        <f t="shared" si="3"/>
        <v>0</v>
      </c>
      <c r="AM17">
        <v>1.2497320466814399</v>
      </c>
      <c r="AN17" s="20">
        <f t="shared" si="4"/>
        <v>1.246725020840777</v>
      </c>
      <c r="AO17">
        <v>0.99999999961731301</v>
      </c>
      <c r="AP17">
        <v>0.99999999961731301</v>
      </c>
      <c r="AQ17">
        <v>16</v>
      </c>
    </row>
    <row r="18" spans="1:43" x14ac:dyDescent="0.35">
      <c r="A18" t="s">
        <v>99</v>
      </c>
      <c r="B18" t="s">
        <v>12</v>
      </c>
      <c r="C18" t="s">
        <v>100</v>
      </c>
      <c r="D18">
        <v>1</v>
      </c>
      <c r="E18">
        <v>11.264290517821101</v>
      </c>
      <c r="F18">
        <v>0</v>
      </c>
      <c r="G18">
        <v>100</v>
      </c>
      <c r="H18">
        <v>9.5769010899999998</v>
      </c>
      <c r="I18">
        <v>9.5769010899999998</v>
      </c>
      <c r="J18">
        <v>5</v>
      </c>
      <c r="K18">
        <v>85</v>
      </c>
      <c r="L18">
        <v>85</v>
      </c>
      <c r="M18">
        <v>0</v>
      </c>
      <c r="N18">
        <v>0</v>
      </c>
      <c r="O18">
        <v>175</v>
      </c>
      <c r="P18">
        <v>0</v>
      </c>
      <c r="Q18">
        <v>0</v>
      </c>
      <c r="R18" s="18">
        <f t="shared" si="5"/>
        <v>335</v>
      </c>
      <c r="S18">
        <v>175</v>
      </c>
      <c r="T18" s="18">
        <f t="shared" si="6"/>
        <v>2638.9999999999991</v>
      </c>
      <c r="U18">
        <v>16</v>
      </c>
      <c r="V18" s="20">
        <f t="shared" si="0"/>
        <v>0</v>
      </c>
      <c r="W18" s="20">
        <f t="shared" si="0"/>
        <v>11.26429051782112</v>
      </c>
      <c r="X18" s="18">
        <f t="shared" si="1"/>
        <v>9.6</v>
      </c>
      <c r="Y18">
        <v>0</v>
      </c>
      <c r="Z18">
        <v>100</v>
      </c>
      <c r="AA18">
        <v>0</v>
      </c>
      <c r="AB18">
        <v>0</v>
      </c>
      <c r="AC18">
        <v>1.1761936785474101</v>
      </c>
      <c r="AD18">
        <v>0</v>
      </c>
      <c r="AE18">
        <v>0</v>
      </c>
      <c r="AF18">
        <v>11.264290517821101</v>
      </c>
      <c r="AG18">
        <v>17.619367854741</v>
      </c>
      <c r="AH18">
        <v>17.619367854741</v>
      </c>
      <c r="AI18" s="20">
        <f t="shared" si="2"/>
        <v>17.336359560636684</v>
      </c>
      <c r="AJ18">
        <v>0</v>
      </c>
      <c r="AK18">
        <v>0</v>
      </c>
      <c r="AL18" s="20">
        <f t="shared" si="3"/>
        <v>0</v>
      </c>
      <c r="AM18">
        <v>1.1761936780972899</v>
      </c>
      <c r="AN18" s="20">
        <f t="shared" si="4"/>
        <v>1.1733635956063668</v>
      </c>
      <c r="AO18">
        <v>0.99999999961731301</v>
      </c>
      <c r="AP18">
        <v>0.99999999961731301</v>
      </c>
      <c r="AQ18">
        <v>17</v>
      </c>
    </row>
    <row r="19" spans="1:43" x14ac:dyDescent="0.35">
      <c r="A19" t="s">
        <v>99</v>
      </c>
      <c r="B19" t="s">
        <v>12</v>
      </c>
      <c r="C19" t="s">
        <v>100</v>
      </c>
      <c r="D19">
        <v>1</v>
      </c>
      <c r="E19">
        <v>10.6382978723404</v>
      </c>
      <c r="F19">
        <v>0</v>
      </c>
      <c r="G19">
        <v>100</v>
      </c>
      <c r="H19">
        <v>9.5769010899999998</v>
      </c>
      <c r="I19">
        <v>9.5769010899999998</v>
      </c>
      <c r="J19">
        <v>5</v>
      </c>
      <c r="K19">
        <v>90</v>
      </c>
      <c r="L19">
        <v>90</v>
      </c>
      <c r="M19">
        <v>0</v>
      </c>
      <c r="N19">
        <v>0</v>
      </c>
      <c r="O19">
        <v>175</v>
      </c>
      <c r="P19">
        <v>0</v>
      </c>
      <c r="Q19">
        <v>0</v>
      </c>
      <c r="R19" s="18">
        <f t="shared" si="5"/>
        <v>335</v>
      </c>
      <c r="S19">
        <v>175</v>
      </c>
      <c r="T19" s="18">
        <f t="shared" si="6"/>
        <v>2813.9999999999991</v>
      </c>
      <c r="U19">
        <v>16</v>
      </c>
      <c r="V19" s="20">
        <f t="shared" si="0"/>
        <v>0</v>
      </c>
      <c r="W19" s="20">
        <f t="shared" si="0"/>
        <v>10.638297872340429</v>
      </c>
      <c r="X19" s="18">
        <f t="shared" si="1"/>
        <v>9.6</v>
      </c>
      <c r="Y19">
        <v>0</v>
      </c>
      <c r="Z19">
        <v>100</v>
      </c>
      <c r="AA19">
        <v>0</v>
      </c>
      <c r="AB19">
        <v>0</v>
      </c>
      <c r="AC19">
        <v>1.1108288345506501</v>
      </c>
      <c r="AD19">
        <v>0</v>
      </c>
      <c r="AE19">
        <v>0</v>
      </c>
      <c r="AF19">
        <v>10.6382978723404</v>
      </c>
      <c r="AG19">
        <v>11.082883455065099</v>
      </c>
      <c r="AH19">
        <v>11.082883455065099</v>
      </c>
      <c r="AI19" s="20">
        <f t="shared" si="2"/>
        <v>10.815602836879478</v>
      </c>
      <c r="AJ19" s="16">
        <v>2.2204460492503099E-14</v>
      </c>
      <c r="AK19">
        <v>0</v>
      </c>
      <c r="AL19" s="20">
        <f t="shared" si="3"/>
        <v>0</v>
      </c>
      <c r="AM19">
        <v>1.1108288341255499</v>
      </c>
      <c r="AN19" s="20">
        <f t="shared" si="4"/>
        <v>1.1081560283687948</v>
      </c>
      <c r="AO19">
        <v>0.99999999961731301</v>
      </c>
      <c r="AP19">
        <v>0.99999999961731301</v>
      </c>
      <c r="AQ19">
        <v>18</v>
      </c>
    </row>
    <row r="20" spans="1:43" x14ac:dyDescent="0.35">
      <c r="A20" t="s">
        <v>99</v>
      </c>
      <c r="B20" t="s">
        <v>12</v>
      </c>
      <c r="C20" t="s">
        <v>100</v>
      </c>
      <c r="D20">
        <v>1</v>
      </c>
      <c r="E20">
        <v>10.078219013237</v>
      </c>
      <c r="F20">
        <v>0</v>
      </c>
      <c r="G20">
        <v>100</v>
      </c>
      <c r="H20">
        <v>9.5769010899999998</v>
      </c>
      <c r="I20">
        <v>9.5769010899999998</v>
      </c>
      <c r="J20">
        <v>5</v>
      </c>
      <c r="K20">
        <v>95</v>
      </c>
      <c r="L20">
        <v>95</v>
      </c>
      <c r="M20">
        <v>0</v>
      </c>
      <c r="N20">
        <v>0</v>
      </c>
      <c r="O20">
        <v>175</v>
      </c>
      <c r="P20">
        <v>0</v>
      </c>
      <c r="Q20">
        <v>0</v>
      </c>
      <c r="R20" s="18">
        <f t="shared" si="5"/>
        <v>335</v>
      </c>
      <c r="S20">
        <v>175</v>
      </c>
      <c r="T20" s="18">
        <f t="shared" si="6"/>
        <v>2988.9999999999991</v>
      </c>
      <c r="U20">
        <v>16</v>
      </c>
      <c r="V20" s="20">
        <f t="shared" si="0"/>
        <v>0</v>
      </c>
      <c r="W20" s="20">
        <f t="shared" si="0"/>
        <v>10.078219013237067</v>
      </c>
      <c r="X20" s="18">
        <f t="shared" si="1"/>
        <v>9.6</v>
      </c>
      <c r="Y20">
        <v>0</v>
      </c>
      <c r="Z20">
        <v>100</v>
      </c>
      <c r="AA20">
        <v>0</v>
      </c>
      <c r="AB20">
        <v>0</v>
      </c>
      <c r="AC20">
        <v>1.05234657039711</v>
      </c>
      <c r="AD20">
        <v>0</v>
      </c>
      <c r="AE20">
        <v>0</v>
      </c>
      <c r="AF20">
        <v>10.078219013237</v>
      </c>
      <c r="AG20">
        <v>5.2346570397111902</v>
      </c>
      <c r="AH20">
        <v>5.2346570397111902</v>
      </c>
      <c r="AI20" s="20">
        <f t="shared" si="2"/>
        <v>4.9814480545527839</v>
      </c>
      <c r="AJ20" s="16">
        <v>2.2204460492503099E-14</v>
      </c>
      <c r="AK20">
        <v>0</v>
      </c>
      <c r="AL20" s="20">
        <f t="shared" si="3"/>
        <v>0</v>
      </c>
      <c r="AM20">
        <v>1.0523465699943899</v>
      </c>
      <c r="AN20" s="20">
        <f t="shared" si="4"/>
        <v>1.0498144805455278</v>
      </c>
      <c r="AO20">
        <v>0.99999999961731301</v>
      </c>
      <c r="AP20">
        <v>0.99999999961731301</v>
      </c>
      <c r="AQ20">
        <v>19</v>
      </c>
    </row>
    <row r="21" spans="1:43" x14ac:dyDescent="0.35">
      <c r="A21" t="s">
        <v>99</v>
      </c>
      <c r="B21" t="s">
        <v>12</v>
      </c>
      <c r="C21" t="s">
        <v>100</v>
      </c>
      <c r="D21">
        <v>1</v>
      </c>
      <c r="E21">
        <v>9.5769010863350506</v>
      </c>
      <c r="F21">
        <v>0</v>
      </c>
      <c r="G21">
        <v>100</v>
      </c>
      <c r="H21">
        <v>9.5769010899999998</v>
      </c>
      <c r="I21">
        <v>9.5769010899999998</v>
      </c>
      <c r="J21">
        <v>5</v>
      </c>
      <c r="K21">
        <v>100</v>
      </c>
      <c r="L21">
        <v>100</v>
      </c>
      <c r="M21">
        <v>0</v>
      </c>
      <c r="N21">
        <v>0</v>
      </c>
      <c r="O21">
        <v>174</v>
      </c>
      <c r="P21">
        <v>0</v>
      </c>
      <c r="Q21">
        <v>0</v>
      </c>
      <c r="R21" s="18">
        <f t="shared" si="5"/>
        <v>335</v>
      </c>
      <c r="S21">
        <v>174</v>
      </c>
      <c r="T21" s="18">
        <f t="shared" si="6"/>
        <v>3162.9999999999991</v>
      </c>
      <c r="U21">
        <v>16</v>
      </c>
      <c r="V21" s="20">
        <f t="shared" si="0"/>
        <v>0</v>
      </c>
      <c r="W21" s="23">
        <f>R21/(R21+T21)*100</f>
        <v>9.5769010863350523</v>
      </c>
      <c r="X21" s="18">
        <f t="shared" si="1"/>
        <v>9.6</v>
      </c>
      <c r="Y21">
        <v>0</v>
      </c>
      <c r="Z21">
        <v>100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9.5769010863350399</v>
      </c>
      <c r="AG21" s="16">
        <v>2.2204460492503099E-14</v>
      </c>
      <c r="AH21" s="16">
        <v>2.2204460492503099E-14</v>
      </c>
      <c r="AI21" s="20">
        <f t="shared" si="2"/>
        <v>-0.2406136840098716</v>
      </c>
      <c r="AJ21" s="16">
        <v>2.2204460492503099E-14</v>
      </c>
      <c r="AK21">
        <v>0</v>
      </c>
      <c r="AL21" s="20">
        <f t="shared" si="3"/>
        <v>0</v>
      </c>
      <c r="AM21">
        <v>0.99999999961731301</v>
      </c>
      <c r="AN21" s="20">
        <f t="shared" si="4"/>
        <v>0.99759386315990128</v>
      </c>
      <c r="AO21">
        <v>0.99999999961731301</v>
      </c>
      <c r="AP21">
        <v>0.99999999961731301</v>
      </c>
      <c r="AQ21">
        <v>20</v>
      </c>
    </row>
    <row r="22" spans="1:43" x14ac:dyDescent="0.35">
      <c r="A22" t="s">
        <v>99</v>
      </c>
      <c r="B22" t="s">
        <v>12</v>
      </c>
      <c r="C22" t="s">
        <v>101</v>
      </c>
      <c r="D22">
        <v>1</v>
      </c>
      <c r="E22">
        <v>100</v>
      </c>
      <c r="F22">
        <v>52.413793103448199</v>
      </c>
      <c r="G22">
        <v>52.413793103448199</v>
      </c>
      <c r="H22">
        <v>9.6537949399999992</v>
      </c>
      <c r="I22">
        <v>9.6537949399999992</v>
      </c>
      <c r="J22">
        <v>5</v>
      </c>
      <c r="K22">
        <v>5</v>
      </c>
      <c r="L22">
        <v>5</v>
      </c>
      <c r="M22">
        <v>1</v>
      </c>
      <c r="N22">
        <v>1</v>
      </c>
      <c r="O22">
        <v>76</v>
      </c>
      <c r="P22">
        <v>1</v>
      </c>
      <c r="Q22">
        <v>76</v>
      </c>
      <c r="R22" s="18">
        <f t="shared" si="5"/>
        <v>411</v>
      </c>
      <c r="S22">
        <v>0</v>
      </c>
      <c r="T22" s="18">
        <f t="shared" si="6"/>
        <v>3162.9999999999991</v>
      </c>
      <c r="U22">
        <v>8</v>
      </c>
      <c r="V22" s="20">
        <f t="shared" ref="V22:V41" si="7">Q22/(Q22+S22)*100</f>
        <v>100</v>
      </c>
      <c r="W22" s="23">
        <f t="shared" ref="W22:W41" si="8">R22/(R22+T22)*100</f>
        <v>11.499720201454956</v>
      </c>
      <c r="X22" s="18">
        <f t="shared" si="1"/>
        <v>9.6</v>
      </c>
      <c r="Y22">
        <v>76</v>
      </c>
      <c r="Z22">
        <v>52.413793103448199</v>
      </c>
      <c r="AA22">
        <v>52.413793103448199</v>
      </c>
      <c r="AB22">
        <v>10.358620689655099</v>
      </c>
      <c r="AC22">
        <v>10.358620689655099</v>
      </c>
      <c r="AD22">
        <v>100</v>
      </c>
      <c r="AE22">
        <v>100</v>
      </c>
      <c r="AF22">
        <v>100</v>
      </c>
      <c r="AG22">
        <v>935.86206896551698</v>
      </c>
      <c r="AH22">
        <v>935.86206896551698</v>
      </c>
      <c r="AI22" s="20">
        <f t="shared" si="2"/>
        <v>19.788752098489137</v>
      </c>
      <c r="AJ22">
        <v>0</v>
      </c>
      <c r="AK22">
        <v>10.358620689740899</v>
      </c>
      <c r="AL22" s="20">
        <f t="shared" si="3"/>
        <v>10.416666666666668</v>
      </c>
      <c r="AM22">
        <v>10.358620689740899</v>
      </c>
      <c r="AN22" s="20">
        <f t="shared" si="4"/>
        <v>1.1978875209848914</v>
      </c>
      <c r="AO22">
        <v>1.0000000000082701</v>
      </c>
      <c r="AP22">
        <v>1.0000000000082701</v>
      </c>
      <c r="AQ22">
        <v>1</v>
      </c>
    </row>
    <row r="23" spans="1:43" x14ac:dyDescent="0.35">
      <c r="A23" t="s">
        <v>99</v>
      </c>
      <c r="B23" t="s">
        <v>12</v>
      </c>
      <c r="C23" t="s">
        <v>101</v>
      </c>
      <c r="D23">
        <v>1</v>
      </c>
      <c r="E23">
        <v>87.591495294527604</v>
      </c>
      <c r="F23">
        <v>38.802177858439101</v>
      </c>
      <c r="G23">
        <v>91.215970961887393</v>
      </c>
      <c r="H23">
        <v>9.6537949399999992</v>
      </c>
      <c r="I23">
        <v>9.6537949399999992</v>
      </c>
      <c r="J23">
        <v>5</v>
      </c>
      <c r="K23">
        <v>10</v>
      </c>
      <c r="L23">
        <v>10</v>
      </c>
      <c r="M23">
        <v>0.11392405063291</v>
      </c>
      <c r="N23">
        <v>1</v>
      </c>
      <c r="O23">
        <v>75</v>
      </c>
      <c r="P23">
        <v>0.82031070195626798</v>
      </c>
      <c r="Q23">
        <v>56.2631578947368</v>
      </c>
      <c r="R23" s="18">
        <f t="shared" si="5"/>
        <v>467.26315789473682</v>
      </c>
      <c r="S23">
        <v>18.736842105263101</v>
      </c>
      <c r="T23" s="18">
        <f t="shared" si="6"/>
        <v>3181.736842105262</v>
      </c>
      <c r="U23">
        <v>8</v>
      </c>
      <c r="V23" s="20">
        <f t="shared" si="7"/>
        <v>75.017543859649166</v>
      </c>
      <c r="W23" s="23">
        <f t="shared" si="8"/>
        <v>12.805238637838778</v>
      </c>
      <c r="X23" s="18">
        <f t="shared" si="1"/>
        <v>9.6</v>
      </c>
      <c r="Y23">
        <v>69</v>
      </c>
      <c r="Z23">
        <v>100</v>
      </c>
      <c r="AA23">
        <v>47.586206896551701</v>
      </c>
      <c r="AB23">
        <v>9.5172413793103399</v>
      </c>
      <c r="AC23">
        <v>9.9470198675496597</v>
      </c>
      <c r="AD23">
        <v>92</v>
      </c>
      <c r="AE23">
        <v>75.017543859649095</v>
      </c>
      <c r="AF23">
        <v>96.026490066225094</v>
      </c>
      <c r="AG23">
        <v>894.70198675496601</v>
      </c>
      <c r="AH23">
        <v>807.327075395728</v>
      </c>
      <c r="AI23" s="20">
        <f t="shared" si="2"/>
        <v>33.387902477487287</v>
      </c>
      <c r="AJ23">
        <v>0</v>
      </c>
      <c r="AK23">
        <v>7.7707828191810604</v>
      </c>
      <c r="AL23" s="20">
        <f t="shared" si="3"/>
        <v>7.8143274853801215</v>
      </c>
      <c r="AM23">
        <v>9.0732707540323698</v>
      </c>
      <c r="AN23" s="20">
        <f t="shared" si="4"/>
        <v>1.3338790247748729</v>
      </c>
      <c r="AO23">
        <v>1.0000000000082701</v>
      </c>
      <c r="AP23">
        <v>1.0000000000082701</v>
      </c>
      <c r="AQ23">
        <v>2</v>
      </c>
    </row>
    <row r="24" spans="1:43" x14ac:dyDescent="0.35">
      <c r="A24" t="s">
        <v>99</v>
      </c>
      <c r="B24" t="s">
        <v>12</v>
      </c>
      <c r="C24" t="s">
        <v>101</v>
      </c>
      <c r="D24">
        <v>1</v>
      </c>
      <c r="E24">
        <v>63.035398230088397</v>
      </c>
      <c r="F24">
        <v>7.0323049001814901</v>
      </c>
      <c r="G24">
        <v>98.248275862068894</v>
      </c>
      <c r="H24">
        <v>9.6537949399999992</v>
      </c>
      <c r="I24">
        <v>9.6537949399999992</v>
      </c>
      <c r="J24">
        <v>5</v>
      </c>
      <c r="K24">
        <v>15</v>
      </c>
      <c r="L24">
        <v>15</v>
      </c>
      <c r="M24">
        <v>8.0645161290319997E-2</v>
      </c>
      <c r="N24">
        <v>0.11392405063291</v>
      </c>
      <c r="O24">
        <v>75</v>
      </c>
      <c r="P24">
        <v>9.66190281747632E-2</v>
      </c>
      <c r="Q24">
        <v>10.1968421052631</v>
      </c>
      <c r="R24" s="18">
        <f t="shared" si="5"/>
        <v>477.45999999999992</v>
      </c>
      <c r="S24">
        <v>64.803157894736799</v>
      </c>
      <c r="T24" s="18">
        <f t="shared" si="6"/>
        <v>3246.5399999999986</v>
      </c>
      <c r="U24">
        <v>8</v>
      </c>
      <c r="V24" s="20">
        <f t="shared" si="7"/>
        <v>13.59578947368415</v>
      </c>
      <c r="W24" s="23">
        <f t="shared" si="8"/>
        <v>12.821160042964557</v>
      </c>
      <c r="X24" s="18">
        <f t="shared" si="1"/>
        <v>9.6</v>
      </c>
      <c r="Y24">
        <v>0</v>
      </c>
      <c r="Z24">
        <v>100</v>
      </c>
      <c r="AA24">
        <v>0</v>
      </c>
      <c r="AB24">
        <v>0</v>
      </c>
      <c r="AC24">
        <v>6.6460176991150401</v>
      </c>
      <c r="AD24">
        <v>0</v>
      </c>
      <c r="AE24">
        <v>13.595789473684199</v>
      </c>
      <c r="AF24">
        <v>64.159292035398195</v>
      </c>
      <c r="AG24">
        <v>564.60176991150399</v>
      </c>
      <c r="AH24">
        <v>552.95978028684704</v>
      </c>
      <c r="AI24" s="20">
        <f t="shared" si="2"/>
        <v>33.553750447547472</v>
      </c>
      <c r="AJ24">
        <v>0</v>
      </c>
      <c r="AK24">
        <v>1.4083362613546599</v>
      </c>
      <c r="AL24" s="20">
        <f t="shared" si="3"/>
        <v>1.4162280701754324</v>
      </c>
      <c r="AM24">
        <v>6.5295978029225097</v>
      </c>
      <c r="AN24" s="20">
        <f t="shared" si="4"/>
        <v>1.3355375044754747</v>
      </c>
      <c r="AO24">
        <v>1.0000000000082701</v>
      </c>
      <c r="AP24">
        <v>1.0000000000082701</v>
      </c>
      <c r="AQ24">
        <v>3</v>
      </c>
    </row>
    <row r="25" spans="1:43" x14ac:dyDescent="0.35">
      <c r="A25" t="s">
        <v>99</v>
      </c>
      <c r="B25" t="s">
        <v>12</v>
      </c>
      <c r="C25" t="s">
        <v>101</v>
      </c>
      <c r="D25">
        <v>1</v>
      </c>
      <c r="E25">
        <v>48.172757475083003</v>
      </c>
      <c r="F25">
        <v>1.75172413793103</v>
      </c>
      <c r="G25">
        <v>99.999999999999901</v>
      </c>
      <c r="H25">
        <v>9.6537949399999992</v>
      </c>
      <c r="I25">
        <v>9.6537949399999992</v>
      </c>
      <c r="J25">
        <v>5</v>
      </c>
      <c r="K25">
        <v>20</v>
      </c>
      <c r="L25">
        <v>20</v>
      </c>
      <c r="M25">
        <v>0</v>
      </c>
      <c r="N25">
        <v>8.0645161290319997E-2</v>
      </c>
      <c r="O25">
        <v>75</v>
      </c>
      <c r="P25">
        <v>1.8494623655913402E-2</v>
      </c>
      <c r="Q25">
        <v>2.54</v>
      </c>
      <c r="R25" s="18">
        <f t="shared" si="5"/>
        <v>479.99999999999994</v>
      </c>
      <c r="S25">
        <v>72.459999999999994</v>
      </c>
      <c r="T25" s="18">
        <f t="shared" si="6"/>
        <v>3318.9999999999986</v>
      </c>
      <c r="U25">
        <v>8</v>
      </c>
      <c r="V25" s="20">
        <f t="shared" si="7"/>
        <v>3.3866666666666672</v>
      </c>
      <c r="W25" s="23">
        <f t="shared" si="8"/>
        <v>12.634903922084762</v>
      </c>
      <c r="X25" s="18">
        <f t="shared" si="1"/>
        <v>9.6</v>
      </c>
      <c r="Y25">
        <v>0</v>
      </c>
      <c r="Z25">
        <v>100</v>
      </c>
      <c r="AA25">
        <v>0</v>
      </c>
      <c r="AB25">
        <v>0</v>
      </c>
      <c r="AC25">
        <v>4.99003322259136</v>
      </c>
      <c r="AD25">
        <v>0</v>
      </c>
      <c r="AE25">
        <v>3.3866666666666601</v>
      </c>
      <c r="AF25">
        <v>48.172757475083003</v>
      </c>
      <c r="AG25">
        <v>399.00332225913598</v>
      </c>
      <c r="AH25">
        <v>399.00332225913598</v>
      </c>
      <c r="AI25" s="20">
        <f t="shared" si="2"/>
        <v>31.613582521716268</v>
      </c>
      <c r="AJ25">
        <v>0</v>
      </c>
      <c r="AK25">
        <v>0.35081195402589099</v>
      </c>
      <c r="AL25" s="20">
        <f t="shared" si="3"/>
        <v>0.35277777777777786</v>
      </c>
      <c r="AM25">
        <v>4.9900332226326496</v>
      </c>
      <c r="AN25" s="20">
        <f t="shared" si="4"/>
        <v>1.3161358252171627</v>
      </c>
      <c r="AO25">
        <v>1.0000000000082701</v>
      </c>
      <c r="AP25">
        <v>1.0000000000082701</v>
      </c>
      <c r="AQ25">
        <v>4</v>
      </c>
    </row>
    <row r="26" spans="1:43" x14ac:dyDescent="0.35">
      <c r="A26" t="s">
        <v>99</v>
      </c>
      <c r="B26" t="s">
        <v>12</v>
      </c>
      <c r="C26" t="s">
        <v>101</v>
      </c>
      <c r="D26">
        <v>1</v>
      </c>
      <c r="E26">
        <v>38.563829787233999</v>
      </c>
      <c r="F26">
        <v>0</v>
      </c>
      <c r="G26">
        <v>99.999999999999901</v>
      </c>
      <c r="H26">
        <v>9.6537949399999992</v>
      </c>
      <c r="I26">
        <v>9.6537949399999992</v>
      </c>
      <c r="J26">
        <v>5</v>
      </c>
      <c r="K26">
        <v>25</v>
      </c>
      <c r="L26">
        <v>25</v>
      </c>
      <c r="M26">
        <v>0</v>
      </c>
      <c r="N26">
        <v>0</v>
      </c>
      <c r="O26">
        <v>75</v>
      </c>
      <c r="P26">
        <v>0</v>
      </c>
      <c r="Q26">
        <v>0</v>
      </c>
      <c r="R26" s="18">
        <f t="shared" si="5"/>
        <v>479.99999999999994</v>
      </c>
      <c r="S26">
        <v>75</v>
      </c>
      <c r="T26" s="18">
        <f t="shared" si="6"/>
        <v>3393.9999999999986</v>
      </c>
      <c r="U26">
        <v>8</v>
      </c>
      <c r="V26" s="20">
        <f t="shared" si="7"/>
        <v>0</v>
      </c>
      <c r="W26" s="23">
        <f t="shared" si="8"/>
        <v>12.390294269488903</v>
      </c>
      <c r="X26" s="18">
        <f t="shared" si="1"/>
        <v>9.6</v>
      </c>
      <c r="Y26">
        <v>0</v>
      </c>
      <c r="Z26">
        <v>100</v>
      </c>
      <c r="AA26">
        <v>0</v>
      </c>
      <c r="AB26">
        <v>0</v>
      </c>
      <c r="AC26">
        <v>3.9946808510638299</v>
      </c>
      <c r="AD26">
        <v>0</v>
      </c>
      <c r="AE26">
        <v>0</v>
      </c>
      <c r="AF26">
        <v>38.563829787233999</v>
      </c>
      <c r="AG26">
        <v>299.46808510638198</v>
      </c>
      <c r="AH26">
        <v>299.46808510638198</v>
      </c>
      <c r="AI26" s="20">
        <f t="shared" si="2"/>
        <v>29.06556530717608</v>
      </c>
      <c r="AJ26">
        <v>0</v>
      </c>
      <c r="AK26">
        <v>0</v>
      </c>
      <c r="AL26" s="20">
        <f t="shared" si="3"/>
        <v>0</v>
      </c>
      <c r="AM26">
        <v>3.9946808510968799</v>
      </c>
      <c r="AN26" s="20">
        <f t="shared" si="4"/>
        <v>1.2906556530717608</v>
      </c>
      <c r="AO26">
        <v>1.0000000000082701</v>
      </c>
      <c r="AP26">
        <v>1.0000000000082701</v>
      </c>
      <c r="AQ26">
        <v>5</v>
      </c>
    </row>
    <row r="27" spans="1:43" x14ac:dyDescent="0.35">
      <c r="A27" t="s">
        <v>99</v>
      </c>
      <c r="B27" t="s">
        <v>12</v>
      </c>
      <c r="C27" t="s">
        <v>101</v>
      </c>
      <c r="D27">
        <v>1</v>
      </c>
      <c r="E27">
        <v>32.150776053214997</v>
      </c>
      <c r="F27">
        <v>0</v>
      </c>
      <c r="G27">
        <v>99.999999999999901</v>
      </c>
      <c r="H27">
        <v>9.6537949399999992</v>
      </c>
      <c r="I27">
        <v>9.6537949399999992</v>
      </c>
      <c r="J27">
        <v>5</v>
      </c>
      <c r="K27">
        <v>30</v>
      </c>
      <c r="L27">
        <v>30</v>
      </c>
      <c r="M27">
        <v>0</v>
      </c>
      <c r="N27">
        <v>0</v>
      </c>
      <c r="O27">
        <v>75</v>
      </c>
      <c r="P27">
        <v>0</v>
      </c>
      <c r="Q27">
        <v>0</v>
      </c>
      <c r="R27" s="18">
        <f t="shared" si="5"/>
        <v>479.99999999999994</v>
      </c>
      <c r="S27">
        <v>75</v>
      </c>
      <c r="T27" s="18">
        <f t="shared" si="6"/>
        <v>3468.9999999999986</v>
      </c>
      <c r="U27">
        <v>7</v>
      </c>
      <c r="V27" s="20">
        <f t="shared" si="7"/>
        <v>0</v>
      </c>
      <c r="W27" s="23">
        <f t="shared" si="8"/>
        <v>12.154975943276781</v>
      </c>
      <c r="X27" s="18">
        <f t="shared" si="1"/>
        <v>9.6</v>
      </c>
      <c r="Y27">
        <v>0</v>
      </c>
      <c r="Z27">
        <v>100</v>
      </c>
      <c r="AA27">
        <v>0</v>
      </c>
      <c r="AB27">
        <v>0</v>
      </c>
      <c r="AC27">
        <v>3.3303769401330299</v>
      </c>
      <c r="AD27">
        <v>0</v>
      </c>
      <c r="AE27">
        <v>0</v>
      </c>
      <c r="AF27">
        <v>32.150776053214997</v>
      </c>
      <c r="AG27">
        <v>233.037694013303</v>
      </c>
      <c r="AH27">
        <v>233.037694013303</v>
      </c>
      <c r="AI27" s="20">
        <f t="shared" si="2"/>
        <v>26.614332742466473</v>
      </c>
      <c r="AJ27">
        <v>0</v>
      </c>
      <c r="AK27">
        <v>0</v>
      </c>
      <c r="AL27" s="20">
        <f t="shared" si="3"/>
        <v>0</v>
      </c>
      <c r="AM27">
        <v>3.33037694016059</v>
      </c>
      <c r="AN27" s="20">
        <f t="shared" si="4"/>
        <v>1.2661433274246647</v>
      </c>
      <c r="AO27">
        <v>1.0000000000082701</v>
      </c>
      <c r="AP27">
        <v>1.0000000000082701</v>
      </c>
      <c r="AQ27">
        <v>6</v>
      </c>
    </row>
    <row r="28" spans="1:43" x14ac:dyDescent="0.35">
      <c r="A28" t="s">
        <v>99</v>
      </c>
      <c r="B28" t="s">
        <v>12</v>
      </c>
      <c r="C28" t="s">
        <v>101</v>
      </c>
      <c r="D28">
        <v>1</v>
      </c>
      <c r="E28">
        <v>27.566539923954299</v>
      </c>
      <c r="F28">
        <v>0</v>
      </c>
      <c r="G28">
        <v>99.999999999999901</v>
      </c>
      <c r="H28">
        <v>9.6537949399999992</v>
      </c>
      <c r="I28">
        <v>9.6537949399999992</v>
      </c>
      <c r="J28">
        <v>5</v>
      </c>
      <c r="K28">
        <v>35</v>
      </c>
      <c r="L28">
        <v>35</v>
      </c>
      <c r="M28">
        <v>0</v>
      </c>
      <c r="N28">
        <v>0</v>
      </c>
      <c r="O28">
        <v>75</v>
      </c>
      <c r="P28">
        <v>0</v>
      </c>
      <c r="Q28">
        <v>0</v>
      </c>
      <c r="R28" s="18">
        <f t="shared" si="5"/>
        <v>479.99999999999994</v>
      </c>
      <c r="S28">
        <v>75</v>
      </c>
      <c r="T28" s="18">
        <f t="shared" si="6"/>
        <v>3543.9999999999986</v>
      </c>
      <c r="U28">
        <v>7</v>
      </c>
      <c r="V28" s="20">
        <f t="shared" si="7"/>
        <v>0</v>
      </c>
      <c r="W28" s="23">
        <f t="shared" si="8"/>
        <v>11.928429423459248</v>
      </c>
      <c r="X28" s="18">
        <f t="shared" si="1"/>
        <v>9.6</v>
      </c>
      <c r="Y28">
        <v>0</v>
      </c>
      <c r="Z28">
        <v>100</v>
      </c>
      <c r="AA28">
        <v>0</v>
      </c>
      <c r="AB28">
        <v>0</v>
      </c>
      <c r="AC28">
        <v>2.8555133079847899</v>
      </c>
      <c r="AD28">
        <v>0</v>
      </c>
      <c r="AE28">
        <v>0</v>
      </c>
      <c r="AF28">
        <v>27.566539923954299</v>
      </c>
      <c r="AG28">
        <v>185.551330798479</v>
      </c>
      <c r="AH28">
        <v>185.551330798479</v>
      </c>
      <c r="AI28" s="20">
        <f t="shared" si="2"/>
        <v>24.25447316103384</v>
      </c>
      <c r="AJ28">
        <v>0</v>
      </c>
      <c r="AK28">
        <v>0</v>
      </c>
      <c r="AL28" s="20">
        <f t="shared" si="3"/>
        <v>0</v>
      </c>
      <c r="AM28">
        <v>2.8555133080084198</v>
      </c>
      <c r="AN28" s="20">
        <f t="shared" si="4"/>
        <v>1.2425447316103384</v>
      </c>
      <c r="AO28">
        <v>1.0000000000082701</v>
      </c>
      <c r="AP28">
        <v>1.0000000000082701</v>
      </c>
      <c r="AQ28">
        <v>7</v>
      </c>
    </row>
    <row r="29" spans="1:43" x14ac:dyDescent="0.35">
      <c r="A29" t="s">
        <v>99</v>
      </c>
      <c r="B29" t="s">
        <v>12</v>
      </c>
      <c r="C29" t="s">
        <v>101</v>
      </c>
      <c r="D29">
        <v>1</v>
      </c>
      <c r="E29">
        <v>24.126455906821899</v>
      </c>
      <c r="F29">
        <v>0</v>
      </c>
      <c r="G29">
        <v>99.999999999999901</v>
      </c>
      <c r="H29">
        <v>9.6537949399999992</v>
      </c>
      <c r="I29">
        <v>9.6537949399999992</v>
      </c>
      <c r="J29">
        <v>5</v>
      </c>
      <c r="K29">
        <v>40</v>
      </c>
      <c r="L29">
        <v>40</v>
      </c>
      <c r="M29">
        <v>0</v>
      </c>
      <c r="N29">
        <v>0</v>
      </c>
      <c r="O29">
        <v>75</v>
      </c>
      <c r="P29">
        <v>0</v>
      </c>
      <c r="Q29">
        <v>0</v>
      </c>
      <c r="R29" s="18">
        <f t="shared" si="5"/>
        <v>479.99999999999994</v>
      </c>
      <c r="S29">
        <v>75</v>
      </c>
      <c r="T29" s="18">
        <f t="shared" si="6"/>
        <v>3618.9999999999986</v>
      </c>
      <c r="U29">
        <v>7</v>
      </c>
      <c r="V29" s="20">
        <f t="shared" si="7"/>
        <v>0</v>
      </c>
      <c r="W29" s="23">
        <f t="shared" si="8"/>
        <v>11.710173212978779</v>
      </c>
      <c r="X29" s="18">
        <f t="shared" si="1"/>
        <v>9.6</v>
      </c>
      <c r="Y29">
        <v>0</v>
      </c>
      <c r="Z29">
        <v>100</v>
      </c>
      <c r="AA29">
        <v>0</v>
      </c>
      <c r="AB29">
        <v>0</v>
      </c>
      <c r="AC29">
        <v>2.4991680532445901</v>
      </c>
      <c r="AD29">
        <v>0</v>
      </c>
      <c r="AE29">
        <v>0</v>
      </c>
      <c r="AF29">
        <v>24.126455906821899</v>
      </c>
      <c r="AG29">
        <v>149.91680532445901</v>
      </c>
      <c r="AH29">
        <v>149.91680532445901</v>
      </c>
      <c r="AI29" s="20">
        <f t="shared" si="2"/>
        <v>21.980970968528958</v>
      </c>
      <c r="AJ29">
        <v>0</v>
      </c>
      <c r="AK29">
        <v>0</v>
      </c>
      <c r="AL29" s="20">
        <f t="shared" si="3"/>
        <v>0</v>
      </c>
      <c r="AM29">
        <v>2.49916805326527</v>
      </c>
      <c r="AN29" s="20">
        <f t="shared" si="4"/>
        <v>1.2198097096852896</v>
      </c>
      <c r="AO29">
        <v>1.0000000000082701</v>
      </c>
      <c r="AP29">
        <v>1.0000000000082701</v>
      </c>
      <c r="AQ29">
        <v>8</v>
      </c>
    </row>
    <row r="30" spans="1:43" x14ac:dyDescent="0.35">
      <c r="A30" t="s">
        <v>99</v>
      </c>
      <c r="B30" t="s">
        <v>12</v>
      </c>
      <c r="C30" t="s">
        <v>101</v>
      </c>
      <c r="D30">
        <v>1</v>
      </c>
      <c r="E30">
        <v>21.4497041420118</v>
      </c>
      <c r="F30">
        <v>0</v>
      </c>
      <c r="G30">
        <v>99.999999999999901</v>
      </c>
      <c r="H30">
        <v>9.6537949399999992</v>
      </c>
      <c r="I30">
        <v>9.6537949399999992</v>
      </c>
      <c r="J30">
        <v>5</v>
      </c>
      <c r="K30">
        <v>45</v>
      </c>
      <c r="L30">
        <v>45</v>
      </c>
      <c r="M30">
        <v>0</v>
      </c>
      <c r="N30">
        <v>0</v>
      </c>
      <c r="O30">
        <v>75</v>
      </c>
      <c r="P30">
        <v>0</v>
      </c>
      <c r="Q30">
        <v>0</v>
      </c>
      <c r="R30" s="18">
        <f t="shared" si="5"/>
        <v>479.99999999999994</v>
      </c>
      <c r="S30">
        <v>75</v>
      </c>
      <c r="T30" s="18">
        <f t="shared" si="6"/>
        <v>3693.9999999999986</v>
      </c>
      <c r="U30">
        <v>7</v>
      </c>
      <c r="V30" s="20">
        <f t="shared" si="7"/>
        <v>0</v>
      </c>
      <c r="W30" s="23">
        <f t="shared" si="8"/>
        <v>11.499760421657886</v>
      </c>
      <c r="X30" s="18">
        <f t="shared" si="1"/>
        <v>9.6</v>
      </c>
      <c r="Y30">
        <v>0</v>
      </c>
      <c r="Z30">
        <v>100</v>
      </c>
      <c r="AA30">
        <v>0</v>
      </c>
      <c r="AB30">
        <v>0</v>
      </c>
      <c r="AC30">
        <v>2.22189349112426</v>
      </c>
      <c r="AD30">
        <v>0</v>
      </c>
      <c r="AE30">
        <v>0</v>
      </c>
      <c r="AF30">
        <v>21.4497041420118</v>
      </c>
      <c r="AG30">
        <v>122.189349112426</v>
      </c>
      <c r="AH30">
        <v>122.189349112426</v>
      </c>
      <c r="AI30" s="20">
        <f t="shared" si="2"/>
        <v>19.789171058936319</v>
      </c>
      <c r="AJ30">
        <v>0</v>
      </c>
      <c r="AK30">
        <v>0</v>
      </c>
      <c r="AL30" s="20">
        <f t="shared" si="3"/>
        <v>0</v>
      </c>
      <c r="AM30">
        <v>2.22189349114264</v>
      </c>
      <c r="AN30" s="20">
        <f t="shared" si="4"/>
        <v>1.1978917105893632</v>
      </c>
      <c r="AO30">
        <v>1.0000000000082701</v>
      </c>
      <c r="AP30">
        <v>1.0000000000082701</v>
      </c>
      <c r="AQ30">
        <v>9</v>
      </c>
    </row>
    <row r="31" spans="1:43" x14ac:dyDescent="0.35">
      <c r="A31" t="s">
        <v>99</v>
      </c>
      <c r="B31" t="s">
        <v>12</v>
      </c>
      <c r="C31" t="s">
        <v>101</v>
      </c>
      <c r="D31">
        <v>1</v>
      </c>
      <c r="E31">
        <v>19.3075898801597</v>
      </c>
      <c r="F31">
        <v>0</v>
      </c>
      <c r="G31">
        <v>99.999999999999901</v>
      </c>
      <c r="H31">
        <v>9.6537949399999992</v>
      </c>
      <c r="I31">
        <v>9.6537949399999992</v>
      </c>
      <c r="J31">
        <v>5</v>
      </c>
      <c r="K31">
        <v>50</v>
      </c>
      <c r="L31">
        <v>50</v>
      </c>
      <c r="M31">
        <v>0</v>
      </c>
      <c r="N31">
        <v>0</v>
      </c>
      <c r="O31">
        <v>75</v>
      </c>
      <c r="P31">
        <v>0</v>
      </c>
      <c r="Q31">
        <v>0</v>
      </c>
      <c r="R31" s="18">
        <f t="shared" si="5"/>
        <v>479.99999999999994</v>
      </c>
      <c r="S31">
        <v>75</v>
      </c>
      <c r="T31" s="18">
        <f t="shared" si="6"/>
        <v>3768.9999999999986</v>
      </c>
      <c r="U31">
        <v>7</v>
      </c>
      <c r="V31" s="20">
        <f t="shared" si="7"/>
        <v>0</v>
      </c>
      <c r="W31" s="23">
        <f t="shared" si="8"/>
        <v>11.296775711932224</v>
      </c>
      <c r="X31" s="18">
        <f t="shared" si="1"/>
        <v>9.6</v>
      </c>
      <c r="Y31">
        <v>0</v>
      </c>
      <c r="Z31">
        <v>100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19.3075898801597</v>
      </c>
      <c r="AG31">
        <v>99.999999999999901</v>
      </c>
      <c r="AH31">
        <v>99.999999999999901</v>
      </c>
      <c r="AI31" s="20">
        <f t="shared" si="2"/>
        <v>17.674746999294012</v>
      </c>
      <c r="AJ31">
        <v>0</v>
      </c>
      <c r="AK31">
        <v>0</v>
      </c>
      <c r="AL31" s="20">
        <f t="shared" si="3"/>
        <v>0</v>
      </c>
      <c r="AM31">
        <v>2.0000000000165499</v>
      </c>
      <c r="AN31" s="20">
        <f t="shared" si="4"/>
        <v>1.1767474699929401</v>
      </c>
      <c r="AO31">
        <v>1.0000000000082701</v>
      </c>
      <c r="AP31">
        <v>1.0000000000082701</v>
      </c>
      <c r="AQ31">
        <v>10</v>
      </c>
    </row>
    <row r="32" spans="1:43" x14ac:dyDescent="0.35">
      <c r="A32" t="s">
        <v>99</v>
      </c>
      <c r="B32" t="s">
        <v>12</v>
      </c>
      <c r="C32" t="s">
        <v>101</v>
      </c>
      <c r="D32">
        <v>1</v>
      </c>
      <c r="E32">
        <v>17.533252720677101</v>
      </c>
      <c r="F32">
        <v>0</v>
      </c>
      <c r="G32">
        <v>99.999999999999901</v>
      </c>
      <c r="H32">
        <v>9.6537949399999992</v>
      </c>
      <c r="I32">
        <v>9.6537949399999992</v>
      </c>
      <c r="J32">
        <v>5</v>
      </c>
      <c r="K32">
        <v>55</v>
      </c>
      <c r="L32">
        <v>55</v>
      </c>
      <c r="M32">
        <v>0</v>
      </c>
      <c r="N32">
        <v>0</v>
      </c>
      <c r="O32">
        <v>76</v>
      </c>
      <c r="P32">
        <v>0</v>
      </c>
      <c r="Q32">
        <v>0</v>
      </c>
      <c r="R32" s="18">
        <f t="shared" si="5"/>
        <v>479.99999999999994</v>
      </c>
      <c r="S32">
        <v>76</v>
      </c>
      <c r="T32" s="18">
        <f t="shared" si="6"/>
        <v>3844.9999999999986</v>
      </c>
      <c r="U32">
        <v>7</v>
      </c>
      <c r="V32" s="20">
        <f t="shared" si="7"/>
        <v>0</v>
      </c>
      <c r="W32" s="23">
        <f t="shared" si="8"/>
        <v>11.098265895953761</v>
      </c>
      <c r="X32" s="18">
        <f t="shared" si="1"/>
        <v>9.6</v>
      </c>
      <c r="Y32">
        <v>0</v>
      </c>
      <c r="Z32">
        <v>100</v>
      </c>
      <c r="AA32">
        <v>0</v>
      </c>
      <c r="AB32">
        <v>0</v>
      </c>
      <c r="AC32">
        <v>1.8162031438935899</v>
      </c>
      <c r="AD32">
        <v>0</v>
      </c>
      <c r="AE32">
        <v>0</v>
      </c>
      <c r="AF32">
        <v>17.533252720677101</v>
      </c>
      <c r="AG32">
        <v>81.620314389359095</v>
      </c>
      <c r="AH32">
        <v>81.620314389358995</v>
      </c>
      <c r="AI32" s="20">
        <f t="shared" si="2"/>
        <v>15.606936416185002</v>
      </c>
      <c r="AJ32">
        <v>0</v>
      </c>
      <c r="AK32">
        <v>0</v>
      </c>
      <c r="AL32" s="20">
        <f t="shared" si="3"/>
        <v>0</v>
      </c>
      <c r="AM32">
        <v>1.8162031439086199</v>
      </c>
      <c r="AN32" s="20">
        <f t="shared" si="4"/>
        <v>1.15606936416185</v>
      </c>
      <c r="AO32">
        <v>1.0000000000082701</v>
      </c>
      <c r="AP32">
        <v>1.0000000000082701</v>
      </c>
      <c r="AQ32">
        <v>11</v>
      </c>
    </row>
    <row r="33" spans="1:43" x14ac:dyDescent="0.35">
      <c r="A33" t="s">
        <v>99</v>
      </c>
      <c r="B33" t="s">
        <v>12</v>
      </c>
      <c r="C33" t="s">
        <v>101</v>
      </c>
      <c r="D33">
        <v>1</v>
      </c>
      <c r="E33">
        <v>16.075388026607499</v>
      </c>
      <c r="F33">
        <v>0</v>
      </c>
      <c r="G33">
        <v>99.999999999999901</v>
      </c>
      <c r="H33">
        <v>9.6537949399999992</v>
      </c>
      <c r="I33">
        <v>9.6537949399999992</v>
      </c>
      <c r="J33">
        <v>5</v>
      </c>
      <c r="K33">
        <v>60</v>
      </c>
      <c r="L33">
        <v>60</v>
      </c>
      <c r="M33">
        <v>0</v>
      </c>
      <c r="N33">
        <v>0</v>
      </c>
      <c r="O33">
        <v>75</v>
      </c>
      <c r="P33">
        <v>0</v>
      </c>
      <c r="Q33">
        <v>0</v>
      </c>
      <c r="R33" s="18">
        <f t="shared" si="5"/>
        <v>479.99999999999994</v>
      </c>
      <c r="S33">
        <v>75</v>
      </c>
      <c r="T33" s="18">
        <f t="shared" si="6"/>
        <v>3919.9999999999986</v>
      </c>
      <c r="U33">
        <v>7</v>
      </c>
      <c r="V33" s="20">
        <f t="shared" si="7"/>
        <v>0</v>
      </c>
      <c r="W33" s="23">
        <f t="shared" si="8"/>
        <v>10.909090909090914</v>
      </c>
      <c r="X33" s="18">
        <f t="shared" si="1"/>
        <v>9.6</v>
      </c>
      <c r="Y33">
        <v>0</v>
      </c>
      <c r="Z33">
        <v>100</v>
      </c>
      <c r="AA33">
        <v>0</v>
      </c>
      <c r="AB33">
        <v>0</v>
      </c>
      <c r="AC33">
        <v>1.6651884700665101</v>
      </c>
      <c r="AD33">
        <v>0</v>
      </c>
      <c r="AE33">
        <v>0</v>
      </c>
      <c r="AF33">
        <v>16.075388026607499</v>
      </c>
      <c r="AG33">
        <v>66.518847006651797</v>
      </c>
      <c r="AH33">
        <v>66.518847006651797</v>
      </c>
      <c r="AI33" s="20">
        <f t="shared" si="2"/>
        <v>13.63636363636369</v>
      </c>
      <c r="AJ33">
        <v>0</v>
      </c>
      <c r="AK33">
        <v>0</v>
      </c>
      <c r="AL33" s="20">
        <f t="shared" si="3"/>
        <v>0</v>
      </c>
      <c r="AM33">
        <v>1.6651884700802899</v>
      </c>
      <c r="AN33" s="20">
        <f t="shared" si="4"/>
        <v>1.1363636363636369</v>
      </c>
      <c r="AO33">
        <v>1.0000000000082701</v>
      </c>
      <c r="AP33">
        <v>1.0000000000082701</v>
      </c>
      <c r="AQ33">
        <v>12</v>
      </c>
    </row>
    <row r="34" spans="1:43" x14ac:dyDescent="0.35">
      <c r="A34" t="s">
        <v>99</v>
      </c>
      <c r="B34" t="s">
        <v>12</v>
      </c>
      <c r="C34" t="s">
        <v>101</v>
      </c>
      <c r="D34">
        <v>1</v>
      </c>
      <c r="E34">
        <v>14.841351074718499</v>
      </c>
      <c r="F34">
        <v>0</v>
      </c>
      <c r="G34">
        <v>99.999999999999901</v>
      </c>
      <c r="H34">
        <v>9.6537949399999992</v>
      </c>
      <c r="I34">
        <v>9.6537949399999992</v>
      </c>
      <c r="J34">
        <v>5</v>
      </c>
      <c r="K34">
        <v>65</v>
      </c>
      <c r="L34">
        <v>65</v>
      </c>
      <c r="M34">
        <v>0</v>
      </c>
      <c r="N34">
        <v>0</v>
      </c>
      <c r="O34">
        <v>75</v>
      </c>
      <c r="P34">
        <v>0</v>
      </c>
      <c r="Q34">
        <v>0</v>
      </c>
      <c r="R34" s="18">
        <f t="shared" si="5"/>
        <v>479.99999999999994</v>
      </c>
      <c r="S34">
        <v>75</v>
      </c>
      <c r="T34" s="18">
        <f t="shared" si="6"/>
        <v>3994.9999999999986</v>
      </c>
      <c r="U34">
        <v>7</v>
      </c>
      <c r="V34" s="20">
        <f t="shared" si="7"/>
        <v>0</v>
      </c>
      <c r="W34" s="23">
        <f t="shared" si="8"/>
        <v>10.726256983240226</v>
      </c>
      <c r="X34" s="18">
        <f t="shared" si="1"/>
        <v>9.6</v>
      </c>
      <c r="Y34">
        <v>0</v>
      </c>
      <c r="Z34">
        <v>100</v>
      </c>
      <c r="AA34">
        <v>0</v>
      </c>
      <c r="AB34">
        <v>0</v>
      </c>
      <c r="AC34">
        <v>1.53735926305015</v>
      </c>
      <c r="AD34">
        <v>0</v>
      </c>
      <c r="AE34">
        <v>0</v>
      </c>
      <c r="AF34">
        <v>14.841351074718499</v>
      </c>
      <c r="AG34">
        <v>53.735926305015298</v>
      </c>
      <c r="AH34">
        <v>53.735926305015298</v>
      </c>
      <c r="AI34" s="20">
        <f t="shared" si="2"/>
        <v>11.731843575419031</v>
      </c>
      <c r="AJ34">
        <v>0</v>
      </c>
      <c r="AK34">
        <v>0</v>
      </c>
      <c r="AL34" s="20">
        <f t="shared" si="3"/>
        <v>0</v>
      </c>
      <c r="AM34">
        <v>1.5373592630628701</v>
      </c>
      <c r="AN34" s="20">
        <f t="shared" si="4"/>
        <v>1.1173184357541903</v>
      </c>
      <c r="AO34">
        <v>1.0000000000082701</v>
      </c>
      <c r="AP34">
        <v>1.0000000000082701</v>
      </c>
      <c r="AQ34">
        <v>13</v>
      </c>
    </row>
    <row r="35" spans="1:43" x14ac:dyDescent="0.35">
      <c r="A35" t="s">
        <v>99</v>
      </c>
      <c r="B35" t="s">
        <v>12</v>
      </c>
      <c r="C35" t="s">
        <v>101</v>
      </c>
      <c r="D35">
        <v>1</v>
      </c>
      <c r="E35">
        <v>13.7832699619771</v>
      </c>
      <c r="F35">
        <v>0</v>
      </c>
      <c r="G35">
        <v>99.999999999999901</v>
      </c>
      <c r="H35">
        <v>9.6537949399999992</v>
      </c>
      <c r="I35">
        <v>9.6537949399999992</v>
      </c>
      <c r="J35">
        <v>5</v>
      </c>
      <c r="K35">
        <v>70</v>
      </c>
      <c r="L35">
        <v>70</v>
      </c>
      <c r="M35">
        <v>0</v>
      </c>
      <c r="N35">
        <v>0</v>
      </c>
      <c r="O35">
        <v>75</v>
      </c>
      <c r="P35">
        <v>0</v>
      </c>
      <c r="Q35">
        <v>0</v>
      </c>
      <c r="R35" s="18">
        <f t="shared" si="5"/>
        <v>479.99999999999994</v>
      </c>
      <c r="S35">
        <v>75</v>
      </c>
      <c r="T35" s="18">
        <f t="shared" si="6"/>
        <v>4069.9999999999986</v>
      </c>
      <c r="U35">
        <v>7</v>
      </c>
      <c r="V35" s="20">
        <f t="shared" si="7"/>
        <v>0</v>
      </c>
      <c r="W35" s="23">
        <f t="shared" si="8"/>
        <v>10.549450549450553</v>
      </c>
      <c r="X35" s="18">
        <f t="shared" si="1"/>
        <v>9.6</v>
      </c>
      <c r="Y35">
        <v>0</v>
      </c>
      <c r="Z35">
        <v>100</v>
      </c>
      <c r="AA35">
        <v>0</v>
      </c>
      <c r="AB35">
        <v>0</v>
      </c>
      <c r="AC35">
        <v>1.42775665399239</v>
      </c>
      <c r="AD35">
        <v>0</v>
      </c>
      <c r="AE35">
        <v>0</v>
      </c>
      <c r="AF35">
        <v>13.7832699619771</v>
      </c>
      <c r="AG35">
        <v>42.7756653992395</v>
      </c>
      <c r="AH35">
        <v>42.7756653992395</v>
      </c>
      <c r="AI35" s="20">
        <f t="shared" si="2"/>
        <v>9.8901098901099225</v>
      </c>
      <c r="AJ35">
        <v>0</v>
      </c>
      <c r="AK35">
        <v>0</v>
      </c>
      <c r="AL35" s="20">
        <f t="shared" si="3"/>
        <v>0</v>
      </c>
      <c r="AM35">
        <v>1.4277566540042099</v>
      </c>
      <c r="AN35" s="20">
        <f t="shared" si="4"/>
        <v>1.0989010989010992</v>
      </c>
      <c r="AO35">
        <v>1.0000000000082701</v>
      </c>
      <c r="AP35">
        <v>1.0000000000082701</v>
      </c>
      <c r="AQ35">
        <v>14</v>
      </c>
    </row>
    <row r="36" spans="1:43" x14ac:dyDescent="0.35">
      <c r="A36" t="s">
        <v>99</v>
      </c>
      <c r="B36" t="s">
        <v>12</v>
      </c>
      <c r="C36" t="s">
        <v>101</v>
      </c>
      <c r="D36">
        <v>1</v>
      </c>
      <c r="E36">
        <v>12.866015971606</v>
      </c>
      <c r="F36">
        <v>0</v>
      </c>
      <c r="G36">
        <v>99.999999999999901</v>
      </c>
      <c r="H36">
        <v>9.6537949399999992</v>
      </c>
      <c r="I36">
        <v>9.6537949399999992</v>
      </c>
      <c r="J36">
        <v>5</v>
      </c>
      <c r="K36">
        <v>75</v>
      </c>
      <c r="L36">
        <v>75</v>
      </c>
      <c r="M36">
        <v>0</v>
      </c>
      <c r="N36">
        <v>0</v>
      </c>
      <c r="O36">
        <v>75</v>
      </c>
      <c r="P36">
        <v>0</v>
      </c>
      <c r="Q36">
        <v>0</v>
      </c>
      <c r="R36" s="18">
        <f t="shared" si="5"/>
        <v>479.99999999999994</v>
      </c>
      <c r="S36">
        <v>75</v>
      </c>
      <c r="T36" s="18">
        <f t="shared" si="6"/>
        <v>4144.9999999999982</v>
      </c>
      <c r="U36">
        <v>7</v>
      </c>
      <c r="V36" s="20">
        <f t="shared" si="7"/>
        <v>0</v>
      </c>
      <c r="W36" s="23">
        <f t="shared" si="8"/>
        <v>10.378378378378381</v>
      </c>
      <c r="X36" s="18">
        <f t="shared" si="1"/>
        <v>9.6</v>
      </c>
      <c r="Y36">
        <v>0</v>
      </c>
      <c r="Z36">
        <v>100</v>
      </c>
      <c r="AA36">
        <v>0</v>
      </c>
      <c r="AB36">
        <v>0</v>
      </c>
      <c r="AC36">
        <v>1.33274179236912</v>
      </c>
      <c r="AD36">
        <v>0</v>
      </c>
      <c r="AE36">
        <v>0</v>
      </c>
      <c r="AF36">
        <v>12.866015971606</v>
      </c>
      <c r="AG36">
        <v>33.274179236912097</v>
      </c>
      <c r="AH36">
        <v>33.274179236912097</v>
      </c>
      <c r="AI36" s="20">
        <f t="shared" si="2"/>
        <v>8.1081081081081372</v>
      </c>
      <c r="AJ36">
        <v>0</v>
      </c>
      <c r="AK36">
        <v>0</v>
      </c>
      <c r="AL36" s="20">
        <f t="shared" si="3"/>
        <v>0</v>
      </c>
      <c r="AM36">
        <v>1.3327417923801499</v>
      </c>
      <c r="AN36" s="20">
        <f t="shared" si="4"/>
        <v>1.0810810810810814</v>
      </c>
      <c r="AO36">
        <v>1.0000000000082701</v>
      </c>
      <c r="AP36">
        <v>1.0000000000082701</v>
      </c>
      <c r="AQ36">
        <v>15</v>
      </c>
    </row>
    <row r="37" spans="1:43" x14ac:dyDescent="0.35">
      <c r="A37" t="s">
        <v>99</v>
      </c>
      <c r="B37" t="s">
        <v>12</v>
      </c>
      <c r="C37" t="s">
        <v>101</v>
      </c>
      <c r="D37">
        <v>1</v>
      </c>
      <c r="E37">
        <v>12.0632279534109</v>
      </c>
      <c r="F37">
        <v>0</v>
      </c>
      <c r="G37">
        <v>99.999999999999901</v>
      </c>
      <c r="H37">
        <v>9.6537949399999992</v>
      </c>
      <c r="I37">
        <v>9.6537949399999992</v>
      </c>
      <c r="J37">
        <v>5</v>
      </c>
      <c r="K37">
        <v>80</v>
      </c>
      <c r="L37">
        <v>80</v>
      </c>
      <c r="M37">
        <v>0</v>
      </c>
      <c r="N37">
        <v>0</v>
      </c>
      <c r="O37">
        <v>75</v>
      </c>
      <c r="P37">
        <v>0</v>
      </c>
      <c r="Q37">
        <v>0</v>
      </c>
      <c r="R37" s="18">
        <f t="shared" si="5"/>
        <v>479.99999999999994</v>
      </c>
      <c r="S37">
        <v>75</v>
      </c>
      <c r="T37" s="18">
        <f t="shared" si="6"/>
        <v>4219.9999999999982</v>
      </c>
      <c r="U37">
        <v>7</v>
      </c>
      <c r="V37" s="20">
        <f t="shared" si="7"/>
        <v>0</v>
      </c>
      <c r="W37" s="23">
        <f t="shared" si="8"/>
        <v>10.212765957446811</v>
      </c>
      <c r="X37" s="18">
        <f t="shared" si="1"/>
        <v>9.6</v>
      </c>
      <c r="Y37">
        <v>0</v>
      </c>
      <c r="Z37">
        <v>100</v>
      </c>
      <c r="AA37">
        <v>0</v>
      </c>
      <c r="AB37">
        <v>0</v>
      </c>
      <c r="AC37">
        <v>1.24958402662229</v>
      </c>
      <c r="AD37">
        <v>0</v>
      </c>
      <c r="AE37">
        <v>0</v>
      </c>
      <c r="AF37">
        <v>12.0632279534109</v>
      </c>
      <c r="AG37">
        <v>24.958402662229499</v>
      </c>
      <c r="AH37">
        <v>24.958402662229499</v>
      </c>
      <c r="AI37" s="20">
        <f t="shared" si="2"/>
        <v>6.3829787234042756</v>
      </c>
      <c r="AJ37">
        <v>0</v>
      </c>
      <c r="AK37">
        <v>0</v>
      </c>
      <c r="AL37" s="20">
        <f t="shared" si="3"/>
        <v>0</v>
      </c>
      <c r="AM37">
        <v>1.2495840266326299</v>
      </c>
      <c r="AN37" s="20">
        <f t="shared" si="4"/>
        <v>1.0638297872340428</v>
      </c>
      <c r="AO37">
        <v>1.0000000000082701</v>
      </c>
      <c r="AP37">
        <v>1.0000000000082701</v>
      </c>
      <c r="AQ37">
        <v>16</v>
      </c>
    </row>
    <row r="38" spans="1:43" x14ac:dyDescent="0.35">
      <c r="A38" t="s">
        <v>99</v>
      </c>
      <c r="B38" t="s">
        <v>12</v>
      </c>
      <c r="C38" t="s">
        <v>101</v>
      </c>
      <c r="D38">
        <v>1</v>
      </c>
      <c r="E38">
        <v>11.354737666405599</v>
      </c>
      <c r="F38">
        <v>0</v>
      </c>
      <c r="G38">
        <v>99.999999999999901</v>
      </c>
      <c r="H38">
        <v>9.6537949399999992</v>
      </c>
      <c r="I38">
        <v>9.6537949399999992</v>
      </c>
      <c r="J38">
        <v>5</v>
      </c>
      <c r="K38">
        <v>85</v>
      </c>
      <c r="L38">
        <v>85</v>
      </c>
      <c r="M38">
        <v>0</v>
      </c>
      <c r="N38">
        <v>0</v>
      </c>
      <c r="O38">
        <v>75</v>
      </c>
      <c r="P38">
        <v>0</v>
      </c>
      <c r="Q38">
        <v>0</v>
      </c>
      <c r="R38" s="18">
        <f t="shared" si="5"/>
        <v>479.99999999999994</v>
      </c>
      <c r="S38">
        <v>75</v>
      </c>
      <c r="T38" s="18">
        <f t="shared" si="6"/>
        <v>4294.9999999999982</v>
      </c>
      <c r="U38">
        <v>7</v>
      </c>
      <c r="V38" s="20">
        <f t="shared" si="7"/>
        <v>0</v>
      </c>
      <c r="W38" s="23">
        <f t="shared" si="8"/>
        <v>10.052356020942412</v>
      </c>
      <c r="X38" s="18">
        <f t="shared" si="1"/>
        <v>9.6</v>
      </c>
      <c r="Y38">
        <v>0</v>
      </c>
      <c r="Z38">
        <v>100</v>
      </c>
      <c r="AA38">
        <v>0</v>
      </c>
      <c r="AB38">
        <v>0</v>
      </c>
      <c r="AC38">
        <v>1.17619420516836</v>
      </c>
      <c r="AD38">
        <v>0</v>
      </c>
      <c r="AE38">
        <v>0</v>
      </c>
      <c r="AF38">
        <v>11.354737666405599</v>
      </c>
      <c r="AG38">
        <v>17.6194205168363</v>
      </c>
      <c r="AH38">
        <v>17.6194205168363</v>
      </c>
      <c r="AI38" s="20">
        <f t="shared" si="2"/>
        <v>4.7120418848167978</v>
      </c>
      <c r="AJ38">
        <v>0</v>
      </c>
      <c r="AK38">
        <v>0</v>
      </c>
      <c r="AL38" s="20">
        <f t="shared" si="3"/>
        <v>0</v>
      </c>
      <c r="AM38">
        <v>1.17619420517809</v>
      </c>
      <c r="AN38" s="20">
        <f t="shared" si="4"/>
        <v>1.047120418848168</v>
      </c>
      <c r="AO38">
        <v>1.0000000000082701</v>
      </c>
      <c r="AP38">
        <v>1.0000000000082701</v>
      </c>
      <c r="AQ38">
        <v>17</v>
      </c>
    </row>
    <row r="39" spans="1:43" x14ac:dyDescent="0.35">
      <c r="A39" t="s">
        <v>99</v>
      </c>
      <c r="B39" t="s">
        <v>12</v>
      </c>
      <c r="C39" t="s">
        <v>101</v>
      </c>
      <c r="D39">
        <v>1</v>
      </c>
      <c r="E39">
        <v>10.7248520710059</v>
      </c>
      <c r="F39">
        <v>0</v>
      </c>
      <c r="G39">
        <v>99.999999999999901</v>
      </c>
      <c r="H39">
        <v>9.6537949399999992</v>
      </c>
      <c r="I39">
        <v>9.6537949399999992</v>
      </c>
      <c r="J39">
        <v>5</v>
      </c>
      <c r="K39">
        <v>90</v>
      </c>
      <c r="L39">
        <v>90</v>
      </c>
      <c r="M39">
        <v>0</v>
      </c>
      <c r="N39">
        <v>0</v>
      </c>
      <c r="O39">
        <v>75</v>
      </c>
      <c r="P39">
        <v>0</v>
      </c>
      <c r="Q39">
        <v>0</v>
      </c>
      <c r="R39" s="18">
        <f t="shared" si="5"/>
        <v>479.99999999999994</v>
      </c>
      <c r="S39">
        <v>75</v>
      </c>
      <c r="T39" s="18">
        <f t="shared" si="6"/>
        <v>4369.9999999999982</v>
      </c>
      <c r="U39">
        <v>7</v>
      </c>
      <c r="V39" s="20">
        <f t="shared" si="7"/>
        <v>0</v>
      </c>
      <c r="W39" s="23">
        <f t="shared" si="8"/>
        <v>9.8969072164948475</v>
      </c>
      <c r="X39" s="18">
        <f t="shared" si="1"/>
        <v>9.6</v>
      </c>
      <c r="Y39">
        <v>0</v>
      </c>
      <c r="Z39">
        <v>100</v>
      </c>
      <c r="AA39">
        <v>0</v>
      </c>
      <c r="AB39">
        <v>0</v>
      </c>
      <c r="AC39">
        <v>1.11094674556213</v>
      </c>
      <c r="AD39">
        <v>0</v>
      </c>
      <c r="AE39">
        <v>0</v>
      </c>
      <c r="AF39">
        <v>10.7248520710059</v>
      </c>
      <c r="AG39">
        <v>11.094674556213</v>
      </c>
      <c r="AH39">
        <v>11.094674556213</v>
      </c>
      <c r="AI39" s="20">
        <f t="shared" si="2"/>
        <v>3.0927835051546726</v>
      </c>
      <c r="AJ39">
        <v>0</v>
      </c>
      <c r="AK39">
        <v>0</v>
      </c>
      <c r="AL39" s="20">
        <f t="shared" si="3"/>
        <v>0</v>
      </c>
      <c r="AM39">
        <v>1.11094674557132</v>
      </c>
      <c r="AN39" s="20">
        <f t="shared" si="4"/>
        <v>1.0309278350515467</v>
      </c>
      <c r="AO39">
        <v>1.0000000000082701</v>
      </c>
      <c r="AP39">
        <v>1.0000000000082701</v>
      </c>
      <c r="AQ39">
        <v>18</v>
      </c>
    </row>
    <row r="40" spans="1:43" x14ac:dyDescent="0.35">
      <c r="A40" t="s">
        <v>99</v>
      </c>
      <c r="B40" t="s">
        <v>12</v>
      </c>
      <c r="C40" t="s">
        <v>101</v>
      </c>
      <c r="D40">
        <v>1</v>
      </c>
      <c r="E40">
        <v>10.161177295024499</v>
      </c>
      <c r="F40">
        <v>0</v>
      </c>
      <c r="G40">
        <v>99.999999999999901</v>
      </c>
      <c r="H40">
        <v>9.6537949399999992</v>
      </c>
      <c r="I40">
        <v>9.6537949399999992</v>
      </c>
      <c r="J40">
        <v>5</v>
      </c>
      <c r="K40">
        <v>95</v>
      </c>
      <c r="L40">
        <v>95</v>
      </c>
      <c r="M40">
        <v>0</v>
      </c>
      <c r="N40">
        <v>0</v>
      </c>
      <c r="O40">
        <v>75</v>
      </c>
      <c r="P40">
        <v>0</v>
      </c>
      <c r="Q40">
        <v>0</v>
      </c>
      <c r="R40" s="18">
        <f t="shared" si="5"/>
        <v>479.99999999999994</v>
      </c>
      <c r="S40">
        <v>75</v>
      </c>
      <c r="T40" s="18">
        <f t="shared" si="6"/>
        <v>4444.9999999999982</v>
      </c>
      <c r="U40">
        <v>7</v>
      </c>
      <c r="V40" s="20">
        <f t="shared" si="7"/>
        <v>0</v>
      </c>
      <c r="W40" s="23">
        <f t="shared" si="8"/>
        <v>9.7461928934010178</v>
      </c>
      <c r="X40" s="18">
        <f t="shared" si="1"/>
        <v>9.6</v>
      </c>
      <c r="Y40">
        <v>0</v>
      </c>
      <c r="Z40">
        <v>100</v>
      </c>
      <c r="AA40">
        <v>0</v>
      </c>
      <c r="AB40">
        <v>0</v>
      </c>
      <c r="AC40">
        <v>1.05255781359495</v>
      </c>
      <c r="AD40">
        <v>0</v>
      </c>
      <c r="AE40">
        <v>0</v>
      </c>
      <c r="AF40">
        <v>10.161177295024499</v>
      </c>
      <c r="AG40">
        <v>5.2557813594954199</v>
      </c>
      <c r="AH40">
        <v>5.2557813594954199</v>
      </c>
      <c r="AI40" s="20">
        <f t="shared" si="2"/>
        <v>1.5228426395939465</v>
      </c>
      <c r="AJ40">
        <v>0</v>
      </c>
      <c r="AK40">
        <v>0</v>
      </c>
      <c r="AL40" s="20">
        <f t="shared" si="3"/>
        <v>0</v>
      </c>
      <c r="AM40">
        <v>1.05255781360366</v>
      </c>
      <c r="AN40" s="20">
        <f t="shared" si="4"/>
        <v>1.0152284263959395</v>
      </c>
      <c r="AO40">
        <v>1.0000000000082701</v>
      </c>
      <c r="AP40">
        <v>1.0000000000082701</v>
      </c>
      <c r="AQ40">
        <v>19</v>
      </c>
    </row>
    <row r="41" spans="1:43" x14ac:dyDescent="0.35">
      <c r="A41" t="s">
        <v>99</v>
      </c>
      <c r="B41" t="s">
        <v>12</v>
      </c>
      <c r="C41" t="s">
        <v>101</v>
      </c>
      <c r="D41">
        <v>1</v>
      </c>
      <c r="E41">
        <v>9.6537949400798908</v>
      </c>
      <c r="F41">
        <v>0</v>
      </c>
      <c r="G41">
        <v>99.999999999999901</v>
      </c>
      <c r="H41">
        <v>9.6537949399999992</v>
      </c>
      <c r="I41">
        <v>9.6537949399999992</v>
      </c>
      <c r="J41">
        <v>5</v>
      </c>
      <c r="K41">
        <v>100</v>
      </c>
      <c r="L41">
        <v>100</v>
      </c>
      <c r="M41">
        <v>0</v>
      </c>
      <c r="N41">
        <v>0</v>
      </c>
      <c r="O41">
        <v>75</v>
      </c>
      <c r="P41">
        <v>0</v>
      </c>
      <c r="Q41">
        <v>0</v>
      </c>
      <c r="R41" s="18">
        <f t="shared" si="5"/>
        <v>479.99999999999994</v>
      </c>
      <c r="S41">
        <v>75</v>
      </c>
      <c r="T41" s="18">
        <f t="shared" si="6"/>
        <v>4519.9999999999982</v>
      </c>
      <c r="U41">
        <v>7</v>
      </c>
      <c r="V41" s="20">
        <f t="shared" si="7"/>
        <v>0</v>
      </c>
      <c r="W41" s="21">
        <f t="shared" si="8"/>
        <v>9.6000000000000032</v>
      </c>
      <c r="X41" s="22">
        <f t="shared" si="1"/>
        <v>9.6</v>
      </c>
      <c r="Y41">
        <v>0</v>
      </c>
      <c r="Z41">
        <v>100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9.6537949400798908</v>
      </c>
      <c r="AG41">
        <v>0</v>
      </c>
      <c r="AH41" s="16">
        <v>1.1102230246251501E-14</v>
      </c>
      <c r="AI41" s="20">
        <f t="shared" si="2"/>
        <v>4.4408920985006262E-14</v>
      </c>
      <c r="AJ41">
        <v>0</v>
      </c>
      <c r="AK41">
        <v>0</v>
      </c>
      <c r="AL41" s="20">
        <f t="shared" si="3"/>
        <v>0</v>
      </c>
      <c r="AM41">
        <v>1.0000000000082701</v>
      </c>
      <c r="AN41" s="20">
        <f t="shared" si="4"/>
        <v>1.0000000000000004</v>
      </c>
      <c r="AO41">
        <v>1.0000000000082701</v>
      </c>
      <c r="AP41">
        <v>1.0000000000082701</v>
      </c>
      <c r="AQ41">
        <v>20</v>
      </c>
    </row>
    <row r="42" spans="1:43" x14ac:dyDescent="0.35">
      <c r="O42">
        <f>SUM(O2:O41)</f>
        <v>5000</v>
      </c>
      <c r="Q42">
        <f>SUM(Q2:Q41)</f>
        <v>479.99999999999994</v>
      </c>
      <c r="S42">
        <f>SUM(S2:S41)</f>
        <v>4519.9999999999982</v>
      </c>
      <c r="U42">
        <f>SUM(U2:U41)</f>
        <v>480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810-2899-4052-A0C3-253D7DA24F22}">
  <dimension ref="A1:Z2005"/>
  <sheetViews>
    <sheetView tabSelected="1" topLeftCell="I986" workbookViewId="0">
      <selection activeCell="X1" sqref="X1:Y1002"/>
    </sheetView>
  </sheetViews>
  <sheetFormatPr defaultRowHeight="14.5" x14ac:dyDescent="0.35"/>
  <cols>
    <col min="24" max="24" width="11" customWidth="1"/>
    <col min="25" max="25" width="11.6328125" customWidth="1"/>
  </cols>
  <sheetData>
    <row r="1" spans="1:26" ht="58" x14ac:dyDescent="0.35">
      <c r="A1" s="19" t="s">
        <v>110</v>
      </c>
      <c r="B1" s="19" t="s">
        <v>111</v>
      </c>
      <c r="C1" s="19" t="s">
        <v>112</v>
      </c>
      <c r="D1" s="19" t="s">
        <v>68</v>
      </c>
      <c r="E1" s="19" t="s">
        <v>66</v>
      </c>
      <c r="F1" s="19" t="s">
        <v>67</v>
      </c>
      <c r="G1" s="19" t="s">
        <v>60</v>
      </c>
      <c r="H1" s="19" t="s">
        <v>113</v>
      </c>
      <c r="I1" s="19" t="s">
        <v>38</v>
      </c>
      <c r="J1" s="24" t="s">
        <v>125</v>
      </c>
      <c r="K1" s="19" t="s">
        <v>114</v>
      </c>
      <c r="L1" s="19" t="s">
        <v>115</v>
      </c>
      <c r="M1" s="19" t="s">
        <v>116</v>
      </c>
      <c r="N1" s="24" t="s">
        <v>127</v>
      </c>
      <c r="O1" s="19" t="s">
        <v>40</v>
      </c>
      <c r="P1" s="24" t="s">
        <v>126</v>
      </c>
      <c r="Q1" s="19" t="s">
        <v>117</v>
      </c>
      <c r="R1" s="19" t="s">
        <v>118</v>
      </c>
      <c r="S1" s="19" t="s">
        <v>119</v>
      </c>
      <c r="T1" s="19" t="s">
        <v>120</v>
      </c>
      <c r="U1" s="19" t="s">
        <v>121</v>
      </c>
      <c r="X1" s="19" t="str">
        <f>J1</f>
        <v>Sensitivity calc</v>
      </c>
      <c r="Y1" s="19" t="str">
        <f>N1</f>
        <v>1 - Specificity calc</v>
      </c>
      <c r="Z1" s="19" t="s">
        <v>128</v>
      </c>
    </row>
    <row r="2" spans="1:26" x14ac:dyDescent="0.35">
      <c r="A2" t="s">
        <v>122</v>
      </c>
      <c r="B2" t="s">
        <v>122</v>
      </c>
      <c r="C2" t="s">
        <v>123</v>
      </c>
      <c r="D2" t="s">
        <v>100</v>
      </c>
      <c r="E2" t="s">
        <v>99</v>
      </c>
      <c r="F2" t="s">
        <v>12</v>
      </c>
      <c r="G2">
        <v>1</v>
      </c>
      <c r="H2" t="s">
        <v>124</v>
      </c>
      <c r="I2">
        <v>0</v>
      </c>
      <c r="J2" s="25">
        <v>0</v>
      </c>
      <c r="K2" t="s">
        <v>124</v>
      </c>
      <c r="L2" t="s">
        <v>124</v>
      </c>
      <c r="M2">
        <v>0</v>
      </c>
      <c r="N2" s="25">
        <f t="shared" ref="N2:N65" si="0">1-P2</f>
        <v>0</v>
      </c>
      <c r="O2">
        <v>1</v>
      </c>
      <c r="P2" s="25">
        <v>1</v>
      </c>
      <c r="Q2" t="s">
        <v>124</v>
      </c>
      <c r="R2" t="s">
        <v>124</v>
      </c>
      <c r="S2">
        <v>1</v>
      </c>
      <c r="T2">
        <v>1</v>
      </c>
      <c r="U2">
        <v>1</v>
      </c>
      <c r="X2" s="19">
        <f>J2</f>
        <v>0</v>
      </c>
      <c r="Y2" s="19">
        <f>N2</f>
        <v>0</v>
      </c>
      <c r="Z2" s="26"/>
    </row>
    <row r="3" spans="1:26" x14ac:dyDescent="0.35">
      <c r="A3" t="s">
        <v>122</v>
      </c>
      <c r="B3" t="s">
        <v>122</v>
      </c>
      <c r="C3" t="s">
        <v>123</v>
      </c>
      <c r="D3" t="s">
        <v>100</v>
      </c>
      <c r="E3" t="s">
        <v>99</v>
      </c>
      <c r="F3" t="s">
        <v>12</v>
      </c>
      <c r="G3">
        <v>1</v>
      </c>
      <c r="H3">
        <v>267</v>
      </c>
      <c r="I3">
        <v>0.79701492537313401</v>
      </c>
      <c r="J3" s="25">
        <f t="shared" ref="J3:J66" si="1">H3/(H3+Q3)</f>
        <v>0.79701492537313434</v>
      </c>
      <c r="K3">
        <v>3163</v>
      </c>
      <c r="L3">
        <v>0</v>
      </c>
      <c r="M3">
        <v>0</v>
      </c>
      <c r="N3" s="25">
        <f t="shared" si="0"/>
        <v>0</v>
      </c>
      <c r="O3">
        <v>1</v>
      </c>
      <c r="P3" s="25">
        <f t="shared" ref="P3:P66" si="2">K3/(K3+L3)</f>
        <v>1</v>
      </c>
      <c r="Q3">
        <v>68</v>
      </c>
      <c r="R3" t="s">
        <v>124</v>
      </c>
      <c r="S3" t="s">
        <v>124</v>
      </c>
      <c r="T3" t="s">
        <v>124</v>
      </c>
      <c r="U3" t="s">
        <v>124</v>
      </c>
      <c r="X3" s="19">
        <f>J3</f>
        <v>0.79701492537313434</v>
      </c>
      <c r="Y3" s="19">
        <f>N3</f>
        <v>0</v>
      </c>
      <c r="Z3" s="26">
        <f>(L3+Q3)/(L3+Q3+H3+K3)</f>
        <v>1.9439679817038306E-2</v>
      </c>
    </row>
    <row r="4" spans="1:26" x14ac:dyDescent="0.35">
      <c r="A4" t="s">
        <v>122</v>
      </c>
      <c r="B4" t="s">
        <v>122</v>
      </c>
      <c r="C4" t="s">
        <v>123</v>
      </c>
      <c r="D4" t="s">
        <v>100</v>
      </c>
      <c r="E4" t="s">
        <v>99</v>
      </c>
      <c r="F4" t="s">
        <v>12</v>
      </c>
      <c r="G4">
        <v>1</v>
      </c>
      <c r="H4">
        <v>267</v>
      </c>
      <c r="I4">
        <v>0.79701492537313401</v>
      </c>
      <c r="J4" s="25">
        <f t="shared" si="1"/>
        <v>0.79701492537313434</v>
      </c>
      <c r="K4">
        <v>3163</v>
      </c>
      <c r="L4">
        <v>0</v>
      </c>
      <c r="M4">
        <v>0</v>
      </c>
      <c r="N4" s="25">
        <f t="shared" si="0"/>
        <v>0</v>
      </c>
      <c r="O4">
        <v>1</v>
      </c>
      <c r="P4" s="25">
        <f t="shared" si="2"/>
        <v>1</v>
      </c>
      <c r="Q4">
        <v>68</v>
      </c>
      <c r="R4" t="s">
        <v>124</v>
      </c>
      <c r="S4" t="s">
        <v>124</v>
      </c>
      <c r="T4" t="s">
        <v>124</v>
      </c>
      <c r="U4" t="s">
        <v>124</v>
      </c>
      <c r="X4" s="19">
        <f>J4</f>
        <v>0.79701492537313434</v>
      </c>
      <c r="Y4" s="19">
        <f>N4</f>
        <v>0</v>
      </c>
      <c r="Z4" s="26">
        <f>(L4+Q4)/(L4+Q4+H4+K4)</f>
        <v>1.9439679817038306E-2</v>
      </c>
    </row>
    <row r="5" spans="1:26" x14ac:dyDescent="0.35">
      <c r="A5" t="s">
        <v>122</v>
      </c>
      <c r="B5" t="s">
        <v>122</v>
      </c>
      <c r="C5" t="s">
        <v>123</v>
      </c>
      <c r="D5" t="s">
        <v>100</v>
      </c>
      <c r="E5" t="s">
        <v>99</v>
      </c>
      <c r="F5" t="s">
        <v>12</v>
      </c>
      <c r="G5">
        <v>1</v>
      </c>
      <c r="H5">
        <v>267</v>
      </c>
      <c r="I5">
        <v>0.79701492537313401</v>
      </c>
      <c r="J5" s="25">
        <f t="shared" si="1"/>
        <v>0.79701492537313434</v>
      </c>
      <c r="K5">
        <v>3163</v>
      </c>
      <c r="L5">
        <v>0</v>
      </c>
      <c r="M5">
        <v>0</v>
      </c>
      <c r="N5" s="25">
        <f t="shared" si="0"/>
        <v>0</v>
      </c>
      <c r="O5">
        <v>1</v>
      </c>
      <c r="P5" s="25">
        <f t="shared" si="2"/>
        <v>1</v>
      </c>
      <c r="Q5">
        <v>68</v>
      </c>
      <c r="R5" t="s">
        <v>124</v>
      </c>
      <c r="S5" t="s">
        <v>124</v>
      </c>
      <c r="T5" t="s">
        <v>124</v>
      </c>
      <c r="U5" t="s">
        <v>124</v>
      </c>
      <c r="X5" s="19">
        <f>J5</f>
        <v>0.79701492537313434</v>
      </c>
      <c r="Y5" s="19">
        <f>N5</f>
        <v>0</v>
      </c>
      <c r="Z5" s="26">
        <f>(L5+Q5)/(L5+Q5+H5+K5)</f>
        <v>1.9439679817038306E-2</v>
      </c>
    </row>
    <row r="6" spans="1:26" x14ac:dyDescent="0.35">
      <c r="A6" t="s">
        <v>122</v>
      </c>
      <c r="B6" t="s">
        <v>122</v>
      </c>
      <c r="C6" t="s">
        <v>123</v>
      </c>
      <c r="D6" t="s">
        <v>100</v>
      </c>
      <c r="E6" t="s">
        <v>99</v>
      </c>
      <c r="F6" t="s">
        <v>12</v>
      </c>
      <c r="G6">
        <v>1</v>
      </c>
      <c r="H6">
        <v>267</v>
      </c>
      <c r="I6">
        <v>0.79701492537313401</v>
      </c>
      <c r="J6" s="25">
        <f t="shared" si="1"/>
        <v>0.79701492537313434</v>
      </c>
      <c r="K6">
        <v>3163</v>
      </c>
      <c r="L6">
        <v>0</v>
      </c>
      <c r="M6">
        <v>0</v>
      </c>
      <c r="N6" s="25">
        <f t="shared" si="0"/>
        <v>0</v>
      </c>
      <c r="O6">
        <v>1</v>
      </c>
      <c r="P6" s="25">
        <f t="shared" si="2"/>
        <v>1</v>
      </c>
      <c r="Q6">
        <v>68</v>
      </c>
      <c r="R6" t="s">
        <v>124</v>
      </c>
      <c r="S6" t="s">
        <v>124</v>
      </c>
      <c r="T6" t="s">
        <v>124</v>
      </c>
      <c r="U6" t="s">
        <v>124</v>
      </c>
      <c r="X6" s="19">
        <f>J6</f>
        <v>0.79701492537313434</v>
      </c>
      <c r="Y6" s="19">
        <f>N6</f>
        <v>0</v>
      </c>
      <c r="Z6" s="26">
        <f>(L6+Q6)/(L6+Q6+H6+K6)</f>
        <v>1.9439679817038306E-2</v>
      </c>
    </row>
    <row r="7" spans="1:26" x14ac:dyDescent="0.35">
      <c r="A7" t="s">
        <v>122</v>
      </c>
      <c r="B7" t="s">
        <v>122</v>
      </c>
      <c r="C7" t="s">
        <v>123</v>
      </c>
      <c r="D7" t="s">
        <v>100</v>
      </c>
      <c r="E7" t="s">
        <v>99</v>
      </c>
      <c r="F7" t="s">
        <v>12</v>
      </c>
      <c r="G7">
        <v>1</v>
      </c>
      <c r="H7">
        <v>267</v>
      </c>
      <c r="I7">
        <v>0.79701492537313401</v>
      </c>
      <c r="J7" s="25">
        <f t="shared" si="1"/>
        <v>0.79701492537313434</v>
      </c>
      <c r="K7">
        <v>3163</v>
      </c>
      <c r="L7">
        <v>0</v>
      </c>
      <c r="M7">
        <v>0</v>
      </c>
      <c r="N7" s="25">
        <f t="shared" si="0"/>
        <v>0</v>
      </c>
      <c r="O7">
        <v>1</v>
      </c>
      <c r="P7" s="25">
        <f t="shared" si="2"/>
        <v>1</v>
      </c>
      <c r="Q7">
        <v>68</v>
      </c>
      <c r="R7" t="s">
        <v>124</v>
      </c>
      <c r="S7" t="s">
        <v>124</v>
      </c>
      <c r="T7" t="s">
        <v>124</v>
      </c>
      <c r="U7" t="s">
        <v>124</v>
      </c>
      <c r="X7" s="19">
        <f>J7</f>
        <v>0.79701492537313434</v>
      </c>
      <c r="Y7" s="19">
        <f>N7</f>
        <v>0</v>
      </c>
      <c r="Z7" s="26">
        <f>(L7+Q7)/(L7+Q7+H7+K7)</f>
        <v>1.9439679817038306E-2</v>
      </c>
    </row>
    <row r="8" spans="1:26" x14ac:dyDescent="0.35">
      <c r="A8" t="s">
        <v>122</v>
      </c>
      <c r="B8" t="s">
        <v>122</v>
      </c>
      <c r="C8" t="s">
        <v>123</v>
      </c>
      <c r="D8" t="s">
        <v>100</v>
      </c>
      <c r="E8" t="s">
        <v>99</v>
      </c>
      <c r="F8" t="s">
        <v>12</v>
      </c>
      <c r="G8">
        <v>1</v>
      </c>
      <c r="H8">
        <v>267</v>
      </c>
      <c r="I8">
        <v>0.79701492537313401</v>
      </c>
      <c r="J8" s="25">
        <f t="shared" si="1"/>
        <v>0.79701492537313434</v>
      </c>
      <c r="K8">
        <v>3163</v>
      </c>
      <c r="L8">
        <v>0</v>
      </c>
      <c r="M8">
        <v>0</v>
      </c>
      <c r="N8" s="25">
        <f t="shared" si="0"/>
        <v>0</v>
      </c>
      <c r="O8">
        <v>1</v>
      </c>
      <c r="P8" s="25">
        <f t="shared" si="2"/>
        <v>1</v>
      </c>
      <c r="Q8">
        <v>68</v>
      </c>
      <c r="R8" t="s">
        <v>124</v>
      </c>
      <c r="S8" t="s">
        <v>124</v>
      </c>
      <c r="T8" t="s">
        <v>124</v>
      </c>
      <c r="U8" t="s">
        <v>124</v>
      </c>
      <c r="X8" s="19">
        <f>J8</f>
        <v>0.79701492537313434</v>
      </c>
      <c r="Y8" s="19">
        <f>N8</f>
        <v>0</v>
      </c>
      <c r="Z8" s="26">
        <f>(L8+Q8)/(L8+Q8+H8+K8)</f>
        <v>1.9439679817038306E-2</v>
      </c>
    </row>
    <row r="9" spans="1:26" x14ac:dyDescent="0.35">
      <c r="A9" t="s">
        <v>122</v>
      </c>
      <c r="B9" t="s">
        <v>122</v>
      </c>
      <c r="C9" t="s">
        <v>123</v>
      </c>
      <c r="D9" t="s">
        <v>100</v>
      </c>
      <c r="E9" t="s">
        <v>99</v>
      </c>
      <c r="F9" t="s">
        <v>12</v>
      </c>
      <c r="G9">
        <v>1</v>
      </c>
      <c r="H9">
        <v>267</v>
      </c>
      <c r="I9">
        <v>0.79701492537313401</v>
      </c>
      <c r="J9" s="25">
        <f t="shared" si="1"/>
        <v>0.79701492537313434</v>
      </c>
      <c r="K9">
        <v>3163</v>
      </c>
      <c r="L9">
        <v>0</v>
      </c>
      <c r="M9">
        <v>0</v>
      </c>
      <c r="N9" s="25">
        <f t="shared" si="0"/>
        <v>0</v>
      </c>
      <c r="O9">
        <v>1</v>
      </c>
      <c r="P9" s="25">
        <f t="shared" si="2"/>
        <v>1</v>
      </c>
      <c r="Q9">
        <v>68</v>
      </c>
      <c r="R9" t="s">
        <v>124</v>
      </c>
      <c r="S9" t="s">
        <v>124</v>
      </c>
      <c r="T9" t="s">
        <v>124</v>
      </c>
      <c r="U9" t="s">
        <v>124</v>
      </c>
      <c r="X9" s="19">
        <f>J9</f>
        <v>0.79701492537313434</v>
      </c>
      <c r="Y9" s="19">
        <f>N9</f>
        <v>0</v>
      </c>
      <c r="Z9" s="26">
        <f>(L9+Q9)/(L9+Q9+H9+K9)</f>
        <v>1.9439679817038306E-2</v>
      </c>
    </row>
    <row r="10" spans="1:26" x14ac:dyDescent="0.35">
      <c r="A10" t="s">
        <v>122</v>
      </c>
      <c r="B10" t="s">
        <v>122</v>
      </c>
      <c r="C10" t="s">
        <v>123</v>
      </c>
      <c r="D10" t="s">
        <v>100</v>
      </c>
      <c r="E10" t="s">
        <v>99</v>
      </c>
      <c r="F10" t="s">
        <v>12</v>
      </c>
      <c r="G10">
        <v>1</v>
      </c>
      <c r="H10">
        <v>267</v>
      </c>
      <c r="I10">
        <v>0.79701492537313401</v>
      </c>
      <c r="J10" s="25">
        <f t="shared" si="1"/>
        <v>0.79701492537313434</v>
      </c>
      <c r="K10">
        <v>3163</v>
      </c>
      <c r="L10">
        <v>0</v>
      </c>
      <c r="M10">
        <v>0</v>
      </c>
      <c r="N10" s="25">
        <f t="shared" si="0"/>
        <v>0</v>
      </c>
      <c r="O10">
        <v>1</v>
      </c>
      <c r="P10" s="25">
        <f t="shared" si="2"/>
        <v>1</v>
      </c>
      <c r="Q10">
        <v>68</v>
      </c>
      <c r="R10" t="s">
        <v>124</v>
      </c>
      <c r="S10" t="s">
        <v>124</v>
      </c>
      <c r="T10" t="s">
        <v>124</v>
      </c>
      <c r="U10" t="s">
        <v>124</v>
      </c>
      <c r="X10" s="19">
        <f>J10</f>
        <v>0.79701492537313434</v>
      </c>
      <c r="Y10" s="19">
        <f>N10</f>
        <v>0</v>
      </c>
      <c r="Z10" s="26">
        <f>(L10+Q10)/(L10+Q10+H10+K10)</f>
        <v>1.9439679817038306E-2</v>
      </c>
    </row>
    <row r="11" spans="1:26" x14ac:dyDescent="0.35">
      <c r="A11" t="s">
        <v>122</v>
      </c>
      <c r="B11" t="s">
        <v>122</v>
      </c>
      <c r="C11" t="s">
        <v>123</v>
      </c>
      <c r="D11" t="s">
        <v>100</v>
      </c>
      <c r="E11" t="s">
        <v>99</v>
      </c>
      <c r="F11" t="s">
        <v>12</v>
      </c>
      <c r="G11">
        <v>1</v>
      </c>
      <c r="H11">
        <v>267</v>
      </c>
      <c r="I11">
        <v>0.79701492537313401</v>
      </c>
      <c r="J11" s="25">
        <f t="shared" si="1"/>
        <v>0.79701492537313434</v>
      </c>
      <c r="K11">
        <v>3163</v>
      </c>
      <c r="L11">
        <v>0</v>
      </c>
      <c r="M11">
        <v>0</v>
      </c>
      <c r="N11" s="25">
        <f t="shared" si="0"/>
        <v>0</v>
      </c>
      <c r="O11">
        <v>1</v>
      </c>
      <c r="P11" s="25">
        <f t="shared" si="2"/>
        <v>1</v>
      </c>
      <c r="Q11">
        <v>68</v>
      </c>
      <c r="R11" t="s">
        <v>124</v>
      </c>
      <c r="S11" t="s">
        <v>124</v>
      </c>
      <c r="T11" t="s">
        <v>124</v>
      </c>
      <c r="U11" t="s">
        <v>124</v>
      </c>
      <c r="X11" s="19">
        <f>J11</f>
        <v>0.79701492537313434</v>
      </c>
      <c r="Y11" s="19">
        <f>N11</f>
        <v>0</v>
      </c>
      <c r="Z11" s="26">
        <f>(L11+Q11)/(L11+Q11+H11+K11)</f>
        <v>1.9439679817038306E-2</v>
      </c>
    </row>
    <row r="12" spans="1:26" x14ac:dyDescent="0.35">
      <c r="A12" t="s">
        <v>122</v>
      </c>
      <c r="B12" t="s">
        <v>122</v>
      </c>
      <c r="C12" t="s">
        <v>123</v>
      </c>
      <c r="D12" t="s">
        <v>100</v>
      </c>
      <c r="E12" t="s">
        <v>99</v>
      </c>
      <c r="F12" t="s">
        <v>12</v>
      </c>
      <c r="G12">
        <v>1</v>
      </c>
      <c r="H12">
        <v>267</v>
      </c>
      <c r="I12">
        <v>0.79701492537313401</v>
      </c>
      <c r="J12" s="25">
        <f t="shared" si="1"/>
        <v>0.79701492537313434</v>
      </c>
      <c r="K12">
        <v>3163</v>
      </c>
      <c r="L12">
        <v>0</v>
      </c>
      <c r="M12">
        <v>0</v>
      </c>
      <c r="N12" s="25">
        <f t="shared" si="0"/>
        <v>0</v>
      </c>
      <c r="O12">
        <v>1</v>
      </c>
      <c r="P12" s="25">
        <f t="shared" si="2"/>
        <v>1</v>
      </c>
      <c r="Q12">
        <v>68</v>
      </c>
      <c r="R12" t="s">
        <v>124</v>
      </c>
      <c r="S12" t="s">
        <v>124</v>
      </c>
      <c r="T12" t="s">
        <v>124</v>
      </c>
      <c r="U12" t="s">
        <v>124</v>
      </c>
      <c r="X12" s="19">
        <f>J12</f>
        <v>0.79701492537313434</v>
      </c>
      <c r="Y12" s="19">
        <f>N12</f>
        <v>0</v>
      </c>
      <c r="Z12" s="26">
        <f>(L12+Q12)/(L12+Q12+H12+K12)</f>
        <v>1.9439679817038306E-2</v>
      </c>
    </row>
    <row r="13" spans="1:26" x14ac:dyDescent="0.35">
      <c r="A13" t="s">
        <v>122</v>
      </c>
      <c r="B13" t="s">
        <v>122</v>
      </c>
      <c r="C13" t="s">
        <v>123</v>
      </c>
      <c r="D13" t="s">
        <v>100</v>
      </c>
      <c r="E13" t="s">
        <v>99</v>
      </c>
      <c r="F13" t="s">
        <v>12</v>
      </c>
      <c r="G13">
        <v>1</v>
      </c>
      <c r="H13">
        <v>267</v>
      </c>
      <c r="I13">
        <v>0.79701492537313401</v>
      </c>
      <c r="J13" s="25">
        <f t="shared" si="1"/>
        <v>0.79701492537313434</v>
      </c>
      <c r="K13">
        <v>3163</v>
      </c>
      <c r="L13">
        <v>0</v>
      </c>
      <c r="M13">
        <v>0</v>
      </c>
      <c r="N13" s="25">
        <f t="shared" si="0"/>
        <v>0</v>
      </c>
      <c r="O13">
        <v>1</v>
      </c>
      <c r="P13" s="25">
        <f t="shared" si="2"/>
        <v>1</v>
      </c>
      <c r="Q13">
        <v>68</v>
      </c>
      <c r="R13" t="s">
        <v>124</v>
      </c>
      <c r="S13" t="s">
        <v>124</v>
      </c>
      <c r="T13" t="s">
        <v>124</v>
      </c>
      <c r="U13" t="s">
        <v>124</v>
      </c>
      <c r="X13" s="19">
        <f>J13</f>
        <v>0.79701492537313434</v>
      </c>
      <c r="Y13" s="19">
        <f>N13</f>
        <v>0</v>
      </c>
      <c r="Z13" s="26">
        <f>(L13+Q13)/(L13+Q13+H13+K13)</f>
        <v>1.9439679817038306E-2</v>
      </c>
    </row>
    <row r="14" spans="1:26" x14ac:dyDescent="0.35">
      <c r="A14" t="s">
        <v>122</v>
      </c>
      <c r="B14" t="s">
        <v>122</v>
      </c>
      <c r="C14" t="s">
        <v>123</v>
      </c>
      <c r="D14" t="s">
        <v>100</v>
      </c>
      <c r="E14" t="s">
        <v>99</v>
      </c>
      <c r="F14" t="s">
        <v>12</v>
      </c>
      <c r="G14">
        <v>1</v>
      </c>
      <c r="H14">
        <v>267</v>
      </c>
      <c r="I14">
        <v>0.79701492537313401</v>
      </c>
      <c r="J14" s="25">
        <f t="shared" si="1"/>
        <v>0.79701492537313434</v>
      </c>
      <c r="K14">
        <v>3163</v>
      </c>
      <c r="L14">
        <v>0</v>
      </c>
      <c r="M14">
        <v>0</v>
      </c>
      <c r="N14" s="25">
        <f t="shared" si="0"/>
        <v>0</v>
      </c>
      <c r="O14">
        <v>1</v>
      </c>
      <c r="P14" s="25">
        <f t="shared" si="2"/>
        <v>1</v>
      </c>
      <c r="Q14">
        <v>68</v>
      </c>
      <c r="R14" t="s">
        <v>124</v>
      </c>
      <c r="S14" t="s">
        <v>124</v>
      </c>
      <c r="T14" t="s">
        <v>124</v>
      </c>
      <c r="U14" t="s">
        <v>124</v>
      </c>
      <c r="X14" s="19">
        <f>J14</f>
        <v>0.79701492537313434</v>
      </c>
      <c r="Y14" s="19">
        <f>N14</f>
        <v>0</v>
      </c>
      <c r="Z14" s="26">
        <f>(L14+Q14)/(L14+Q14+H14+K14)</f>
        <v>1.9439679817038306E-2</v>
      </c>
    </row>
    <row r="15" spans="1:26" x14ac:dyDescent="0.35">
      <c r="A15" t="s">
        <v>122</v>
      </c>
      <c r="B15" t="s">
        <v>122</v>
      </c>
      <c r="C15" t="s">
        <v>123</v>
      </c>
      <c r="D15" t="s">
        <v>100</v>
      </c>
      <c r="E15" t="s">
        <v>99</v>
      </c>
      <c r="F15" t="s">
        <v>12</v>
      </c>
      <c r="G15">
        <v>1</v>
      </c>
      <c r="H15">
        <v>267</v>
      </c>
      <c r="I15">
        <v>0.79701492537313401</v>
      </c>
      <c r="J15" s="25">
        <f t="shared" si="1"/>
        <v>0.79701492537313434</v>
      </c>
      <c r="K15">
        <v>3163</v>
      </c>
      <c r="L15">
        <v>0</v>
      </c>
      <c r="M15">
        <v>0</v>
      </c>
      <c r="N15" s="25">
        <f t="shared" si="0"/>
        <v>0</v>
      </c>
      <c r="O15">
        <v>1</v>
      </c>
      <c r="P15" s="25">
        <f t="shared" si="2"/>
        <v>1</v>
      </c>
      <c r="Q15">
        <v>68</v>
      </c>
      <c r="R15" t="s">
        <v>124</v>
      </c>
      <c r="S15" t="s">
        <v>124</v>
      </c>
      <c r="T15" t="s">
        <v>124</v>
      </c>
      <c r="U15" t="s">
        <v>124</v>
      </c>
      <c r="X15" s="19">
        <f>J15</f>
        <v>0.79701492537313434</v>
      </c>
      <c r="Y15" s="19">
        <f>N15</f>
        <v>0</v>
      </c>
      <c r="Z15" s="26">
        <f>(L15+Q15)/(L15+Q15+H15+K15)</f>
        <v>1.9439679817038306E-2</v>
      </c>
    </row>
    <row r="16" spans="1:26" x14ac:dyDescent="0.35">
      <c r="A16" t="s">
        <v>122</v>
      </c>
      <c r="B16" t="s">
        <v>122</v>
      </c>
      <c r="C16" t="s">
        <v>123</v>
      </c>
      <c r="D16" t="s">
        <v>100</v>
      </c>
      <c r="E16" t="s">
        <v>99</v>
      </c>
      <c r="F16" t="s">
        <v>12</v>
      </c>
      <c r="G16">
        <v>1</v>
      </c>
      <c r="H16">
        <v>267</v>
      </c>
      <c r="I16">
        <v>0.79701492537313401</v>
      </c>
      <c r="J16" s="25">
        <f t="shared" si="1"/>
        <v>0.79701492537313434</v>
      </c>
      <c r="K16">
        <v>3163</v>
      </c>
      <c r="L16">
        <v>0</v>
      </c>
      <c r="M16">
        <v>0</v>
      </c>
      <c r="N16" s="25">
        <f t="shared" si="0"/>
        <v>0</v>
      </c>
      <c r="O16">
        <v>1</v>
      </c>
      <c r="P16" s="25">
        <f t="shared" si="2"/>
        <v>1</v>
      </c>
      <c r="Q16">
        <v>68</v>
      </c>
      <c r="R16" t="s">
        <v>124</v>
      </c>
      <c r="S16" t="s">
        <v>124</v>
      </c>
      <c r="T16" t="s">
        <v>124</v>
      </c>
      <c r="U16" t="s">
        <v>124</v>
      </c>
      <c r="X16" s="19">
        <f>J16</f>
        <v>0.79701492537313434</v>
      </c>
      <c r="Y16" s="19">
        <f>N16</f>
        <v>0</v>
      </c>
      <c r="Z16" s="26">
        <f>(L16+Q16)/(L16+Q16+H16+K16)</f>
        <v>1.9439679817038306E-2</v>
      </c>
    </row>
    <row r="17" spans="1:26" x14ac:dyDescent="0.35">
      <c r="A17" t="s">
        <v>122</v>
      </c>
      <c r="B17" t="s">
        <v>122</v>
      </c>
      <c r="C17" t="s">
        <v>123</v>
      </c>
      <c r="D17" t="s">
        <v>100</v>
      </c>
      <c r="E17" t="s">
        <v>99</v>
      </c>
      <c r="F17" t="s">
        <v>12</v>
      </c>
      <c r="G17">
        <v>1</v>
      </c>
      <c r="H17">
        <v>267</v>
      </c>
      <c r="I17">
        <v>0.79701492537313401</v>
      </c>
      <c r="J17" s="25">
        <f t="shared" si="1"/>
        <v>0.79701492537313434</v>
      </c>
      <c r="K17">
        <v>3163</v>
      </c>
      <c r="L17">
        <v>0</v>
      </c>
      <c r="M17">
        <v>0</v>
      </c>
      <c r="N17" s="25">
        <f t="shared" si="0"/>
        <v>0</v>
      </c>
      <c r="O17">
        <v>1</v>
      </c>
      <c r="P17" s="25">
        <f t="shared" si="2"/>
        <v>1</v>
      </c>
      <c r="Q17">
        <v>68</v>
      </c>
      <c r="R17" t="s">
        <v>124</v>
      </c>
      <c r="S17" t="s">
        <v>124</v>
      </c>
      <c r="T17" t="s">
        <v>124</v>
      </c>
      <c r="U17" t="s">
        <v>124</v>
      </c>
      <c r="X17" s="19">
        <f>J17</f>
        <v>0.79701492537313434</v>
      </c>
      <c r="Y17" s="19">
        <f>N17</f>
        <v>0</v>
      </c>
      <c r="Z17" s="26">
        <f>(L17+Q17)/(L17+Q17+H17+K17)</f>
        <v>1.9439679817038306E-2</v>
      </c>
    </row>
    <row r="18" spans="1:26" x14ac:dyDescent="0.35">
      <c r="A18" t="s">
        <v>122</v>
      </c>
      <c r="B18" t="s">
        <v>122</v>
      </c>
      <c r="C18" t="s">
        <v>123</v>
      </c>
      <c r="D18" t="s">
        <v>100</v>
      </c>
      <c r="E18" t="s">
        <v>99</v>
      </c>
      <c r="F18" t="s">
        <v>12</v>
      </c>
      <c r="G18">
        <v>1</v>
      </c>
      <c r="H18">
        <v>267</v>
      </c>
      <c r="I18">
        <v>0.79701492537313401</v>
      </c>
      <c r="J18" s="25">
        <f t="shared" si="1"/>
        <v>0.79701492537313434</v>
      </c>
      <c r="K18">
        <v>3163</v>
      </c>
      <c r="L18">
        <v>0</v>
      </c>
      <c r="M18">
        <v>0</v>
      </c>
      <c r="N18" s="25">
        <f t="shared" si="0"/>
        <v>0</v>
      </c>
      <c r="O18">
        <v>1</v>
      </c>
      <c r="P18" s="25">
        <f t="shared" si="2"/>
        <v>1</v>
      </c>
      <c r="Q18">
        <v>68</v>
      </c>
      <c r="R18" t="s">
        <v>124</v>
      </c>
      <c r="S18" t="s">
        <v>124</v>
      </c>
      <c r="T18" t="s">
        <v>124</v>
      </c>
      <c r="U18" t="s">
        <v>124</v>
      </c>
      <c r="X18" s="19">
        <f>J18</f>
        <v>0.79701492537313434</v>
      </c>
      <c r="Y18" s="19">
        <f>N18</f>
        <v>0</v>
      </c>
      <c r="Z18" s="26">
        <f>(L18+Q18)/(L18+Q18+H18+K18)</f>
        <v>1.9439679817038306E-2</v>
      </c>
    </row>
    <row r="19" spans="1:26" x14ac:dyDescent="0.35">
      <c r="A19" t="s">
        <v>122</v>
      </c>
      <c r="B19" t="s">
        <v>122</v>
      </c>
      <c r="C19" t="s">
        <v>123</v>
      </c>
      <c r="D19" t="s">
        <v>100</v>
      </c>
      <c r="E19" t="s">
        <v>99</v>
      </c>
      <c r="F19" t="s">
        <v>12</v>
      </c>
      <c r="G19">
        <v>1</v>
      </c>
      <c r="H19">
        <v>267</v>
      </c>
      <c r="I19">
        <v>0.79701492537313401</v>
      </c>
      <c r="J19" s="25">
        <f t="shared" si="1"/>
        <v>0.79701492537313434</v>
      </c>
      <c r="K19">
        <v>3163</v>
      </c>
      <c r="L19">
        <v>0</v>
      </c>
      <c r="M19">
        <v>0</v>
      </c>
      <c r="N19" s="25">
        <f t="shared" si="0"/>
        <v>0</v>
      </c>
      <c r="O19">
        <v>1</v>
      </c>
      <c r="P19" s="25">
        <f t="shared" si="2"/>
        <v>1</v>
      </c>
      <c r="Q19">
        <v>68</v>
      </c>
      <c r="R19" t="s">
        <v>124</v>
      </c>
      <c r="S19" t="s">
        <v>124</v>
      </c>
      <c r="T19" t="s">
        <v>124</v>
      </c>
      <c r="U19" t="s">
        <v>124</v>
      </c>
      <c r="X19" s="19">
        <f>J19</f>
        <v>0.79701492537313434</v>
      </c>
      <c r="Y19" s="19">
        <f>N19</f>
        <v>0</v>
      </c>
      <c r="Z19" s="26">
        <f>(L19+Q19)/(L19+Q19+H19+K19)</f>
        <v>1.9439679817038306E-2</v>
      </c>
    </row>
    <row r="20" spans="1:26" x14ac:dyDescent="0.35">
      <c r="A20" t="s">
        <v>122</v>
      </c>
      <c r="B20" t="s">
        <v>122</v>
      </c>
      <c r="C20" t="s">
        <v>123</v>
      </c>
      <c r="D20" t="s">
        <v>100</v>
      </c>
      <c r="E20" t="s">
        <v>99</v>
      </c>
      <c r="F20" t="s">
        <v>12</v>
      </c>
      <c r="G20">
        <v>1</v>
      </c>
      <c r="H20">
        <v>267</v>
      </c>
      <c r="I20">
        <v>0.79701492537313401</v>
      </c>
      <c r="J20" s="25">
        <f t="shared" si="1"/>
        <v>0.79701492537313434</v>
      </c>
      <c r="K20">
        <v>3163</v>
      </c>
      <c r="L20">
        <v>0</v>
      </c>
      <c r="M20">
        <v>0</v>
      </c>
      <c r="N20" s="25">
        <f t="shared" si="0"/>
        <v>0</v>
      </c>
      <c r="O20">
        <v>1</v>
      </c>
      <c r="P20" s="25">
        <f t="shared" si="2"/>
        <v>1</v>
      </c>
      <c r="Q20">
        <v>68</v>
      </c>
      <c r="R20" t="s">
        <v>124</v>
      </c>
      <c r="S20" t="s">
        <v>124</v>
      </c>
      <c r="T20" t="s">
        <v>124</v>
      </c>
      <c r="U20" t="s">
        <v>124</v>
      </c>
      <c r="X20" s="19">
        <f>J20</f>
        <v>0.79701492537313434</v>
      </c>
      <c r="Y20" s="19">
        <f>N20</f>
        <v>0</v>
      </c>
      <c r="Z20" s="26">
        <f>(L20+Q20)/(L20+Q20+H20+K20)</f>
        <v>1.9439679817038306E-2</v>
      </c>
    </row>
    <row r="21" spans="1:26" x14ac:dyDescent="0.35">
      <c r="A21" t="s">
        <v>122</v>
      </c>
      <c r="B21" t="s">
        <v>122</v>
      </c>
      <c r="C21" t="s">
        <v>123</v>
      </c>
      <c r="D21" t="s">
        <v>100</v>
      </c>
      <c r="E21" t="s">
        <v>99</v>
      </c>
      <c r="F21" t="s">
        <v>12</v>
      </c>
      <c r="G21">
        <v>1</v>
      </c>
      <c r="H21">
        <v>267</v>
      </c>
      <c r="I21">
        <v>0.79701492537313401</v>
      </c>
      <c r="J21" s="25">
        <f t="shared" si="1"/>
        <v>0.79701492537313434</v>
      </c>
      <c r="K21">
        <v>3163</v>
      </c>
      <c r="L21">
        <v>0</v>
      </c>
      <c r="M21">
        <v>0</v>
      </c>
      <c r="N21" s="25">
        <f t="shared" si="0"/>
        <v>0</v>
      </c>
      <c r="O21">
        <v>1</v>
      </c>
      <c r="P21" s="25">
        <f t="shared" si="2"/>
        <v>1</v>
      </c>
      <c r="Q21">
        <v>68</v>
      </c>
      <c r="R21" t="s">
        <v>124</v>
      </c>
      <c r="S21" t="s">
        <v>124</v>
      </c>
      <c r="T21" t="s">
        <v>124</v>
      </c>
      <c r="U21" t="s">
        <v>124</v>
      </c>
      <c r="X21" s="19">
        <f>J21</f>
        <v>0.79701492537313434</v>
      </c>
      <c r="Y21" s="19">
        <f>N21</f>
        <v>0</v>
      </c>
      <c r="Z21" s="26">
        <f>(L21+Q21)/(L21+Q21+H21+K21)</f>
        <v>1.9439679817038306E-2</v>
      </c>
    </row>
    <row r="22" spans="1:26" x14ac:dyDescent="0.35">
      <c r="A22" t="s">
        <v>122</v>
      </c>
      <c r="B22" t="s">
        <v>122</v>
      </c>
      <c r="C22" t="s">
        <v>123</v>
      </c>
      <c r="D22" t="s">
        <v>100</v>
      </c>
      <c r="E22" t="s">
        <v>99</v>
      </c>
      <c r="F22" t="s">
        <v>12</v>
      </c>
      <c r="G22">
        <v>1</v>
      </c>
      <c r="H22">
        <v>267</v>
      </c>
      <c r="I22">
        <v>0.79701492537313401</v>
      </c>
      <c r="J22" s="25">
        <f t="shared" si="1"/>
        <v>0.79701492537313434</v>
      </c>
      <c r="K22">
        <v>3163</v>
      </c>
      <c r="L22">
        <v>0</v>
      </c>
      <c r="M22">
        <v>0</v>
      </c>
      <c r="N22" s="25">
        <f t="shared" si="0"/>
        <v>0</v>
      </c>
      <c r="O22">
        <v>1</v>
      </c>
      <c r="P22" s="25">
        <f t="shared" si="2"/>
        <v>1</v>
      </c>
      <c r="Q22">
        <v>68</v>
      </c>
      <c r="R22" t="s">
        <v>124</v>
      </c>
      <c r="S22" t="s">
        <v>124</v>
      </c>
      <c r="T22" t="s">
        <v>124</v>
      </c>
      <c r="U22" t="s">
        <v>124</v>
      </c>
      <c r="X22" s="19">
        <f>J22</f>
        <v>0.79701492537313434</v>
      </c>
      <c r="Y22" s="19">
        <f>N22</f>
        <v>0</v>
      </c>
      <c r="Z22" s="26">
        <f>(L22+Q22)/(L22+Q22+H22+K22)</f>
        <v>1.9439679817038306E-2</v>
      </c>
    </row>
    <row r="23" spans="1:26" x14ac:dyDescent="0.35">
      <c r="A23" t="s">
        <v>122</v>
      </c>
      <c r="B23" t="s">
        <v>122</v>
      </c>
      <c r="C23" t="s">
        <v>123</v>
      </c>
      <c r="D23" t="s">
        <v>100</v>
      </c>
      <c r="E23" t="s">
        <v>99</v>
      </c>
      <c r="F23" t="s">
        <v>12</v>
      </c>
      <c r="G23">
        <v>1</v>
      </c>
      <c r="H23">
        <v>267</v>
      </c>
      <c r="I23">
        <v>0.79701492537313401</v>
      </c>
      <c r="J23" s="25">
        <f t="shared" si="1"/>
        <v>0.79701492537313434</v>
      </c>
      <c r="K23">
        <v>3163</v>
      </c>
      <c r="L23">
        <v>0</v>
      </c>
      <c r="M23">
        <v>0</v>
      </c>
      <c r="N23" s="25">
        <f t="shared" si="0"/>
        <v>0</v>
      </c>
      <c r="O23">
        <v>1</v>
      </c>
      <c r="P23" s="25">
        <f t="shared" si="2"/>
        <v>1</v>
      </c>
      <c r="Q23">
        <v>68</v>
      </c>
      <c r="R23" t="s">
        <v>124</v>
      </c>
      <c r="S23" t="s">
        <v>124</v>
      </c>
      <c r="T23" t="s">
        <v>124</v>
      </c>
      <c r="U23" t="s">
        <v>124</v>
      </c>
      <c r="X23" s="19">
        <f>J23</f>
        <v>0.79701492537313434</v>
      </c>
      <c r="Y23" s="19">
        <f>N23</f>
        <v>0</v>
      </c>
      <c r="Z23" s="26">
        <f>(L23+Q23)/(L23+Q23+H23+K23)</f>
        <v>1.9439679817038306E-2</v>
      </c>
    </row>
    <row r="24" spans="1:26" x14ac:dyDescent="0.35">
      <c r="A24" t="s">
        <v>122</v>
      </c>
      <c r="B24" t="s">
        <v>122</v>
      </c>
      <c r="C24" t="s">
        <v>123</v>
      </c>
      <c r="D24" t="s">
        <v>100</v>
      </c>
      <c r="E24" t="s">
        <v>99</v>
      </c>
      <c r="F24" t="s">
        <v>12</v>
      </c>
      <c r="G24">
        <v>1</v>
      </c>
      <c r="H24">
        <v>267</v>
      </c>
      <c r="I24">
        <v>0.79701492537313401</v>
      </c>
      <c r="J24" s="25">
        <f t="shared" si="1"/>
        <v>0.79701492537313434</v>
      </c>
      <c r="K24">
        <v>3163</v>
      </c>
      <c r="L24">
        <v>0</v>
      </c>
      <c r="M24">
        <v>0</v>
      </c>
      <c r="N24" s="25">
        <f t="shared" si="0"/>
        <v>0</v>
      </c>
      <c r="O24">
        <v>1</v>
      </c>
      <c r="P24" s="25">
        <f t="shared" si="2"/>
        <v>1</v>
      </c>
      <c r="Q24">
        <v>68</v>
      </c>
      <c r="R24" t="s">
        <v>124</v>
      </c>
      <c r="S24" t="s">
        <v>124</v>
      </c>
      <c r="T24" t="s">
        <v>124</v>
      </c>
      <c r="U24" t="s">
        <v>124</v>
      </c>
      <c r="X24" s="19">
        <f>J24</f>
        <v>0.79701492537313434</v>
      </c>
      <c r="Y24" s="19">
        <f>N24</f>
        <v>0</v>
      </c>
      <c r="Z24" s="26">
        <f>(L24+Q24)/(L24+Q24+H24+K24)</f>
        <v>1.9439679817038306E-2</v>
      </c>
    </row>
    <row r="25" spans="1:26" x14ac:dyDescent="0.35">
      <c r="A25" t="s">
        <v>122</v>
      </c>
      <c r="B25" t="s">
        <v>122</v>
      </c>
      <c r="C25" t="s">
        <v>123</v>
      </c>
      <c r="D25" t="s">
        <v>100</v>
      </c>
      <c r="E25" t="s">
        <v>99</v>
      </c>
      <c r="F25" t="s">
        <v>12</v>
      </c>
      <c r="G25">
        <v>1</v>
      </c>
      <c r="H25">
        <v>267</v>
      </c>
      <c r="I25">
        <v>0.79701492537313401</v>
      </c>
      <c r="J25" s="25">
        <f t="shared" si="1"/>
        <v>0.79701492537313434</v>
      </c>
      <c r="K25">
        <v>3163</v>
      </c>
      <c r="L25">
        <v>0</v>
      </c>
      <c r="M25">
        <v>0</v>
      </c>
      <c r="N25" s="25">
        <f t="shared" si="0"/>
        <v>0</v>
      </c>
      <c r="O25">
        <v>1</v>
      </c>
      <c r="P25" s="25">
        <f t="shared" si="2"/>
        <v>1</v>
      </c>
      <c r="Q25">
        <v>68</v>
      </c>
      <c r="R25" t="s">
        <v>124</v>
      </c>
      <c r="S25" t="s">
        <v>124</v>
      </c>
      <c r="T25" t="s">
        <v>124</v>
      </c>
      <c r="U25" t="s">
        <v>124</v>
      </c>
      <c r="X25" s="19">
        <f>J25</f>
        <v>0.79701492537313434</v>
      </c>
      <c r="Y25" s="19">
        <f>N25</f>
        <v>0</v>
      </c>
      <c r="Z25" s="26">
        <f>(L25+Q25)/(L25+Q25+H25+K25)</f>
        <v>1.9439679817038306E-2</v>
      </c>
    </row>
    <row r="26" spans="1:26" x14ac:dyDescent="0.35">
      <c r="A26" t="s">
        <v>122</v>
      </c>
      <c r="B26" t="s">
        <v>122</v>
      </c>
      <c r="C26" t="s">
        <v>123</v>
      </c>
      <c r="D26" t="s">
        <v>100</v>
      </c>
      <c r="E26" t="s">
        <v>99</v>
      </c>
      <c r="F26" t="s">
        <v>12</v>
      </c>
      <c r="G26">
        <v>1</v>
      </c>
      <c r="H26">
        <v>267</v>
      </c>
      <c r="I26">
        <v>0.79701492537313401</v>
      </c>
      <c r="J26" s="25">
        <f t="shared" si="1"/>
        <v>0.79701492537313434</v>
      </c>
      <c r="K26">
        <v>3163</v>
      </c>
      <c r="L26">
        <v>0</v>
      </c>
      <c r="M26">
        <v>0</v>
      </c>
      <c r="N26" s="25">
        <f t="shared" si="0"/>
        <v>0</v>
      </c>
      <c r="O26">
        <v>1</v>
      </c>
      <c r="P26" s="25">
        <f t="shared" si="2"/>
        <v>1</v>
      </c>
      <c r="Q26">
        <v>68</v>
      </c>
      <c r="R26" t="s">
        <v>124</v>
      </c>
      <c r="S26" t="s">
        <v>124</v>
      </c>
      <c r="T26" t="s">
        <v>124</v>
      </c>
      <c r="U26" t="s">
        <v>124</v>
      </c>
      <c r="X26" s="19">
        <f>J26</f>
        <v>0.79701492537313434</v>
      </c>
      <c r="Y26" s="19">
        <f>N26</f>
        <v>0</v>
      </c>
      <c r="Z26" s="26">
        <f>(L26+Q26)/(L26+Q26+H26+K26)</f>
        <v>1.9439679817038306E-2</v>
      </c>
    </row>
    <row r="27" spans="1:26" x14ac:dyDescent="0.35">
      <c r="A27" t="s">
        <v>122</v>
      </c>
      <c r="B27" t="s">
        <v>122</v>
      </c>
      <c r="C27" t="s">
        <v>123</v>
      </c>
      <c r="D27" t="s">
        <v>100</v>
      </c>
      <c r="E27" t="s">
        <v>99</v>
      </c>
      <c r="F27" t="s">
        <v>12</v>
      </c>
      <c r="G27">
        <v>1</v>
      </c>
      <c r="H27">
        <v>267</v>
      </c>
      <c r="I27">
        <v>0.79701492537313401</v>
      </c>
      <c r="J27" s="25">
        <f t="shared" si="1"/>
        <v>0.79701492537313434</v>
      </c>
      <c r="K27">
        <v>3163</v>
      </c>
      <c r="L27">
        <v>0</v>
      </c>
      <c r="M27">
        <v>0</v>
      </c>
      <c r="N27" s="25">
        <f t="shared" si="0"/>
        <v>0</v>
      </c>
      <c r="O27">
        <v>1</v>
      </c>
      <c r="P27" s="25">
        <f t="shared" si="2"/>
        <v>1</v>
      </c>
      <c r="Q27">
        <v>68</v>
      </c>
      <c r="R27" t="s">
        <v>124</v>
      </c>
      <c r="S27" t="s">
        <v>124</v>
      </c>
      <c r="T27" t="s">
        <v>124</v>
      </c>
      <c r="U27" t="s">
        <v>124</v>
      </c>
      <c r="X27" s="19">
        <f>J27</f>
        <v>0.79701492537313434</v>
      </c>
      <c r="Y27" s="19">
        <f>N27</f>
        <v>0</v>
      </c>
      <c r="Z27" s="26">
        <f>(L27+Q27)/(L27+Q27+H27+K27)</f>
        <v>1.9439679817038306E-2</v>
      </c>
    </row>
    <row r="28" spans="1:26" x14ac:dyDescent="0.35">
      <c r="A28" t="s">
        <v>122</v>
      </c>
      <c r="B28" t="s">
        <v>122</v>
      </c>
      <c r="C28" t="s">
        <v>123</v>
      </c>
      <c r="D28" t="s">
        <v>100</v>
      </c>
      <c r="E28" t="s">
        <v>99</v>
      </c>
      <c r="F28" t="s">
        <v>12</v>
      </c>
      <c r="G28">
        <v>1</v>
      </c>
      <c r="H28">
        <v>267</v>
      </c>
      <c r="I28">
        <v>0.79701492537313401</v>
      </c>
      <c r="J28" s="25">
        <f t="shared" si="1"/>
        <v>0.79701492537313434</v>
      </c>
      <c r="K28">
        <v>3163</v>
      </c>
      <c r="L28">
        <v>0</v>
      </c>
      <c r="M28">
        <v>0</v>
      </c>
      <c r="N28" s="25">
        <f t="shared" si="0"/>
        <v>0</v>
      </c>
      <c r="O28">
        <v>1</v>
      </c>
      <c r="P28" s="25">
        <f t="shared" si="2"/>
        <v>1</v>
      </c>
      <c r="Q28">
        <v>68</v>
      </c>
      <c r="R28" t="s">
        <v>124</v>
      </c>
      <c r="S28" t="s">
        <v>124</v>
      </c>
      <c r="T28" t="s">
        <v>124</v>
      </c>
      <c r="U28" t="s">
        <v>124</v>
      </c>
      <c r="X28" s="19">
        <f>J28</f>
        <v>0.79701492537313434</v>
      </c>
      <c r="Y28" s="19">
        <f>N28</f>
        <v>0</v>
      </c>
      <c r="Z28" s="26">
        <f>(L28+Q28)/(L28+Q28+H28+K28)</f>
        <v>1.9439679817038306E-2</v>
      </c>
    </row>
    <row r="29" spans="1:26" x14ac:dyDescent="0.35">
      <c r="A29" t="s">
        <v>122</v>
      </c>
      <c r="B29" t="s">
        <v>122</v>
      </c>
      <c r="C29" t="s">
        <v>123</v>
      </c>
      <c r="D29" t="s">
        <v>100</v>
      </c>
      <c r="E29" t="s">
        <v>99</v>
      </c>
      <c r="F29" t="s">
        <v>12</v>
      </c>
      <c r="G29">
        <v>1</v>
      </c>
      <c r="H29">
        <v>267</v>
      </c>
      <c r="I29">
        <v>0.79701492537313401</v>
      </c>
      <c r="J29" s="25">
        <f t="shared" si="1"/>
        <v>0.79701492537313434</v>
      </c>
      <c r="K29">
        <v>3163</v>
      </c>
      <c r="L29">
        <v>0</v>
      </c>
      <c r="M29">
        <v>0</v>
      </c>
      <c r="N29" s="25">
        <f t="shared" si="0"/>
        <v>0</v>
      </c>
      <c r="O29">
        <v>1</v>
      </c>
      <c r="P29" s="25">
        <f t="shared" si="2"/>
        <v>1</v>
      </c>
      <c r="Q29">
        <v>68</v>
      </c>
      <c r="R29" t="s">
        <v>124</v>
      </c>
      <c r="S29" t="s">
        <v>124</v>
      </c>
      <c r="T29" t="s">
        <v>124</v>
      </c>
      <c r="U29" t="s">
        <v>124</v>
      </c>
      <c r="X29" s="19">
        <f>J29</f>
        <v>0.79701492537313434</v>
      </c>
      <c r="Y29" s="19">
        <f>N29</f>
        <v>0</v>
      </c>
      <c r="Z29" s="26">
        <f>(L29+Q29)/(L29+Q29+H29+K29)</f>
        <v>1.9439679817038306E-2</v>
      </c>
    </row>
    <row r="30" spans="1:26" x14ac:dyDescent="0.35">
      <c r="A30" t="s">
        <v>122</v>
      </c>
      <c r="B30" t="s">
        <v>122</v>
      </c>
      <c r="C30" t="s">
        <v>123</v>
      </c>
      <c r="D30" t="s">
        <v>100</v>
      </c>
      <c r="E30" t="s">
        <v>99</v>
      </c>
      <c r="F30" t="s">
        <v>12</v>
      </c>
      <c r="G30">
        <v>1</v>
      </c>
      <c r="H30">
        <v>267</v>
      </c>
      <c r="I30">
        <v>0.79701492537313401</v>
      </c>
      <c r="J30" s="25">
        <f t="shared" si="1"/>
        <v>0.79701492537313434</v>
      </c>
      <c r="K30">
        <v>3163</v>
      </c>
      <c r="L30">
        <v>0</v>
      </c>
      <c r="M30">
        <v>0</v>
      </c>
      <c r="N30" s="25">
        <f t="shared" si="0"/>
        <v>0</v>
      </c>
      <c r="O30">
        <v>1</v>
      </c>
      <c r="P30" s="25">
        <f t="shared" si="2"/>
        <v>1</v>
      </c>
      <c r="Q30">
        <v>68</v>
      </c>
      <c r="R30" t="s">
        <v>124</v>
      </c>
      <c r="S30" t="s">
        <v>124</v>
      </c>
      <c r="T30" t="s">
        <v>124</v>
      </c>
      <c r="U30" t="s">
        <v>124</v>
      </c>
      <c r="X30" s="19">
        <f>J30</f>
        <v>0.79701492537313434</v>
      </c>
      <c r="Y30" s="19">
        <f>N30</f>
        <v>0</v>
      </c>
      <c r="Z30" s="26">
        <f>(L30+Q30)/(L30+Q30+H30+K30)</f>
        <v>1.9439679817038306E-2</v>
      </c>
    </row>
    <row r="31" spans="1:26" x14ac:dyDescent="0.35">
      <c r="A31" t="s">
        <v>122</v>
      </c>
      <c r="B31" t="s">
        <v>122</v>
      </c>
      <c r="C31" t="s">
        <v>123</v>
      </c>
      <c r="D31" t="s">
        <v>100</v>
      </c>
      <c r="E31" t="s">
        <v>99</v>
      </c>
      <c r="F31" t="s">
        <v>12</v>
      </c>
      <c r="G31">
        <v>1</v>
      </c>
      <c r="H31">
        <v>267</v>
      </c>
      <c r="I31">
        <v>0.79701492537313401</v>
      </c>
      <c r="J31" s="25">
        <f t="shared" si="1"/>
        <v>0.79701492537313434</v>
      </c>
      <c r="K31">
        <v>3163</v>
      </c>
      <c r="L31">
        <v>0</v>
      </c>
      <c r="M31">
        <v>0</v>
      </c>
      <c r="N31" s="25">
        <f t="shared" si="0"/>
        <v>0</v>
      </c>
      <c r="O31">
        <v>1</v>
      </c>
      <c r="P31" s="25">
        <f t="shared" si="2"/>
        <v>1</v>
      </c>
      <c r="Q31">
        <v>68</v>
      </c>
      <c r="R31" t="s">
        <v>124</v>
      </c>
      <c r="S31" t="s">
        <v>124</v>
      </c>
      <c r="T31" t="s">
        <v>124</v>
      </c>
      <c r="U31" t="s">
        <v>124</v>
      </c>
      <c r="X31" s="19">
        <f>J31</f>
        <v>0.79701492537313434</v>
      </c>
      <c r="Y31" s="19">
        <f>N31</f>
        <v>0</v>
      </c>
      <c r="Z31" s="26">
        <f>(L31+Q31)/(L31+Q31+H31+K31)</f>
        <v>1.9439679817038306E-2</v>
      </c>
    </row>
    <row r="32" spans="1:26" x14ac:dyDescent="0.35">
      <c r="A32" t="s">
        <v>122</v>
      </c>
      <c r="B32" t="s">
        <v>122</v>
      </c>
      <c r="C32" t="s">
        <v>123</v>
      </c>
      <c r="D32" t="s">
        <v>100</v>
      </c>
      <c r="E32" t="s">
        <v>99</v>
      </c>
      <c r="F32" t="s">
        <v>12</v>
      </c>
      <c r="G32">
        <v>1</v>
      </c>
      <c r="H32">
        <v>267</v>
      </c>
      <c r="I32">
        <v>0.79701492537313401</v>
      </c>
      <c r="J32" s="25">
        <f t="shared" si="1"/>
        <v>0.79701492537313434</v>
      </c>
      <c r="K32">
        <v>3163</v>
      </c>
      <c r="L32">
        <v>0</v>
      </c>
      <c r="M32">
        <v>0</v>
      </c>
      <c r="N32" s="25">
        <f t="shared" si="0"/>
        <v>0</v>
      </c>
      <c r="O32">
        <v>1</v>
      </c>
      <c r="P32" s="25">
        <f t="shared" si="2"/>
        <v>1</v>
      </c>
      <c r="Q32">
        <v>68</v>
      </c>
      <c r="R32" t="s">
        <v>124</v>
      </c>
      <c r="S32" t="s">
        <v>124</v>
      </c>
      <c r="T32" t="s">
        <v>124</v>
      </c>
      <c r="U32" t="s">
        <v>124</v>
      </c>
      <c r="X32" s="19">
        <f>J32</f>
        <v>0.79701492537313434</v>
      </c>
      <c r="Y32" s="19">
        <f>N32</f>
        <v>0</v>
      </c>
      <c r="Z32" s="26">
        <f>(L32+Q32)/(L32+Q32+H32+K32)</f>
        <v>1.9439679817038306E-2</v>
      </c>
    </row>
    <row r="33" spans="1:26" x14ac:dyDescent="0.35">
      <c r="A33" t="s">
        <v>122</v>
      </c>
      <c r="B33" t="s">
        <v>122</v>
      </c>
      <c r="C33" t="s">
        <v>123</v>
      </c>
      <c r="D33" t="s">
        <v>100</v>
      </c>
      <c r="E33" t="s">
        <v>99</v>
      </c>
      <c r="F33" t="s">
        <v>12</v>
      </c>
      <c r="G33">
        <v>1</v>
      </c>
      <c r="H33">
        <v>267</v>
      </c>
      <c r="I33">
        <v>0.79701492537313401</v>
      </c>
      <c r="J33" s="25">
        <f t="shared" si="1"/>
        <v>0.79701492537313434</v>
      </c>
      <c r="K33">
        <v>3163</v>
      </c>
      <c r="L33">
        <v>0</v>
      </c>
      <c r="M33">
        <v>0</v>
      </c>
      <c r="N33" s="25">
        <f t="shared" si="0"/>
        <v>0</v>
      </c>
      <c r="O33">
        <v>1</v>
      </c>
      <c r="P33" s="25">
        <f t="shared" si="2"/>
        <v>1</v>
      </c>
      <c r="Q33">
        <v>68</v>
      </c>
      <c r="R33" t="s">
        <v>124</v>
      </c>
      <c r="S33" t="s">
        <v>124</v>
      </c>
      <c r="T33" t="s">
        <v>124</v>
      </c>
      <c r="U33" t="s">
        <v>124</v>
      </c>
      <c r="X33" s="19">
        <f>J33</f>
        <v>0.79701492537313434</v>
      </c>
      <c r="Y33" s="19">
        <f>N33</f>
        <v>0</v>
      </c>
      <c r="Z33" s="26">
        <f>(L33+Q33)/(L33+Q33+H33+K33)</f>
        <v>1.9439679817038306E-2</v>
      </c>
    </row>
    <row r="34" spans="1:26" x14ac:dyDescent="0.35">
      <c r="A34" t="s">
        <v>122</v>
      </c>
      <c r="B34" t="s">
        <v>122</v>
      </c>
      <c r="C34" t="s">
        <v>123</v>
      </c>
      <c r="D34" t="s">
        <v>100</v>
      </c>
      <c r="E34" t="s">
        <v>99</v>
      </c>
      <c r="F34" t="s">
        <v>12</v>
      </c>
      <c r="G34">
        <v>1</v>
      </c>
      <c r="H34">
        <v>267</v>
      </c>
      <c r="I34">
        <v>0.79701492537313401</v>
      </c>
      <c r="J34" s="25">
        <f t="shared" si="1"/>
        <v>0.79701492537313434</v>
      </c>
      <c r="K34">
        <v>3163</v>
      </c>
      <c r="L34">
        <v>0</v>
      </c>
      <c r="M34">
        <v>0</v>
      </c>
      <c r="N34" s="25">
        <f t="shared" si="0"/>
        <v>0</v>
      </c>
      <c r="O34">
        <v>1</v>
      </c>
      <c r="P34" s="25">
        <f t="shared" si="2"/>
        <v>1</v>
      </c>
      <c r="Q34">
        <v>68</v>
      </c>
      <c r="R34" t="s">
        <v>124</v>
      </c>
      <c r="S34" t="s">
        <v>124</v>
      </c>
      <c r="T34" t="s">
        <v>124</v>
      </c>
      <c r="U34" t="s">
        <v>124</v>
      </c>
      <c r="X34" s="19">
        <f>J34</f>
        <v>0.79701492537313434</v>
      </c>
      <c r="Y34" s="19">
        <f>N34</f>
        <v>0</v>
      </c>
      <c r="Z34" s="26">
        <f>(L34+Q34)/(L34+Q34+H34+K34)</f>
        <v>1.9439679817038306E-2</v>
      </c>
    </row>
    <row r="35" spans="1:26" x14ac:dyDescent="0.35">
      <c r="A35" t="s">
        <v>122</v>
      </c>
      <c r="B35" t="s">
        <v>122</v>
      </c>
      <c r="C35" t="s">
        <v>123</v>
      </c>
      <c r="D35" t="s">
        <v>100</v>
      </c>
      <c r="E35" t="s">
        <v>99</v>
      </c>
      <c r="F35" t="s">
        <v>12</v>
      </c>
      <c r="G35">
        <v>1</v>
      </c>
      <c r="H35">
        <v>267</v>
      </c>
      <c r="I35">
        <v>0.79701492537313401</v>
      </c>
      <c r="J35" s="25">
        <f t="shared" si="1"/>
        <v>0.79701492537313434</v>
      </c>
      <c r="K35">
        <v>3163</v>
      </c>
      <c r="L35">
        <v>0</v>
      </c>
      <c r="M35">
        <v>0</v>
      </c>
      <c r="N35" s="25">
        <f t="shared" si="0"/>
        <v>0</v>
      </c>
      <c r="O35">
        <v>1</v>
      </c>
      <c r="P35" s="25">
        <f t="shared" si="2"/>
        <v>1</v>
      </c>
      <c r="Q35">
        <v>68</v>
      </c>
      <c r="R35" t="s">
        <v>124</v>
      </c>
      <c r="S35" t="s">
        <v>124</v>
      </c>
      <c r="T35" t="s">
        <v>124</v>
      </c>
      <c r="U35" t="s">
        <v>124</v>
      </c>
      <c r="X35" s="19">
        <f>J35</f>
        <v>0.79701492537313434</v>
      </c>
      <c r="Y35" s="19">
        <f>N35</f>
        <v>0</v>
      </c>
      <c r="Z35" s="26">
        <f>(L35+Q35)/(L35+Q35+H35+K35)</f>
        <v>1.9439679817038306E-2</v>
      </c>
    </row>
    <row r="36" spans="1:26" x14ac:dyDescent="0.35">
      <c r="A36" t="s">
        <v>122</v>
      </c>
      <c r="B36" t="s">
        <v>122</v>
      </c>
      <c r="C36" t="s">
        <v>123</v>
      </c>
      <c r="D36" t="s">
        <v>100</v>
      </c>
      <c r="E36" t="s">
        <v>99</v>
      </c>
      <c r="F36" t="s">
        <v>12</v>
      </c>
      <c r="G36">
        <v>1</v>
      </c>
      <c r="H36">
        <v>267</v>
      </c>
      <c r="I36">
        <v>0.79701492537313401</v>
      </c>
      <c r="J36" s="25">
        <f t="shared" si="1"/>
        <v>0.79701492537313434</v>
      </c>
      <c r="K36">
        <v>3163</v>
      </c>
      <c r="L36">
        <v>0</v>
      </c>
      <c r="M36">
        <v>0</v>
      </c>
      <c r="N36" s="25">
        <f t="shared" si="0"/>
        <v>0</v>
      </c>
      <c r="O36">
        <v>1</v>
      </c>
      <c r="P36" s="25">
        <f t="shared" si="2"/>
        <v>1</v>
      </c>
      <c r="Q36">
        <v>68</v>
      </c>
      <c r="R36" t="s">
        <v>124</v>
      </c>
      <c r="S36" t="s">
        <v>124</v>
      </c>
      <c r="T36" t="s">
        <v>124</v>
      </c>
      <c r="U36" t="s">
        <v>124</v>
      </c>
      <c r="X36" s="19">
        <f>J36</f>
        <v>0.79701492537313434</v>
      </c>
      <c r="Y36" s="19">
        <f>N36</f>
        <v>0</v>
      </c>
      <c r="Z36" s="26">
        <f>(L36+Q36)/(L36+Q36+H36+K36)</f>
        <v>1.9439679817038306E-2</v>
      </c>
    </row>
    <row r="37" spans="1:26" x14ac:dyDescent="0.35">
      <c r="A37" t="s">
        <v>122</v>
      </c>
      <c r="B37" t="s">
        <v>122</v>
      </c>
      <c r="C37" t="s">
        <v>123</v>
      </c>
      <c r="D37" t="s">
        <v>100</v>
      </c>
      <c r="E37" t="s">
        <v>99</v>
      </c>
      <c r="F37" t="s">
        <v>12</v>
      </c>
      <c r="G37">
        <v>1</v>
      </c>
      <c r="H37">
        <v>267</v>
      </c>
      <c r="I37">
        <v>0.79701492537313401</v>
      </c>
      <c r="J37" s="25">
        <f t="shared" si="1"/>
        <v>0.79701492537313434</v>
      </c>
      <c r="K37">
        <v>3163</v>
      </c>
      <c r="L37">
        <v>0</v>
      </c>
      <c r="M37">
        <v>0</v>
      </c>
      <c r="N37" s="25">
        <f t="shared" si="0"/>
        <v>0</v>
      </c>
      <c r="O37">
        <v>1</v>
      </c>
      <c r="P37" s="25">
        <f t="shared" si="2"/>
        <v>1</v>
      </c>
      <c r="Q37">
        <v>68</v>
      </c>
      <c r="R37" t="s">
        <v>124</v>
      </c>
      <c r="S37" t="s">
        <v>124</v>
      </c>
      <c r="T37" t="s">
        <v>124</v>
      </c>
      <c r="U37" t="s">
        <v>124</v>
      </c>
      <c r="X37" s="19">
        <f>J37</f>
        <v>0.79701492537313434</v>
      </c>
      <c r="Y37" s="19">
        <f>N37</f>
        <v>0</v>
      </c>
      <c r="Z37" s="26">
        <f>(L37+Q37)/(L37+Q37+H37+K37)</f>
        <v>1.9439679817038306E-2</v>
      </c>
    </row>
    <row r="38" spans="1:26" x14ac:dyDescent="0.35">
      <c r="A38" t="s">
        <v>122</v>
      </c>
      <c r="B38" t="s">
        <v>122</v>
      </c>
      <c r="C38" t="s">
        <v>123</v>
      </c>
      <c r="D38" t="s">
        <v>100</v>
      </c>
      <c r="E38" t="s">
        <v>99</v>
      </c>
      <c r="F38" t="s">
        <v>12</v>
      </c>
      <c r="G38">
        <v>1</v>
      </c>
      <c r="H38">
        <v>267</v>
      </c>
      <c r="I38">
        <v>0.79701492537313401</v>
      </c>
      <c r="J38" s="25">
        <f t="shared" si="1"/>
        <v>0.79701492537313434</v>
      </c>
      <c r="K38">
        <v>3163</v>
      </c>
      <c r="L38">
        <v>0</v>
      </c>
      <c r="M38">
        <v>0</v>
      </c>
      <c r="N38" s="25">
        <f t="shared" si="0"/>
        <v>0</v>
      </c>
      <c r="O38">
        <v>1</v>
      </c>
      <c r="P38" s="25">
        <f t="shared" si="2"/>
        <v>1</v>
      </c>
      <c r="Q38">
        <v>68</v>
      </c>
      <c r="R38" t="s">
        <v>124</v>
      </c>
      <c r="S38" t="s">
        <v>124</v>
      </c>
      <c r="T38" t="s">
        <v>124</v>
      </c>
      <c r="U38" t="s">
        <v>124</v>
      </c>
      <c r="X38" s="19">
        <f>J38</f>
        <v>0.79701492537313434</v>
      </c>
      <c r="Y38" s="19">
        <f>N38</f>
        <v>0</v>
      </c>
      <c r="Z38" s="26">
        <f>(L38+Q38)/(L38+Q38+H38+K38)</f>
        <v>1.9439679817038306E-2</v>
      </c>
    </row>
    <row r="39" spans="1:26" x14ac:dyDescent="0.35">
      <c r="A39" t="s">
        <v>122</v>
      </c>
      <c r="B39" t="s">
        <v>122</v>
      </c>
      <c r="C39" t="s">
        <v>123</v>
      </c>
      <c r="D39" t="s">
        <v>100</v>
      </c>
      <c r="E39" t="s">
        <v>99</v>
      </c>
      <c r="F39" t="s">
        <v>12</v>
      </c>
      <c r="G39">
        <v>1</v>
      </c>
      <c r="H39">
        <v>267</v>
      </c>
      <c r="I39">
        <v>0.79701492537313401</v>
      </c>
      <c r="J39" s="25">
        <f t="shared" si="1"/>
        <v>0.79701492537313434</v>
      </c>
      <c r="K39">
        <v>3163</v>
      </c>
      <c r="L39">
        <v>0</v>
      </c>
      <c r="M39">
        <v>0</v>
      </c>
      <c r="N39" s="25">
        <f t="shared" si="0"/>
        <v>0</v>
      </c>
      <c r="O39">
        <v>1</v>
      </c>
      <c r="P39" s="25">
        <f t="shared" si="2"/>
        <v>1</v>
      </c>
      <c r="Q39">
        <v>68</v>
      </c>
      <c r="R39" t="s">
        <v>124</v>
      </c>
      <c r="S39" t="s">
        <v>124</v>
      </c>
      <c r="T39" t="s">
        <v>124</v>
      </c>
      <c r="U39" t="s">
        <v>124</v>
      </c>
      <c r="X39" s="19">
        <f>J39</f>
        <v>0.79701492537313434</v>
      </c>
      <c r="Y39" s="19">
        <f>N39</f>
        <v>0</v>
      </c>
      <c r="Z39" s="26">
        <f>(L39+Q39)/(L39+Q39+H39+K39)</f>
        <v>1.9439679817038306E-2</v>
      </c>
    </row>
    <row r="40" spans="1:26" x14ac:dyDescent="0.35">
      <c r="A40" t="s">
        <v>122</v>
      </c>
      <c r="B40" t="s">
        <v>122</v>
      </c>
      <c r="C40" t="s">
        <v>123</v>
      </c>
      <c r="D40" t="s">
        <v>100</v>
      </c>
      <c r="E40" t="s">
        <v>99</v>
      </c>
      <c r="F40" t="s">
        <v>12</v>
      </c>
      <c r="G40">
        <v>1</v>
      </c>
      <c r="H40">
        <v>267</v>
      </c>
      <c r="I40">
        <v>0.79701492537313401</v>
      </c>
      <c r="J40" s="25">
        <f t="shared" si="1"/>
        <v>0.79701492537313434</v>
      </c>
      <c r="K40">
        <v>3163</v>
      </c>
      <c r="L40">
        <v>0</v>
      </c>
      <c r="M40">
        <v>0</v>
      </c>
      <c r="N40" s="25">
        <f t="shared" si="0"/>
        <v>0</v>
      </c>
      <c r="O40">
        <v>1</v>
      </c>
      <c r="P40" s="25">
        <f t="shared" si="2"/>
        <v>1</v>
      </c>
      <c r="Q40">
        <v>68</v>
      </c>
      <c r="R40" t="s">
        <v>124</v>
      </c>
      <c r="S40" t="s">
        <v>124</v>
      </c>
      <c r="T40" t="s">
        <v>124</v>
      </c>
      <c r="U40" t="s">
        <v>124</v>
      </c>
      <c r="X40" s="19">
        <f>J40</f>
        <v>0.79701492537313434</v>
      </c>
      <c r="Y40" s="19">
        <f>N40</f>
        <v>0</v>
      </c>
      <c r="Z40" s="26">
        <f>(L40+Q40)/(L40+Q40+H40+K40)</f>
        <v>1.9439679817038306E-2</v>
      </c>
    </row>
    <row r="41" spans="1:26" x14ac:dyDescent="0.35">
      <c r="A41" t="s">
        <v>122</v>
      </c>
      <c r="B41" t="s">
        <v>122</v>
      </c>
      <c r="C41" t="s">
        <v>123</v>
      </c>
      <c r="D41" t="s">
        <v>100</v>
      </c>
      <c r="E41" t="s">
        <v>99</v>
      </c>
      <c r="F41" t="s">
        <v>12</v>
      </c>
      <c r="G41">
        <v>1</v>
      </c>
      <c r="H41">
        <v>267</v>
      </c>
      <c r="I41">
        <v>0.79701492537313401</v>
      </c>
      <c r="J41" s="25">
        <f t="shared" si="1"/>
        <v>0.79701492537313434</v>
      </c>
      <c r="K41">
        <v>3163</v>
      </c>
      <c r="L41">
        <v>0</v>
      </c>
      <c r="M41">
        <v>0</v>
      </c>
      <c r="N41" s="25">
        <f t="shared" si="0"/>
        <v>0</v>
      </c>
      <c r="O41">
        <v>1</v>
      </c>
      <c r="P41" s="25">
        <f t="shared" si="2"/>
        <v>1</v>
      </c>
      <c r="Q41">
        <v>68</v>
      </c>
      <c r="R41" t="s">
        <v>124</v>
      </c>
      <c r="S41" t="s">
        <v>124</v>
      </c>
      <c r="T41" t="s">
        <v>124</v>
      </c>
      <c r="U41" t="s">
        <v>124</v>
      </c>
      <c r="X41" s="19">
        <f>J41</f>
        <v>0.79701492537313434</v>
      </c>
      <c r="Y41" s="19">
        <f>N41</f>
        <v>0</v>
      </c>
      <c r="Z41" s="26">
        <f>(L41+Q41)/(L41+Q41+H41+K41)</f>
        <v>1.9439679817038306E-2</v>
      </c>
    </row>
    <row r="42" spans="1:26" x14ac:dyDescent="0.35">
      <c r="A42" t="s">
        <v>122</v>
      </c>
      <c r="B42" t="s">
        <v>122</v>
      </c>
      <c r="C42" t="s">
        <v>123</v>
      </c>
      <c r="D42" t="s">
        <v>100</v>
      </c>
      <c r="E42" t="s">
        <v>99</v>
      </c>
      <c r="F42" t="s">
        <v>12</v>
      </c>
      <c r="G42">
        <v>1</v>
      </c>
      <c r="H42">
        <v>267</v>
      </c>
      <c r="I42">
        <v>0.79701492537313401</v>
      </c>
      <c r="J42" s="25">
        <f t="shared" si="1"/>
        <v>0.79701492537313434</v>
      </c>
      <c r="K42">
        <v>3163</v>
      </c>
      <c r="L42">
        <v>0</v>
      </c>
      <c r="M42">
        <v>0</v>
      </c>
      <c r="N42" s="25">
        <f t="shared" si="0"/>
        <v>0</v>
      </c>
      <c r="O42">
        <v>1</v>
      </c>
      <c r="P42" s="25">
        <f t="shared" si="2"/>
        <v>1</v>
      </c>
      <c r="Q42">
        <v>68</v>
      </c>
      <c r="R42" t="s">
        <v>124</v>
      </c>
      <c r="S42" t="s">
        <v>124</v>
      </c>
      <c r="T42" t="s">
        <v>124</v>
      </c>
      <c r="U42" t="s">
        <v>124</v>
      </c>
      <c r="X42" s="19">
        <f>J42</f>
        <v>0.79701492537313434</v>
      </c>
      <c r="Y42" s="19">
        <f>N42</f>
        <v>0</v>
      </c>
      <c r="Z42" s="26">
        <f>(L42+Q42)/(L42+Q42+H42+K42)</f>
        <v>1.9439679817038306E-2</v>
      </c>
    </row>
    <row r="43" spans="1:26" x14ac:dyDescent="0.35">
      <c r="A43" t="s">
        <v>122</v>
      </c>
      <c r="B43" t="s">
        <v>122</v>
      </c>
      <c r="C43" t="s">
        <v>123</v>
      </c>
      <c r="D43" t="s">
        <v>100</v>
      </c>
      <c r="E43" t="s">
        <v>99</v>
      </c>
      <c r="F43" t="s">
        <v>12</v>
      </c>
      <c r="G43">
        <v>1</v>
      </c>
      <c r="H43">
        <v>267</v>
      </c>
      <c r="I43">
        <v>0.79701492537313401</v>
      </c>
      <c r="J43" s="25">
        <f t="shared" si="1"/>
        <v>0.79701492537313434</v>
      </c>
      <c r="K43">
        <v>3163</v>
      </c>
      <c r="L43">
        <v>0</v>
      </c>
      <c r="M43">
        <v>0</v>
      </c>
      <c r="N43" s="25">
        <f t="shared" si="0"/>
        <v>0</v>
      </c>
      <c r="O43">
        <v>1</v>
      </c>
      <c r="P43" s="25">
        <f t="shared" si="2"/>
        <v>1</v>
      </c>
      <c r="Q43">
        <v>68</v>
      </c>
      <c r="R43" t="s">
        <v>124</v>
      </c>
      <c r="S43" t="s">
        <v>124</v>
      </c>
      <c r="T43" t="s">
        <v>124</v>
      </c>
      <c r="U43" t="s">
        <v>124</v>
      </c>
      <c r="X43" s="19">
        <f>J43</f>
        <v>0.79701492537313434</v>
      </c>
      <c r="Y43" s="19">
        <f>N43</f>
        <v>0</v>
      </c>
      <c r="Z43" s="26">
        <f>(L43+Q43)/(L43+Q43+H43+K43)</f>
        <v>1.9439679817038306E-2</v>
      </c>
    </row>
    <row r="44" spans="1:26" x14ac:dyDescent="0.35">
      <c r="A44" t="s">
        <v>122</v>
      </c>
      <c r="B44" t="s">
        <v>122</v>
      </c>
      <c r="C44" t="s">
        <v>123</v>
      </c>
      <c r="D44" t="s">
        <v>100</v>
      </c>
      <c r="E44" t="s">
        <v>99</v>
      </c>
      <c r="F44" t="s">
        <v>12</v>
      </c>
      <c r="G44">
        <v>1</v>
      </c>
      <c r="H44">
        <v>267</v>
      </c>
      <c r="I44">
        <v>0.79701492537313401</v>
      </c>
      <c r="J44" s="25">
        <f t="shared" si="1"/>
        <v>0.79701492537313434</v>
      </c>
      <c r="K44">
        <v>3163</v>
      </c>
      <c r="L44">
        <v>0</v>
      </c>
      <c r="M44">
        <v>0</v>
      </c>
      <c r="N44" s="25">
        <f t="shared" si="0"/>
        <v>0</v>
      </c>
      <c r="O44">
        <v>1</v>
      </c>
      <c r="P44" s="25">
        <f t="shared" si="2"/>
        <v>1</v>
      </c>
      <c r="Q44">
        <v>68</v>
      </c>
      <c r="R44" t="s">
        <v>124</v>
      </c>
      <c r="S44" t="s">
        <v>124</v>
      </c>
      <c r="T44" t="s">
        <v>124</v>
      </c>
      <c r="U44" t="s">
        <v>124</v>
      </c>
      <c r="X44" s="19">
        <f>J44</f>
        <v>0.79701492537313434</v>
      </c>
      <c r="Y44" s="19">
        <f>N44</f>
        <v>0</v>
      </c>
      <c r="Z44" s="26">
        <f>(L44+Q44)/(L44+Q44+H44+K44)</f>
        <v>1.9439679817038306E-2</v>
      </c>
    </row>
    <row r="45" spans="1:26" x14ac:dyDescent="0.35">
      <c r="A45" t="s">
        <v>122</v>
      </c>
      <c r="B45" t="s">
        <v>122</v>
      </c>
      <c r="C45" t="s">
        <v>123</v>
      </c>
      <c r="D45" t="s">
        <v>100</v>
      </c>
      <c r="E45" t="s">
        <v>99</v>
      </c>
      <c r="F45" t="s">
        <v>12</v>
      </c>
      <c r="G45">
        <v>1</v>
      </c>
      <c r="H45">
        <v>267</v>
      </c>
      <c r="I45">
        <v>0.79701492537313401</v>
      </c>
      <c r="J45" s="25">
        <f t="shared" si="1"/>
        <v>0.79701492537313434</v>
      </c>
      <c r="K45">
        <v>3163</v>
      </c>
      <c r="L45">
        <v>0</v>
      </c>
      <c r="M45">
        <v>0</v>
      </c>
      <c r="N45" s="25">
        <f t="shared" si="0"/>
        <v>0</v>
      </c>
      <c r="O45">
        <v>1</v>
      </c>
      <c r="P45" s="25">
        <f t="shared" si="2"/>
        <v>1</v>
      </c>
      <c r="Q45">
        <v>68</v>
      </c>
      <c r="R45" t="s">
        <v>124</v>
      </c>
      <c r="S45" t="s">
        <v>124</v>
      </c>
      <c r="T45" t="s">
        <v>124</v>
      </c>
      <c r="U45" t="s">
        <v>124</v>
      </c>
      <c r="X45" s="19">
        <f>J45</f>
        <v>0.79701492537313434</v>
      </c>
      <c r="Y45" s="19">
        <f>N45</f>
        <v>0</v>
      </c>
      <c r="Z45" s="26">
        <f>(L45+Q45)/(L45+Q45+H45+K45)</f>
        <v>1.9439679817038306E-2</v>
      </c>
    </row>
    <row r="46" spans="1:26" x14ac:dyDescent="0.35">
      <c r="A46" t="s">
        <v>122</v>
      </c>
      <c r="B46" t="s">
        <v>122</v>
      </c>
      <c r="C46" t="s">
        <v>123</v>
      </c>
      <c r="D46" t="s">
        <v>100</v>
      </c>
      <c r="E46" t="s">
        <v>99</v>
      </c>
      <c r="F46" t="s">
        <v>12</v>
      </c>
      <c r="G46">
        <v>1</v>
      </c>
      <c r="H46">
        <v>267</v>
      </c>
      <c r="I46">
        <v>0.79701492537313401</v>
      </c>
      <c r="J46" s="25">
        <f t="shared" si="1"/>
        <v>0.79701492537313434</v>
      </c>
      <c r="K46">
        <v>3163</v>
      </c>
      <c r="L46">
        <v>0</v>
      </c>
      <c r="M46">
        <v>0</v>
      </c>
      <c r="N46" s="25">
        <f t="shared" si="0"/>
        <v>0</v>
      </c>
      <c r="O46">
        <v>1</v>
      </c>
      <c r="P46" s="25">
        <f t="shared" si="2"/>
        <v>1</v>
      </c>
      <c r="Q46">
        <v>68</v>
      </c>
      <c r="R46" t="s">
        <v>124</v>
      </c>
      <c r="S46" t="s">
        <v>124</v>
      </c>
      <c r="T46" t="s">
        <v>124</v>
      </c>
      <c r="U46" t="s">
        <v>124</v>
      </c>
      <c r="X46" s="19">
        <f>J46</f>
        <v>0.79701492537313434</v>
      </c>
      <c r="Y46" s="19">
        <f>N46</f>
        <v>0</v>
      </c>
      <c r="Z46" s="26">
        <f>(L46+Q46)/(L46+Q46+H46+K46)</f>
        <v>1.9439679817038306E-2</v>
      </c>
    </row>
    <row r="47" spans="1:26" x14ac:dyDescent="0.35">
      <c r="A47" t="s">
        <v>122</v>
      </c>
      <c r="B47" t="s">
        <v>122</v>
      </c>
      <c r="C47" t="s">
        <v>123</v>
      </c>
      <c r="D47" t="s">
        <v>100</v>
      </c>
      <c r="E47" t="s">
        <v>99</v>
      </c>
      <c r="F47" t="s">
        <v>12</v>
      </c>
      <c r="G47">
        <v>1</v>
      </c>
      <c r="H47">
        <v>267</v>
      </c>
      <c r="I47">
        <v>0.79701492537313401</v>
      </c>
      <c r="J47" s="25">
        <f t="shared" si="1"/>
        <v>0.79701492537313434</v>
      </c>
      <c r="K47">
        <v>3163</v>
      </c>
      <c r="L47">
        <v>0</v>
      </c>
      <c r="M47">
        <v>0</v>
      </c>
      <c r="N47" s="25">
        <f t="shared" si="0"/>
        <v>0</v>
      </c>
      <c r="O47">
        <v>1</v>
      </c>
      <c r="P47" s="25">
        <f t="shared" si="2"/>
        <v>1</v>
      </c>
      <c r="Q47">
        <v>68</v>
      </c>
      <c r="R47" t="s">
        <v>124</v>
      </c>
      <c r="S47" t="s">
        <v>124</v>
      </c>
      <c r="T47" t="s">
        <v>124</v>
      </c>
      <c r="U47" t="s">
        <v>124</v>
      </c>
      <c r="X47" s="19">
        <f>J47</f>
        <v>0.79701492537313434</v>
      </c>
      <c r="Y47" s="19">
        <f>N47</f>
        <v>0</v>
      </c>
      <c r="Z47" s="26">
        <f>(L47+Q47)/(L47+Q47+H47+K47)</f>
        <v>1.9439679817038306E-2</v>
      </c>
    </row>
    <row r="48" spans="1:26" x14ac:dyDescent="0.35">
      <c r="A48" t="s">
        <v>122</v>
      </c>
      <c r="B48" t="s">
        <v>122</v>
      </c>
      <c r="C48" t="s">
        <v>123</v>
      </c>
      <c r="D48" t="s">
        <v>100</v>
      </c>
      <c r="E48" t="s">
        <v>99</v>
      </c>
      <c r="F48" t="s">
        <v>12</v>
      </c>
      <c r="G48">
        <v>1</v>
      </c>
      <c r="H48">
        <v>267</v>
      </c>
      <c r="I48">
        <v>0.79701492537313401</v>
      </c>
      <c r="J48" s="25">
        <f t="shared" si="1"/>
        <v>0.79701492537313434</v>
      </c>
      <c r="K48">
        <v>3163</v>
      </c>
      <c r="L48">
        <v>0</v>
      </c>
      <c r="M48">
        <v>0</v>
      </c>
      <c r="N48" s="25">
        <f t="shared" si="0"/>
        <v>0</v>
      </c>
      <c r="O48">
        <v>1</v>
      </c>
      <c r="P48" s="25">
        <f t="shared" si="2"/>
        <v>1</v>
      </c>
      <c r="Q48">
        <v>68</v>
      </c>
      <c r="R48" t="s">
        <v>124</v>
      </c>
      <c r="S48" t="s">
        <v>124</v>
      </c>
      <c r="T48" t="s">
        <v>124</v>
      </c>
      <c r="U48" t="s">
        <v>124</v>
      </c>
      <c r="X48" s="19">
        <f>J48</f>
        <v>0.79701492537313434</v>
      </c>
      <c r="Y48" s="19">
        <f>N48</f>
        <v>0</v>
      </c>
      <c r="Z48" s="26">
        <f>(L48+Q48)/(L48+Q48+H48+K48)</f>
        <v>1.9439679817038306E-2</v>
      </c>
    </row>
    <row r="49" spans="1:26" x14ac:dyDescent="0.35">
      <c r="A49" t="s">
        <v>122</v>
      </c>
      <c r="B49" t="s">
        <v>122</v>
      </c>
      <c r="C49" t="s">
        <v>123</v>
      </c>
      <c r="D49" t="s">
        <v>100</v>
      </c>
      <c r="E49" t="s">
        <v>99</v>
      </c>
      <c r="F49" t="s">
        <v>12</v>
      </c>
      <c r="G49">
        <v>1</v>
      </c>
      <c r="H49">
        <v>267</v>
      </c>
      <c r="I49">
        <v>0.79701492537313401</v>
      </c>
      <c r="J49" s="25">
        <f t="shared" si="1"/>
        <v>0.79701492537313434</v>
      </c>
      <c r="K49">
        <v>3163</v>
      </c>
      <c r="L49">
        <v>0</v>
      </c>
      <c r="M49">
        <v>0</v>
      </c>
      <c r="N49" s="25">
        <f t="shared" si="0"/>
        <v>0</v>
      </c>
      <c r="O49">
        <v>1</v>
      </c>
      <c r="P49" s="25">
        <f t="shared" si="2"/>
        <v>1</v>
      </c>
      <c r="Q49">
        <v>68</v>
      </c>
      <c r="R49" t="s">
        <v>124</v>
      </c>
      <c r="S49" t="s">
        <v>124</v>
      </c>
      <c r="T49" t="s">
        <v>124</v>
      </c>
      <c r="U49" t="s">
        <v>124</v>
      </c>
      <c r="X49" s="19">
        <f>J49</f>
        <v>0.79701492537313434</v>
      </c>
      <c r="Y49" s="19">
        <f>N49</f>
        <v>0</v>
      </c>
      <c r="Z49" s="26">
        <f>(L49+Q49)/(L49+Q49+H49+K49)</f>
        <v>1.9439679817038306E-2</v>
      </c>
    </row>
    <row r="50" spans="1:26" x14ac:dyDescent="0.35">
      <c r="A50" t="s">
        <v>122</v>
      </c>
      <c r="B50" t="s">
        <v>122</v>
      </c>
      <c r="C50" t="s">
        <v>123</v>
      </c>
      <c r="D50" t="s">
        <v>100</v>
      </c>
      <c r="E50" t="s">
        <v>99</v>
      </c>
      <c r="F50" t="s">
        <v>12</v>
      </c>
      <c r="G50">
        <v>1</v>
      </c>
      <c r="H50">
        <v>267</v>
      </c>
      <c r="I50">
        <v>0.79701492537313401</v>
      </c>
      <c r="J50" s="25">
        <f t="shared" si="1"/>
        <v>0.79701492537313434</v>
      </c>
      <c r="K50">
        <v>3163</v>
      </c>
      <c r="L50">
        <v>0</v>
      </c>
      <c r="M50">
        <v>0</v>
      </c>
      <c r="N50" s="25">
        <f t="shared" si="0"/>
        <v>0</v>
      </c>
      <c r="O50">
        <v>1</v>
      </c>
      <c r="P50" s="25">
        <f t="shared" si="2"/>
        <v>1</v>
      </c>
      <c r="Q50">
        <v>68</v>
      </c>
      <c r="R50" t="s">
        <v>124</v>
      </c>
      <c r="S50" t="s">
        <v>124</v>
      </c>
      <c r="T50" t="s">
        <v>124</v>
      </c>
      <c r="U50" t="s">
        <v>124</v>
      </c>
      <c r="X50" s="19">
        <f>J50</f>
        <v>0.79701492537313434</v>
      </c>
      <c r="Y50" s="19">
        <f>N50</f>
        <v>0</v>
      </c>
      <c r="Z50" s="26">
        <f>(L50+Q50)/(L50+Q50+H50+K50)</f>
        <v>1.9439679817038306E-2</v>
      </c>
    </row>
    <row r="51" spans="1:26" x14ac:dyDescent="0.35">
      <c r="A51" t="s">
        <v>122</v>
      </c>
      <c r="B51" t="s">
        <v>122</v>
      </c>
      <c r="C51" t="s">
        <v>123</v>
      </c>
      <c r="D51" t="s">
        <v>100</v>
      </c>
      <c r="E51" t="s">
        <v>99</v>
      </c>
      <c r="F51" t="s">
        <v>12</v>
      </c>
      <c r="G51">
        <v>1</v>
      </c>
      <c r="H51">
        <v>267</v>
      </c>
      <c r="I51">
        <v>0.79701492537313401</v>
      </c>
      <c r="J51" s="25">
        <f t="shared" si="1"/>
        <v>0.79701492537313434</v>
      </c>
      <c r="K51">
        <v>3163</v>
      </c>
      <c r="L51">
        <v>0</v>
      </c>
      <c r="M51">
        <v>0</v>
      </c>
      <c r="N51" s="25">
        <f t="shared" si="0"/>
        <v>0</v>
      </c>
      <c r="O51">
        <v>1</v>
      </c>
      <c r="P51" s="25">
        <f t="shared" si="2"/>
        <v>1</v>
      </c>
      <c r="Q51">
        <v>68</v>
      </c>
      <c r="R51" t="s">
        <v>124</v>
      </c>
      <c r="S51" t="s">
        <v>124</v>
      </c>
      <c r="T51" t="s">
        <v>124</v>
      </c>
      <c r="U51" t="s">
        <v>124</v>
      </c>
      <c r="X51" s="19">
        <f>J51</f>
        <v>0.79701492537313434</v>
      </c>
      <c r="Y51" s="19">
        <f>N51</f>
        <v>0</v>
      </c>
      <c r="Z51" s="26">
        <f>(L51+Q51)/(L51+Q51+H51+K51)</f>
        <v>1.9439679817038306E-2</v>
      </c>
    </row>
    <row r="52" spans="1:26" x14ac:dyDescent="0.35">
      <c r="A52" t="s">
        <v>122</v>
      </c>
      <c r="B52" t="s">
        <v>122</v>
      </c>
      <c r="C52" t="s">
        <v>123</v>
      </c>
      <c r="D52" t="s">
        <v>100</v>
      </c>
      <c r="E52" t="s">
        <v>99</v>
      </c>
      <c r="F52" t="s">
        <v>12</v>
      </c>
      <c r="G52">
        <v>1</v>
      </c>
      <c r="H52">
        <v>267</v>
      </c>
      <c r="I52">
        <v>0.79701492537313401</v>
      </c>
      <c r="J52" s="25">
        <f t="shared" si="1"/>
        <v>0.79701492537313434</v>
      </c>
      <c r="K52">
        <v>3163</v>
      </c>
      <c r="L52">
        <v>0</v>
      </c>
      <c r="M52">
        <v>0</v>
      </c>
      <c r="N52" s="25">
        <f t="shared" si="0"/>
        <v>0</v>
      </c>
      <c r="O52">
        <v>1</v>
      </c>
      <c r="P52" s="25">
        <f t="shared" si="2"/>
        <v>1</v>
      </c>
      <c r="Q52">
        <v>68</v>
      </c>
      <c r="R52" t="s">
        <v>124</v>
      </c>
      <c r="S52" t="s">
        <v>124</v>
      </c>
      <c r="T52" t="s">
        <v>124</v>
      </c>
      <c r="U52" t="s">
        <v>124</v>
      </c>
      <c r="X52" s="19">
        <f>J52</f>
        <v>0.79701492537313434</v>
      </c>
      <c r="Y52" s="19">
        <f>N52</f>
        <v>0</v>
      </c>
      <c r="Z52" s="26">
        <f>(L52+Q52)/(L52+Q52+H52+K52)</f>
        <v>1.9439679817038306E-2</v>
      </c>
    </row>
    <row r="53" spans="1:26" x14ac:dyDescent="0.35">
      <c r="A53" t="s">
        <v>122</v>
      </c>
      <c r="B53" t="s">
        <v>122</v>
      </c>
      <c r="C53" t="s">
        <v>123</v>
      </c>
      <c r="D53" t="s">
        <v>100</v>
      </c>
      <c r="E53" t="s">
        <v>99</v>
      </c>
      <c r="F53" t="s">
        <v>12</v>
      </c>
      <c r="G53">
        <v>1</v>
      </c>
      <c r="H53">
        <v>267</v>
      </c>
      <c r="I53">
        <v>0.79701492537313401</v>
      </c>
      <c r="J53" s="25">
        <f t="shared" si="1"/>
        <v>0.79701492537313434</v>
      </c>
      <c r="K53">
        <v>3163</v>
      </c>
      <c r="L53">
        <v>0</v>
      </c>
      <c r="M53">
        <v>0</v>
      </c>
      <c r="N53" s="25">
        <f t="shared" si="0"/>
        <v>0</v>
      </c>
      <c r="O53">
        <v>1</v>
      </c>
      <c r="P53" s="25">
        <f t="shared" si="2"/>
        <v>1</v>
      </c>
      <c r="Q53">
        <v>68</v>
      </c>
      <c r="R53" t="s">
        <v>124</v>
      </c>
      <c r="S53" t="s">
        <v>124</v>
      </c>
      <c r="T53" t="s">
        <v>124</v>
      </c>
      <c r="U53" t="s">
        <v>124</v>
      </c>
      <c r="X53" s="19">
        <f>J53</f>
        <v>0.79701492537313434</v>
      </c>
      <c r="Y53" s="19">
        <f>N53</f>
        <v>0</v>
      </c>
      <c r="Z53" s="26">
        <f>(L53+Q53)/(L53+Q53+H53+K53)</f>
        <v>1.9439679817038306E-2</v>
      </c>
    </row>
    <row r="54" spans="1:26" x14ac:dyDescent="0.35">
      <c r="A54" t="s">
        <v>122</v>
      </c>
      <c r="B54" t="s">
        <v>122</v>
      </c>
      <c r="C54" t="s">
        <v>123</v>
      </c>
      <c r="D54" t="s">
        <v>100</v>
      </c>
      <c r="E54" t="s">
        <v>99</v>
      </c>
      <c r="F54" t="s">
        <v>12</v>
      </c>
      <c r="G54">
        <v>1</v>
      </c>
      <c r="H54">
        <v>267</v>
      </c>
      <c r="I54">
        <v>0.79701492537313401</v>
      </c>
      <c r="J54" s="25">
        <f t="shared" si="1"/>
        <v>0.79701492537313434</v>
      </c>
      <c r="K54">
        <v>3163</v>
      </c>
      <c r="L54">
        <v>0</v>
      </c>
      <c r="M54">
        <v>0</v>
      </c>
      <c r="N54" s="25">
        <f t="shared" si="0"/>
        <v>0</v>
      </c>
      <c r="O54">
        <v>1</v>
      </c>
      <c r="P54" s="25">
        <f t="shared" si="2"/>
        <v>1</v>
      </c>
      <c r="Q54">
        <v>68</v>
      </c>
      <c r="R54" t="s">
        <v>124</v>
      </c>
      <c r="S54" t="s">
        <v>124</v>
      </c>
      <c r="T54" t="s">
        <v>124</v>
      </c>
      <c r="U54" t="s">
        <v>124</v>
      </c>
      <c r="X54" s="19">
        <f>J54</f>
        <v>0.79701492537313434</v>
      </c>
      <c r="Y54" s="19">
        <f>N54</f>
        <v>0</v>
      </c>
      <c r="Z54" s="26">
        <f>(L54+Q54)/(L54+Q54+H54+K54)</f>
        <v>1.9439679817038306E-2</v>
      </c>
    </row>
    <row r="55" spans="1:26" x14ac:dyDescent="0.35">
      <c r="A55" t="s">
        <v>122</v>
      </c>
      <c r="B55" t="s">
        <v>122</v>
      </c>
      <c r="C55" t="s">
        <v>123</v>
      </c>
      <c r="D55" t="s">
        <v>100</v>
      </c>
      <c r="E55" t="s">
        <v>99</v>
      </c>
      <c r="F55" t="s">
        <v>12</v>
      </c>
      <c r="G55">
        <v>1</v>
      </c>
      <c r="H55">
        <v>267</v>
      </c>
      <c r="I55">
        <v>0.79701492537313401</v>
      </c>
      <c r="J55" s="25">
        <f t="shared" si="1"/>
        <v>0.79701492537313434</v>
      </c>
      <c r="K55">
        <v>3163</v>
      </c>
      <c r="L55">
        <v>0</v>
      </c>
      <c r="M55">
        <v>0</v>
      </c>
      <c r="N55" s="25">
        <f t="shared" si="0"/>
        <v>0</v>
      </c>
      <c r="O55">
        <v>1</v>
      </c>
      <c r="P55" s="25">
        <f t="shared" si="2"/>
        <v>1</v>
      </c>
      <c r="Q55">
        <v>68</v>
      </c>
      <c r="R55" t="s">
        <v>124</v>
      </c>
      <c r="S55" t="s">
        <v>124</v>
      </c>
      <c r="T55" t="s">
        <v>124</v>
      </c>
      <c r="U55" t="s">
        <v>124</v>
      </c>
      <c r="X55" s="19">
        <f>J55</f>
        <v>0.79701492537313434</v>
      </c>
      <c r="Y55" s="19">
        <f>N55</f>
        <v>0</v>
      </c>
      <c r="Z55" s="26">
        <f>(L55+Q55)/(L55+Q55+H55+K55)</f>
        <v>1.9439679817038306E-2</v>
      </c>
    </row>
    <row r="56" spans="1:26" x14ac:dyDescent="0.35">
      <c r="A56" t="s">
        <v>122</v>
      </c>
      <c r="B56" t="s">
        <v>122</v>
      </c>
      <c r="C56" t="s">
        <v>123</v>
      </c>
      <c r="D56" t="s">
        <v>100</v>
      </c>
      <c r="E56" t="s">
        <v>99</v>
      </c>
      <c r="F56" t="s">
        <v>12</v>
      </c>
      <c r="G56">
        <v>1</v>
      </c>
      <c r="H56">
        <v>267</v>
      </c>
      <c r="I56">
        <v>0.79701492537313401</v>
      </c>
      <c r="J56" s="25">
        <f t="shared" si="1"/>
        <v>0.79701492537313434</v>
      </c>
      <c r="K56">
        <v>3163</v>
      </c>
      <c r="L56">
        <v>0</v>
      </c>
      <c r="M56">
        <v>0</v>
      </c>
      <c r="N56" s="25">
        <f t="shared" si="0"/>
        <v>0</v>
      </c>
      <c r="O56">
        <v>1</v>
      </c>
      <c r="P56" s="25">
        <f t="shared" si="2"/>
        <v>1</v>
      </c>
      <c r="Q56">
        <v>68</v>
      </c>
      <c r="R56" t="s">
        <v>124</v>
      </c>
      <c r="S56" t="s">
        <v>124</v>
      </c>
      <c r="T56" t="s">
        <v>124</v>
      </c>
      <c r="U56" t="s">
        <v>124</v>
      </c>
      <c r="X56" s="19">
        <f>J56</f>
        <v>0.79701492537313434</v>
      </c>
      <c r="Y56" s="19">
        <f>N56</f>
        <v>0</v>
      </c>
      <c r="Z56" s="26">
        <f>(L56+Q56)/(L56+Q56+H56+K56)</f>
        <v>1.9439679817038306E-2</v>
      </c>
    </row>
    <row r="57" spans="1:26" x14ac:dyDescent="0.35">
      <c r="A57" t="s">
        <v>122</v>
      </c>
      <c r="B57" t="s">
        <v>122</v>
      </c>
      <c r="C57" t="s">
        <v>123</v>
      </c>
      <c r="D57" t="s">
        <v>100</v>
      </c>
      <c r="E57" t="s">
        <v>99</v>
      </c>
      <c r="F57" t="s">
        <v>12</v>
      </c>
      <c r="G57">
        <v>1</v>
      </c>
      <c r="H57">
        <v>267</v>
      </c>
      <c r="I57">
        <v>0.79701492537313401</v>
      </c>
      <c r="J57" s="25">
        <f t="shared" si="1"/>
        <v>0.79701492537313434</v>
      </c>
      <c r="K57">
        <v>3163</v>
      </c>
      <c r="L57">
        <v>0</v>
      </c>
      <c r="M57">
        <v>0</v>
      </c>
      <c r="N57" s="25">
        <f t="shared" si="0"/>
        <v>0</v>
      </c>
      <c r="O57">
        <v>1</v>
      </c>
      <c r="P57" s="25">
        <f t="shared" si="2"/>
        <v>1</v>
      </c>
      <c r="Q57">
        <v>68</v>
      </c>
      <c r="R57" t="s">
        <v>124</v>
      </c>
      <c r="S57" t="s">
        <v>124</v>
      </c>
      <c r="T57" t="s">
        <v>124</v>
      </c>
      <c r="U57" t="s">
        <v>124</v>
      </c>
      <c r="X57" s="19">
        <f>J57</f>
        <v>0.79701492537313434</v>
      </c>
      <c r="Y57" s="19">
        <f>N57</f>
        <v>0</v>
      </c>
      <c r="Z57" s="26">
        <f>(L57+Q57)/(L57+Q57+H57+K57)</f>
        <v>1.9439679817038306E-2</v>
      </c>
    </row>
    <row r="58" spans="1:26" x14ac:dyDescent="0.35">
      <c r="A58" t="s">
        <v>122</v>
      </c>
      <c r="B58" t="s">
        <v>122</v>
      </c>
      <c r="C58" t="s">
        <v>123</v>
      </c>
      <c r="D58" t="s">
        <v>100</v>
      </c>
      <c r="E58" t="s">
        <v>99</v>
      </c>
      <c r="F58" t="s">
        <v>12</v>
      </c>
      <c r="G58">
        <v>1</v>
      </c>
      <c r="H58">
        <v>267</v>
      </c>
      <c r="I58">
        <v>0.79701492537313401</v>
      </c>
      <c r="J58" s="25">
        <f t="shared" si="1"/>
        <v>0.79701492537313434</v>
      </c>
      <c r="K58">
        <v>3163</v>
      </c>
      <c r="L58">
        <v>0</v>
      </c>
      <c r="M58">
        <v>0</v>
      </c>
      <c r="N58" s="25">
        <f t="shared" si="0"/>
        <v>0</v>
      </c>
      <c r="O58">
        <v>1</v>
      </c>
      <c r="P58" s="25">
        <f t="shared" si="2"/>
        <v>1</v>
      </c>
      <c r="Q58">
        <v>68</v>
      </c>
      <c r="R58" t="s">
        <v>124</v>
      </c>
      <c r="S58" t="s">
        <v>124</v>
      </c>
      <c r="T58" t="s">
        <v>124</v>
      </c>
      <c r="U58" t="s">
        <v>124</v>
      </c>
      <c r="X58" s="19">
        <f>J58</f>
        <v>0.79701492537313434</v>
      </c>
      <c r="Y58" s="19">
        <f>N58</f>
        <v>0</v>
      </c>
      <c r="Z58" s="26">
        <f>(L58+Q58)/(L58+Q58+H58+K58)</f>
        <v>1.9439679817038306E-2</v>
      </c>
    </row>
    <row r="59" spans="1:26" x14ac:dyDescent="0.35">
      <c r="A59" t="s">
        <v>122</v>
      </c>
      <c r="B59" t="s">
        <v>122</v>
      </c>
      <c r="C59" t="s">
        <v>123</v>
      </c>
      <c r="D59" t="s">
        <v>100</v>
      </c>
      <c r="E59" t="s">
        <v>99</v>
      </c>
      <c r="F59" t="s">
        <v>12</v>
      </c>
      <c r="G59">
        <v>1</v>
      </c>
      <c r="H59">
        <v>267</v>
      </c>
      <c r="I59">
        <v>0.79701492537313401</v>
      </c>
      <c r="J59" s="25">
        <f t="shared" si="1"/>
        <v>0.79701492537313434</v>
      </c>
      <c r="K59">
        <v>3163</v>
      </c>
      <c r="L59">
        <v>0</v>
      </c>
      <c r="M59">
        <v>0</v>
      </c>
      <c r="N59" s="25">
        <f t="shared" si="0"/>
        <v>0</v>
      </c>
      <c r="O59">
        <v>1</v>
      </c>
      <c r="P59" s="25">
        <f t="shared" si="2"/>
        <v>1</v>
      </c>
      <c r="Q59">
        <v>68</v>
      </c>
      <c r="R59" t="s">
        <v>124</v>
      </c>
      <c r="S59" t="s">
        <v>124</v>
      </c>
      <c r="T59" t="s">
        <v>124</v>
      </c>
      <c r="U59" t="s">
        <v>124</v>
      </c>
      <c r="X59" s="19">
        <f>J59</f>
        <v>0.79701492537313434</v>
      </c>
      <c r="Y59" s="19">
        <f>N59</f>
        <v>0</v>
      </c>
      <c r="Z59" s="26">
        <f>(L59+Q59)/(L59+Q59+H59+K59)</f>
        <v>1.9439679817038306E-2</v>
      </c>
    </row>
    <row r="60" spans="1:26" x14ac:dyDescent="0.35">
      <c r="A60" t="s">
        <v>122</v>
      </c>
      <c r="B60" t="s">
        <v>122</v>
      </c>
      <c r="C60" t="s">
        <v>123</v>
      </c>
      <c r="D60" t="s">
        <v>100</v>
      </c>
      <c r="E60" t="s">
        <v>99</v>
      </c>
      <c r="F60" t="s">
        <v>12</v>
      </c>
      <c r="G60">
        <v>1</v>
      </c>
      <c r="H60">
        <v>267</v>
      </c>
      <c r="I60">
        <v>0.79701492537313401</v>
      </c>
      <c r="J60" s="25">
        <f t="shared" si="1"/>
        <v>0.79701492537313434</v>
      </c>
      <c r="K60">
        <v>3163</v>
      </c>
      <c r="L60">
        <v>0</v>
      </c>
      <c r="M60">
        <v>0</v>
      </c>
      <c r="N60" s="25">
        <f t="shared" si="0"/>
        <v>0</v>
      </c>
      <c r="O60">
        <v>1</v>
      </c>
      <c r="P60" s="25">
        <f t="shared" si="2"/>
        <v>1</v>
      </c>
      <c r="Q60">
        <v>68</v>
      </c>
      <c r="R60" t="s">
        <v>124</v>
      </c>
      <c r="S60" t="s">
        <v>124</v>
      </c>
      <c r="T60" t="s">
        <v>124</v>
      </c>
      <c r="U60" t="s">
        <v>124</v>
      </c>
      <c r="X60" s="19">
        <f>J60</f>
        <v>0.79701492537313434</v>
      </c>
      <c r="Y60" s="19">
        <f>N60</f>
        <v>0</v>
      </c>
      <c r="Z60" s="26">
        <f>(L60+Q60)/(L60+Q60+H60+K60)</f>
        <v>1.9439679817038306E-2</v>
      </c>
    </row>
    <row r="61" spans="1:26" x14ac:dyDescent="0.35">
      <c r="A61" t="s">
        <v>122</v>
      </c>
      <c r="B61" t="s">
        <v>122</v>
      </c>
      <c r="C61" t="s">
        <v>123</v>
      </c>
      <c r="D61" t="s">
        <v>100</v>
      </c>
      <c r="E61" t="s">
        <v>99</v>
      </c>
      <c r="F61" t="s">
        <v>12</v>
      </c>
      <c r="G61">
        <v>1</v>
      </c>
      <c r="H61">
        <v>267</v>
      </c>
      <c r="I61">
        <v>0.79701492537313401</v>
      </c>
      <c r="J61" s="25">
        <f t="shared" si="1"/>
        <v>0.79701492537313434</v>
      </c>
      <c r="K61">
        <v>3163</v>
      </c>
      <c r="L61">
        <v>0</v>
      </c>
      <c r="M61">
        <v>0</v>
      </c>
      <c r="N61" s="25">
        <f t="shared" si="0"/>
        <v>0</v>
      </c>
      <c r="O61">
        <v>1</v>
      </c>
      <c r="P61" s="25">
        <f t="shared" si="2"/>
        <v>1</v>
      </c>
      <c r="Q61">
        <v>68</v>
      </c>
      <c r="R61" t="s">
        <v>124</v>
      </c>
      <c r="S61" t="s">
        <v>124</v>
      </c>
      <c r="T61" t="s">
        <v>124</v>
      </c>
      <c r="U61" t="s">
        <v>124</v>
      </c>
      <c r="X61" s="19">
        <f>J61</f>
        <v>0.79701492537313434</v>
      </c>
      <c r="Y61" s="19">
        <f>N61</f>
        <v>0</v>
      </c>
      <c r="Z61" s="26">
        <f>(L61+Q61)/(L61+Q61+H61+K61)</f>
        <v>1.9439679817038306E-2</v>
      </c>
    </row>
    <row r="62" spans="1:26" x14ac:dyDescent="0.35">
      <c r="A62" t="s">
        <v>122</v>
      </c>
      <c r="B62" t="s">
        <v>122</v>
      </c>
      <c r="C62" t="s">
        <v>123</v>
      </c>
      <c r="D62" t="s">
        <v>100</v>
      </c>
      <c r="E62" t="s">
        <v>99</v>
      </c>
      <c r="F62" t="s">
        <v>12</v>
      </c>
      <c r="G62">
        <v>1</v>
      </c>
      <c r="H62">
        <v>267</v>
      </c>
      <c r="I62">
        <v>0.79701492537313401</v>
      </c>
      <c r="J62" s="25">
        <f t="shared" si="1"/>
        <v>0.79701492537313434</v>
      </c>
      <c r="K62">
        <v>3163</v>
      </c>
      <c r="L62">
        <v>0</v>
      </c>
      <c r="M62">
        <v>0</v>
      </c>
      <c r="N62" s="25">
        <f t="shared" si="0"/>
        <v>0</v>
      </c>
      <c r="O62">
        <v>1</v>
      </c>
      <c r="P62" s="25">
        <f t="shared" si="2"/>
        <v>1</v>
      </c>
      <c r="Q62">
        <v>68</v>
      </c>
      <c r="R62" t="s">
        <v>124</v>
      </c>
      <c r="S62" t="s">
        <v>124</v>
      </c>
      <c r="T62" t="s">
        <v>124</v>
      </c>
      <c r="U62" t="s">
        <v>124</v>
      </c>
      <c r="X62" s="19">
        <f>J62</f>
        <v>0.79701492537313434</v>
      </c>
      <c r="Y62" s="19">
        <f>N62</f>
        <v>0</v>
      </c>
      <c r="Z62" s="26">
        <f>(L62+Q62)/(L62+Q62+H62+K62)</f>
        <v>1.9439679817038306E-2</v>
      </c>
    </row>
    <row r="63" spans="1:26" x14ac:dyDescent="0.35">
      <c r="A63" t="s">
        <v>122</v>
      </c>
      <c r="B63" t="s">
        <v>122</v>
      </c>
      <c r="C63" t="s">
        <v>123</v>
      </c>
      <c r="D63" t="s">
        <v>100</v>
      </c>
      <c r="E63" t="s">
        <v>99</v>
      </c>
      <c r="F63" t="s">
        <v>12</v>
      </c>
      <c r="G63">
        <v>1</v>
      </c>
      <c r="H63">
        <v>267</v>
      </c>
      <c r="I63">
        <v>0.79701492537313401</v>
      </c>
      <c r="J63" s="25">
        <f t="shared" si="1"/>
        <v>0.79701492537313434</v>
      </c>
      <c r="K63">
        <v>3163</v>
      </c>
      <c r="L63">
        <v>0</v>
      </c>
      <c r="M63">
        <v>0</v>
      </c>
      <c r="N63" s="25">
        <f t="shared" si="0"/>
        <v>0</v>
      </c>
      <c r="O63">
        <v>1</v>
      </c>
      <c r="P63" s="25">
        <f t="shared" si="2"/>
        <v>1</v>
      </c>
      <c r="Q63">
        <v>68</v>
      </c>
      <c r="R63" t="s">
        <v>124</v>
      </c>
      <c r="S63" t="s">
        <v>124</v>
      </c>
      <c r="T63" t="s">
        <v>124</v>
      </c>
      <c r="U63" t="s">
        <v>124</v>
      </c>
      <c r="X63" s="19">
        <f>J63</f>
        <v>0.79701492537313434</v>
      </c>
      <c r="Y63" s="19">
        <f>N63</f>
        <v>0</v>
      </c>
      <c r="Z63" s="26">
        <f>(L63+Q63)/(L63+Q63+H63+K63)</f>
        <v>1.9439679817038306E-2</v>
      </c>
    </row>
    <row r="64" spans="1:26" x14ac:dyDescent="0.35">
      <c r="A64" t="s">
        <v>122</v>
      </c>
      <c r="B64" t="s">
        <v>122</v>
      </c>
      <c r="C64" t="s">
        <v>123</v>
      </c>
      <c r="D64" t="s">
        <v>100</v>
      </c>
      <c r="E64" t="s">
        <v>99</v>
      </c>
      <c r="F64" t="s">
        <v>12</v>
      </c>
      <c r="G64">
        <v>1</v>
      </c>
      <c r="H64">
        <v>267</v>
      </c>
      <c r="I64">
        <v>0.79701492537313401</v>
      </c>
      <c r="J64" s="25">
        <f t="shared" si="1"/>
        <v>0.79701492537313434</v>
      </c>
      <c r="K64">
        <v>3163</v>
      </c>
      <c r="L64">
        <v>0</v>
      </c>
      <c r="M64">
        <v>0</v>
      </c>
      <c r="N64" s="25">
        <f t="shared" si="0"/>
        <v>0</v>
      </c>
      <c r="O64">
        <v>1</v>
      </c>
      <c r="P64" s="25">
        <f t="shared" si="2"/>
        <v>1</v>
      </c>
      <c r="Q64">
        <v>68</v>
      </c>
      <c r="R64" t="s">
        <v>124</v>
      </c>
      <c r="S64" t="s">
        <v>124</v>
      </c>
      <c r="T64" t="s">
        <v>124</v>
      </c>
      <c r="U64" t="s">
        <v>124</v>
      </c>
      <c r="X64" s="19">
        <f>J64</f>
        <v>0.79701492537313434</v>
      </c>
      <c r="Y64" s="19">
        <f>N64</f>
        <v>0</v>
      </c>
      <c r="Z64" s="26">
        <f>(L64+Q64)/(L64+Q64+H64+K64)</f>
        <v>1.9439679817038306E-2</v>
      </c>
    </row>
    <row r="65" spans="1:26" x14ac:dyDescent="0.35">
      <c r="A65" t="s">
        <v>122</v>
      </c>
      <c r="B65" t="s">
        <v>122</v>
      </c>
      <c r="C65" t="s">
        <v>123</v>
      </c>
      <c r="D65" t="s">
        <v>100</v>
      </c>
      <c r="E65" t="s">
        <v>99</v>
      </c>
      <c r="F65" t="s">
        <v>12</v>
      </c>
      <c r="G65">
        <v>1</v>
      </c>
      <c r="H65">
        <v>267</v>
      </c>
      <c r="I65">
        <v>0.79701492537313401</v>
      </c>
      <c r="J65" s="25">
        <f t="shared" si="1"/>
        <v>0.79701492537313434</v>
      </c>
      <c r="K65">
        <v>3163</v>
      </c>
      <c r="L65">
        <v>0</v>
      </c>
      <c r="M65">
        <v>0</v>
      </c>
      <c r="N65" s="25">
        <f t="shared" si="0"/>
        <v>0</v>
      </c>
      <c r="O65">
        <v>1</v>
      </c>
      <c r="P65" s="25">
        <f t="shared" si="2"/>
        <v>1</v>
      </c>
      <c r="Q65">
        <v>68</v>
      </c>
      <c r="R65" t="s">
        <v>124</v>
      </c>
      <c r="S65" t="s">
        <v>124</v>
      </c>
      <c r="T65" t="s">
        <v>124</v>
      </c>
      <c r="U65" t="s">
        <v>124</v>
      </c>
      <c r="X65" s="19">
        <f>J65</f>
        <v>0.79701492537313434</v>
      </c>
      <c r="Y65" s="19">
        <f>N65</f>
        <v>0</v>
      </c>
      <c r="Z65" s="26">
        <f>(L65+Q65)/(L65+Q65+H65+K65)</f>
        <v>1.9439679817038306E-2</v>
      </c>
    </row>
    <row r="66" spans="1:26" x14ac:dyDescent="0.35">
      <c r="A66" t="s">
        <v>122</v>
      </c>
      <c r="B66" t="s">
        <v>122</v>
      </c>
      <c r="C66" t="s">
        <v>123</v>
      </c>
      <c r="D66" t="s">
        <v>100</v>
      </c>
      <c r="E66" t="s">
        <v>99</v>
      </c>
      <c r="F66" t="s">
        <v>12</v>
      </c>
      <c r="G66">
        <v>1</v>
      </c>
      <c r="H66">
        <v>267</v>
      </c>
      <c r="I66">
        <v>0.79701492537313401</v>
      </c>
      <c r="J66" s="25">
        <f t="shared" si="1"/>
        <v>0.79701492537313434</v>
      </c>
      <c r="K66">
        <v>3163</v>
      </c>
      <c r="L66">
        <v>0</v>
      </c>
      <c r="M66">
        <v>0</v>
      </c>
      <c r="N66" s="25">
        <f t="shared" ref="N66:N129" si="3">1-P66</f>
        <v>0</v>
      </c>
      <c r="O66">
        <v>1</v>
      </c>
      <c r="P66" s="25">
        <f t="shared" si="2"/>
        <v>1</v>
      </c>
      <c r="Q66">
        <v>68</v>
      </c>
      <c r="R66" t="s">
        <v>124</v>
      </c>
      <c r="S66" t="s">
        <v>124</v>
      </c>
      <c r="T66" t="s">
        <v>124</v>
      </c>
      <c r="U66" t="s">
        <v>124</v>
      </c>
      <c r="X66" s="19">
        <f>J66</f>
        <v>0.79701492537313434</v>
      </c>
      <c r="Y66" s="19">
        <f>N66</f>
        <v>0</v>
      </c>
      <c r="Z66" s="26">
        <f>(L66+Q66)/(L66+Q66+H66+K66)</f>
        <v>1.9439679817038306E-2</v>
      </c>
    </row>
    <row r="67" spans="1:26" x14ac:dyDescent="0.35">
      <c r="A67" t="s">
        <v>122</v>
      </c>
      <c r="B67" t="s">
        <v>122</v>
      </c>
      <c r="C67" t="s">
        <v>123</v>
      </c>
      <c r="D67" t="s">
        <v>100</v>
      </c>
      <c r="E67" t="s">
        <v>99</v>
      </c>
      <c r="F67" t="s">
        <v>12</v>
      </c>
      <c r="G67">
        <v>1</v>
      </c>
      <c r="H67">
        <v>267</v>
      </c>
      <c r="I67">
        <v>0.79701492537313401</v>
      </c>
      <c r="J67" s="25">
        <f t="shared" ref="J67:J130" si="4">H67/(H67+Q67)</f>
        <v>0.79701492537313434</v>
      </c>
      <c r="K67">
        <v>3163</v>
      </c>
      <c r="L67">
        <v>0</v>
      </c>
      <c r="M67">
        <v>0</v>
      </c>
      <c r="N67" s="25">
        <f t="shared" si="3"/>
        <v>0</v>
      </c>
      <c r="O67">
        <v>1</v>
      </c>
      <c r="P67" s="25">
        <f t="shared" ref="P67:P130" si="5">K67/(K67+L67)</f>
        <v>1</v>
      </c>
      <c r="Q67">
        <v>68</v>
      </c>
      <c r="R67" t="s">
        <v>124</v>
      </c>
      <c r="S67" t="s">
        <v>124</v>
      </c>
      <c r="T67" t="s">
        <v>124</v>
      </c>
      <c r="U67" t="s">
        <v>124</v>
      </c>
      <c r="X67" s="19">
        <f>J67</f>
        <v>0.79701492537313434</v>
      </c>
      <c r="Y67" s="19">
        <f>N67</f>
        <v>0</v>
      </c>
      <c r="Z67" s="26">
        <f>(L67+Q67)/(L67+Q67+H67+K67)</f>
        <v>1.9439679817038306E-2</v>
      </c>
    </row>
    <row r="68" spans="1:26" x14ac:dyDescent="0.35">
      <c r="A68" t="s">
        <v>122</v>
      </c>
      <c r="B68" t="s">
        <v>122</v>
      </c>
      <c r="C68" t="s">
        <v>123</v>
      </c>
      <c r="D68" t="s">
        <v>100</v>
      </c>
      <c r="E68" t="s">
        <v>99</v>
      </c>
      <c r="F68" t="s">
        <v>12</v>
      </c>
      <c r="G68">
        <v>1</v>
      </c>
      <c r="H68">
        <v>267</v>
      </c>
      <c r="I68">
        <v>0.79701492537313401</v>
      </c>
      <c r="J68" s="25">
        <f t="shared" si="4"/>
        <v>0.79701492537313434</v>
      </c>
      <c r="K68">
        <v>3163</v>
      </c>
      <c r="L68">
        <v>0</v>
      </c>
      <c r="M68">
        <v>0</v>
      </c>
      <c r="N68" s="25">
        <f t="shared" si="3"/>
        <v>0</v>
      </c>
      <c r="O68">
        <v>1</v>
      </c>
      <c r="P68" s="25">
        <f t="shared" si="5"/>
        <v>1</v>
      </c>
      <c r="Q68">
        <v>68</v>
      </c>
      <c r="R68" t="s">
        <v>124</v>
      </c>
      <c r="S68" t="s">
        <v>124</v>
      </c>
      <c r="T68" t="s">
        <v>124</v>
      </c>
      <c r="U68" t="s">
        <v>124</v>
      </c>
      <c r="X68" s="19">
        <f>J68</f>
        <v>0.79701492537313434</v>
      </c>
      <c r="Y68" s="19">
        <f>N68</f>
        <v>0</v>
      </c>
      <c r="Z68" s="26">
        <f>(L68+Q68)/(L68+Q68+H68+K68)</f>
        <v>1.9439679817038306E-2</v>
      </c>
    </row>
    <row r="69" spans="1:26" x14ac:dyDescent="0.35">
      <c r="A69" t="s">
        <v>122</v>
      </c>
      <c r="B69" t="s">
        <v>122</v>
      </c>
      <c r="C69" t="s">
        <v>123</v>
      </c>
      <c r="D69" t="s">
        <v>100</v>
      </c>
      <c r="E69" t="s">
        <v>99</v>
      </c>
      <c r="F69" t="s">
        <v>12</v>
      </c>
      <c r="G69">
        <v>1</v>
      </c>
      <c r="H69">
        <v>267</v>
      </c>
      <c r="I69">
        <v>0.79701492537313401</v>
      </c>
      <c r="J69" s="25">
        <f t="shared" si="4"/>
        <v>0.79701492537313434</v>
      </c>
      <c r="K69">
        <v>3163</v>
      </c>
      <c r="L69">
        <v>0</v>
      </c>
      <c r="M69">
        <v>0</v>
      </c>
      <c r="N69" s="25">
        <f t="shared" si="3"/>
        <v>0</v>
      </c>
      <c r="O69">
        <v>1</v>
      </c>
      <c r="P69" s="25">
        <f t="shared" si="5"/>
        <v>1</v>
      </c>
      <c r="Q69">
        <v>68</v>
      </c>
      <c r="R69" t="s">
        <v>124</v>
      </c>
      <c r="S69" t="s">
        <v>124</v>
      </c>
      <c r="T69" t="s">
        <v>124</v>
      </c>
      <c r="U69" t="s">
        <v>124</v>
      </c>
      <c r="X69" s="19">
        <f>J69</f>
        <v>0.79701492537313434</v>
      </c>
      <c r="Y69" s="19">
        <f>N69</f>
        <v>0</v>
      </c>
      <c r="Z69" s="26">
        <f>(L69+Q69)/(L69+Q69+H69+K69)</f>
        <v>1.9439679817038306E-2</v>
      </c>
    </row>
    <row r="70" spans="1:26" x14ac:dyDescent="0.35">
      <c r="A70" t="s">
        <v>122</v>
      </c>
      <c r="B70" t="s">
        <v>122</v>
      </c>
      <c r="C70" t="s">
        <v>123</v>
      </c>
      <c r="D70" t="s">
        <v>100</v>
      </c>
      <c r="E70" t="s">
        <v>99</v>
      </c>
      <c r="F70" t="s">
        <v>12</v>
      </c>
      <c r="G70">
        <v>1</v>
      </c>
      <c r="H70">
        <v>267</v>
      </c>
      <c r="I70">
        <v>0.79701492537313401</v>
      </c>
      <c r="J70" s="25">
        <f t="shared" si="4"/>
        <v>0.79701492537313434</v>
      </c>
      <c r="K70">
        <v>3163</v>
      </c>
      <c r="L70">
        <v>0</v>
      </c>
      <c r="M70">
        <v>0</v>
      </c>
      <c r="N70" s="25">
        <f t="shared" si="3"/>
        <v>0</v>
      </c>
      <c r="O70">
        <v>1</v>
      </c>
      <c r="P70" s="25">
        <f t="shared" si="5"/>
        <v>1</v>
      </c>
      <c r="Q70">
        <v>68</v>
      </c>
      <c r="R70" t="s">
        <v>124</v>
      </c>
      <c r="S70" t="s">
        <v>124</v>
      </c>
      <c r="T70" t="s">
        <v>124</v>
      </c>
      <c r="U70" t="s">
        <v>124</v>
      </c>
      <c r="X70" s="19">
        <f>J70</f>
        <v>0.79701492537313434</v>
      </c>
      <c r="Y70" s="19">
        <f>N70</f>
        <v>0</v>
      </c>
      <c r="Z70" s="26">
        <f>(L70+Q70)/(L70+Q70+H70+K70)</f>
        <v>1.9439679817038306E-2</v>
      </c>
    </row>
    <row r="71" spans="1:26" x14ac:dyDescent="0.35">
      <c r="A71" t="s">
        <v>122</v>
      </c>
      <c r="B71" t="s">
        <v>122</v>
      </c>
      <c r="C71" t="s">
        <v>123</v>
      </c>
      <c r="D71" t="s">
        <v>100</v>
      </c>
      <c r="E71" t="s">
        <v>99</v>
      </c>
      <c r="F71" t="s">
        <v>12</v>
      </c>
      <c r="G71">
        <v>1</v>
      </c>
      <c r="H71">
        <v>267</v>
      </c>
      <c r="I71">
        <v>0.79701492537313401</v>
      </c>
      <c r="J71" s="25">
        <f t="shared" si="4"/>
        <v>0.79701492537313434</v>
      </c>
      <c r="K71">
        <v>3163</v>
      </c>
      <c r="L71">
        <v>0</v>
      </c>
      <c r="M71">
        <v>0</v>
      </c>
      <c r="N71" s="25">
        <f t="shared" si="3"/>
        <v>0</v>
      </c>
      <c r="O71">
        <v>1</v>
      </c>
      <c r="P71" s="25">
        <f t="shared" si="5"/>
        <v>1</v>
      </c>
      <c r="Q71">
        <v>68</v>
      </c>
      <c r="R71" t="s">
        <v>124</v>
      </c>
      <c r="S71" t="s">
        <v>124</v>
      </c>
      <c r="T71" t="s">
        <v>124</v>
      </c>
      <c r="U71" t="s">
        <v>124</v>
      </c>
      <c r="X71" s="19">
        <f>J71</f>
        <v>0.79701492537313434</v>
      </c>
      <c r="Y71" s="19">
        <f>N71</f>
        <v>0</v>
      </c>
      <c r="Z71" s="26">
        <f>(L71+Q71)/(L71+Q71+H71+K71)</f>
        <v>1.9439679817038306E-2</v>
      </c>
    </row>
    <row r="72" spans="1:26" x14ac:dyDescent="0.35">
      <c r="A72" t="s">
        <v>122</v>
      </c>
      <c r="B72" t="s">
        <v>122</v>
      </c>
      <c r="C72" t="s">
        <v>123</v>
      </c>
      <c r="D72" t="s">
        <v>100</v>
      </c>
      <c r="E72" t="s">
        <v>99</v>
      </c>
      <c r="F72" t="s">
        <v>12</v>
      </c>
      <c r="G72">
        <v>1</v>
      </c>
      <c r="H72">
        <v>267</v>
      </c>
      <c r="I72">
        <v>0.79701492537313401</v>
      </c>
      <c r="J72" s="25">
        <f t="shared" si="4"/>
        <v>0.79701492537313434</v>
      </c>
      <c r="K72">
        <v>3163</v>
      </c>
      <c r="L72">
        <v>0</v>
      </c>
      <c r="M72">
        <v>0</v>
      </c>
      <c r="N72" s="25">
        <f t="shared" si="3"/>
        <v>0</v>
      </c>
      <c r="O72">
        <v>1</v>
      </c>
      <c r="P72" s="25">
        <f t="shared" si="5"/>
        <v>1</v>
      </c>
      <c r="Q72">
        <v>68</v>
      </c>
      <c r="R72" t="s">
        <v>124</v>
      </c>
      <c r="S72" t="s">
        <v>124</v>
      </c>
      <c r="T72" t="s">
        <v>124</v>
      </c>
      <c r="U72" t="s">
        <v>124</v>
      </c>
      <c r="X72" s="19">
        <f>J72</f>
        <v>0.79701492537313434</v>
      </c>
      <c r="Y72" s="19">
        <f>N72</f>
        <v>0</v>
      </c>
      <c r="Z72" s="26">
        <f>(L72+Q72)/(L72+Q72+H72+K72)</f>
        <v>1.9439679817038306E-2</v>
      </c>
    </row>
    <row r="73" spans="1:26" x14ac:dyDescent="0.35">
      <c r="A73" t="s">
        <v>122</v>
      </c>
      <c r="B73" t="s">
        <v>122</v>
      </c>
      <c r="C73" t="s">
        <v>123</v>
      </c>
      <c r="D73" t="s">
        <v>100</v>
      </c>
      <c r="E73" t="s">
        <v>99</v>
      </c>
      <c r="F73" t="s">
        <v>12</v>
      </c>
      <c r="G73">
        <v>1</v>
      </c>
      <c r="H73">
        <v>267</v>
      </c>
      <c r="I73">
        <v>0.79701492537313401</v>
      </c>
      <c r="J73" s="25">
        <f t="shared" si="4"/>
        <v>0.79701492537313434</v>
      </c>
      <c r="K73">
        <v>3163</v>
      </c>
      <c r="L73">
        <v>0</v>
      </c>
      <c r="M73">
        <v>0</v>
      </c>
      <c r="N73" s="25">
        <f t="shared" si="3"/>
        <v>0</v>
      </c>
      <c r="O73">
        <v>1</v>
      </c>
      <c r="P73" s="25">
        <f t="shared" si="5"/>
        <v>1</v>
      </c>
      <c r="Q73">
        <v>68</v>
      </c>
      <c r="R73" t="s">
        <v>124</v>
      </c>
      <c r="S73" t="s">
        <v>124</v>
      </c>
      <c r="T73" t="s">
        <v>124</v>
      </c>
      <c r="U73" t="s">
        <v>124</v>
      </c>
      <c r="X73" s="19">
        <f>J73</f>
        <v>0.79701492537313434</v>
      </c>
      <c r="Y73" s="19">
        <f>N73</f>
        <v>0</v>
      </c>
      <c r="Z73" s="26">
        <f>(L73+Q73)/(L73+Q73+H73+K73)</f>
        <v>1.9439679817038306E-2</v>
      </c>
    </row>
    <row r="74" spans="1:26" x14ac:dyDescent="0.35">
      <c r="A74" t="s">
        <v>122</v>
      </c>
      <c r="B74" t="s">
        <v>122</v>
      </c>
      <c r="C74" t="s">
        <v>123</v>
      </c>
      <c r="D74" t="s">
        <v>100</v>
      </c>
      <c r="E74" t="s">
        <v>99</v>
      </c>
      <c r="F74" t="s">
        <v>12</v>
      </c>
      <c r="G74">
        <v>1</v>
      </c>
      <c r="H74">
        <v>267</v>
      </c>
      <c r="I74">
        <v>0.79701492537313401</v>
      </c>
      <c r="J74" s="25">
        <f t="shared" si="4"/>
        <v>0.79701492537313434</v>
      </c>
      <c r="K74">
        <v>3163</v>
      </c>
      <c r="L74">
        <v>0</v>
      </c>
      <c r="M74">
        <v>0</v>
      </c>
      <c r="N74" s="25">
        <f t="shared" si="3"/>
        <v>0</v>
      </c>
      <c r="O74">
        <v>1</v>
      </c>
      <c r="P74" s="25">
        <f t="shared" si="5"/>
        <v>1</v>
      </c>
      <c r="Q74">
        <v>68</v>
      </c>
      <c r="R74" t="s">
        <v>124</v>
      </c>
      <c r="S74" t="s">
        <v>124</v>
      </c>
      <c r="T74" t="s">
        <v>124</v>
      </c>
      <c r="U74" t="s">
        <v>124</v>
      </c>
      <c r="X74" s="19">
        <f>J74</f>
        <v>0.79701492537313434</v>
      </c>
      <c r="Y74" s="19">
        <f>N74</f>
        <v>0</v>
      </c>
      <c r="Z74" s="26">
        <f>(L74+Q74)/(L74+Q74+H74+K74)</f>
        <v>1.9439679817038306E-2</v>
      </c>
    </row>
    <row r="75" spans="1:26" x14ac:dyDescent="0.35">
      <c r="A75" t="s">
        <v>122</v>
      </c>
      <c r="B75" t="s">
        <v>122</v>
      </c>
      <c r="C75" t="s">
        <v>123</v>
      </c>
      <c r="D75" t="s">
        <v>100</v>
      </c>
      <c r="E75" t="s">
        <v>99</v>
      </c>
      <c r="F75" t="s">
        <v>12</v>
      </c>
      <c r="G75">
        <v>1</v>
      </c>
      <c r="H75">
        <v>267</v>
      </c>
      <c r="I75">
        <v>0.79701492537313401</v>
      </c>
      <c r="J75" s="25">
        <f t="shared" si="4"/>
        <v>0.79701492537313434</v>
      </c>
      <c r="K75">
        <v>3163</v>
      </c>
      <c r="L75">
        <v>0</v>
      </c>
      <c r="M75">
        <v>0</v>
      </c>
      <c r="N75" s="25">
        <f t="shared" si="3"/>
        <v>0</v>
      </c>
      <c r="O75">
        <v>1</v>
      </c>
      <c r="P75" s="25">
        <f t="shared" si="5"/>
        <v>1</v>
      </c>
      <c r="Q75">
        <v>68</v>
      </c>
      <c r="R75" t="s">
        <v>124</v>
      </c>
      <c r="S75" t="s">
        <v>124</v>
      </c>
      <c r="T75" t="s">
        <v>124</v>
      </c>
      <c r="U75" t="s">
        <v>124</v>
      </c>
      <c r="X75" s="19">
        <f>J75</f>
        <v>0.79701492537313434</v>
      </c>
      <c r="Y75" s="19">
        <f>N75</f>
        <v>0</v>
      </c>
      <c r="Z75" s="26">
        <f>(L75+Q75)/(L75+Q75+H75+K75)</f>
        <v>1.9439679817038306E-2</v>
      </c>
    </row>
    <row r="76" spans="1:26" x14ac:dyDescent="0.35">
      <c r="A76" t="s">
        <v>122</v>
      </c>
      <c r="B76" t="s">
        <v>122</v>
      </c>
      <c r="C76" t="s">
        <v>123</v>
      </c>
      <c r="D76" t="s">
        <v>100</v>
      </c>
      <c r="E76" t="s">
        <v>99</v>
      </c>
      <c r="F76" t="s">
        <v>12</v>
      </c>
      <c r="G76">
        <v>1</v>
      </c>
      <c r="H76">
        <v>267</v>
      </c>
      <c r="I76">
        <v>0.79701492537313401</v>
      </c>
      <c r="J76" s="25">
        <f t="shared" si="4"/>
        <v>0.79701492537313434</v>
      </c>
      <c r="K76">
        <v>3163</v>
      </c>
      <c r="L76">
        <v>0</v>
      </c>
      <c r="M76">
        <v>0</v>
      </c>
      <c r="N76" s="25">
        <f t="shared" si="3"/>
        <v>0</v>
      </c>
      <c r="O76">
        <v>1</v>
      </c>
      <c r="P76" s="25">
        <f t="shared" si="5"/>
        <v>1</v>
      </c>
      <c r="Q76">
        <v>68</v>
      </c>
      <c r="R76" t="s">
        <v>124</v>
      </c>
      <c r="S76" t="s">
        <v>124</v>
      </c>
      <c r="T76" t="s">
        <v>124</v>
      </c>
      <c r="U76" t="s">
        <v>124</v>
      </c>
      <c r="X76" s="19">
        <f>J76</f>
        <v>0.79701492537313434</v>
      </c>
      <c r="Y76" s="19">
        <f>N76</f>
        <v>0</v>
      </c>
      <c r="Z76" s="26">
        <f>(L76+Q76)/(L76+Q76+H76+K76)</f>
        <v>1.9439679817038306E-2</v>
      </c>
    </row>
    <row r="77" spans="1:26" x14ac:dyDescent="0.35">
      <c r="A77" t="s">
        <v>122</v>
      </c>
      <c r="B77" t="s">
        <v>122</v>
      </c>
      <c r="C77" t="s">
        <v>123</v>
      </c>
      <c r="D77" t="s">
        <v>100</v>
      </c>
      <c r="E77" t="s">
        <v>99</v>
      </c>
      <c r="F77" t="s">
        <v>12</v>
      </c>
      <c r="G77">
        <v>1</v>
      </c>
      <c r="H77">
        <v>267</v>
      </c>
      <c r="I77">
        <v>0.79701492537313401</v>
      </c>
      <c r="J77" s="25">
        <f t="shared" si="4"/>
        <v>0.79701492537313434</v>
      </c>
      <c r="K77">
        <v>3163</v>
      </c>
      <c r="L77">
        <v>0</v>
      </c>
      <c r="M77">
        <v>0</v>
      </c>
      <c r="N77" s="25">
        <f t="shared" si="3"/>
        <v>0</v>
      </c>
      <c r="O77">
        <v>1</v>
      </c>
      <c r="P77" s="25">
        <f t="shared" si="5"/>
        <v>1</v>
      </c>
      <c r="Q77">
        <v>68</v>
      </c>
      <c r="R77" t="s">
        <v>124</v>
      </c>
      <c r="S77" t="s">
        <v>124</v>
      </c>
      <c r="T77" t="s">
        <v>124</v>
      </c>
      <c r="U77" t="s">
        <v>124</v>
      </c>
      <c r="X77" s="19">
        <f>J77</f>
        <v>0.79701492537313434</v>
      </c>
      <c r="Y77" s="19">
        <f>N77</f>
        <v>0</v>
      </c>
      <c r="Z77" s="26">
        <f>(L77+Q77)/(L77+Q77+H77+K77)</f>
        <v>1.9439679817038306E-2</v>
      </c>
    </row>
    <row r="78" spans="1:26" x14ac:dyDescent="0.35">
      <c r="A78" t="s">
        <v>122</v>
      </c>
      <c r="B78" t="s">
        <v>122</v>
      </c>
      <c r="C78" t="s">
        <v>123</v>
      </c>
      <c r="D78" t="s">
        <v>100</v>
      </c>
      <c r="E78" t="s">
        <v>99</v>
      </c>
      <c r="F78" t="s">
        <v>12</v>
      </c>
      <c r="G78">
        <v>1</v>
      </c>
      <c r="H78">
        <v>267</v>
      </c>
      <c r="I78">
        <v>0.79701492537313401</v>
      </c>
      <c r="J78" s="25">
        <f t="shared" si="4"/>
        <v>0.79701492537313434</v>
      </c>
      <c r="K78">
        <v>3163</v>
      </c>
      <c r="L78">
        <v>0</v>
      </c>
      <c r="M78">
        <v>0</v>
      </c>
      <c r="N78" s="25">
        <f t="shared" si="3"/>
        <v>0</v>
      </c>
      <c r="O78">
        <v>1</v>
      </c>
      <c r="P78" s="25">
        <f t="shared" si="5"/>
        <v>1</v>
      </c>
      <c r="Q78">
        <v>68</v>
      </c>
      <c r="R78" t="s">
        <v>124</v>
      </c>
      <c r="S78" t="s">
        <v>124</v>
      </c>
      <c r="T78" t="s">
        <v>124</v>
      </c>
      <c r="U78" t="s">
        <v>124</v>
      </c>
      <c r="X78" s="19">
        <f>J78</f>
        <v>0.79701492537313434</v>
      </c>
      <c r="Y78" s="19">
        <f>N78</f>
        <v>0</v>
      </c>
      <c r="Z78" s="26">
        <f>(L78+Q78)/(L78+Q78+H78+K78)</f>
        <v>1.9439679817038306E-2</v>
      </c>
    </row>
    <row r="79" spans="1:26" x14ac:dyDescent="0.35">
      <c r="A79" t="s">
        <v>122</v>
      </c>
      <c r="B79" t="s">
        <v>122</v>
      </c>
      <c r="C79" t="s">
        <v>123</v>
      </c>
      <c r="D79" t="s">
        <v>100</v>
      </c>
      <c r="E79" t="s">
        <v>99</v>
      </c>
      <c r="F79" t="s">
        <v>12</v>
      </c>
      <c r="G79">
        <v>1</v>
      </c>
      <c r="H79">
        <v>267</v>
      </c>
      <c r="I79">
        <v>0.79701492537313401</v>
      </c>
      <c r="J79" s="25">
        <f t="shared" si="4"/>
        <v>0.79701492537313434</v>
      </c>
      <c r="K79">
        <v>3163</v>
      </c>
      <c r="L79">
        <v>0</v>
      </c>
      <c r="M79">
        <v>0</v>
      </c>
      <c r="N79" s="25">
        <f t="shared" si="3"/>
        <v>0</v>
      </c>
      <c r="O79">
        <v>1</v>
      </c>
      <c r="P79" s="25">
        <f t="shared" si="5"/>
        <v>1</v>
      </c>
      <c r="Q79">
        <v>68</v>
      </c>
      <c r="R79" t="s">
        <v>124</v>
      </c>
      <c r="S79" t="s">
        <v>124</v>
      </c>
      <c r="T79" t="s">
        <v>124</v>
      </c>
      <c r="U79" t="s">
        <v>124</v>
      </c>
      <c r="X79" s="19">
        <f>J79</f>
        <v>0.79701492537313434</v>
      </c>
      <c r="Y79" s="19">
        <f>N79</f>
        <v>0</v>
      </c>
      <c r="Z79" s="26">
        <f>(L79+Q79)/(L79+Q79+H79+K79)</f>
        <v>1.9439679817038306E-2</v>
      </c>
    </row>
    <row r="80" spans="1:26" x14ac:dyDescent="0.35">
      <c r="A80" t="s">
        <v>122</v>
      </c>
      <c r="B80" t="s">
        <v>122</v>
      </c>
      <c r="C80" t="s">
        <v>123</v>
      </c>
      <c r="D80" t="s">
        <v>100</v>
      </c>
      <c r="E80" t="s">
        <v>99</v>
      </c>
      <c r="F80" t="s">
        <v>12</v>
      </c>
      <c r="G80">
        <v>1</v>
      </c>
      <c r="H80">
        <v>267</v>
      </c>
      <c r="I80">
        <v>0.79701492537313401</v>
      </c>
      <c r="J80" s="25">
        <f t="shared" si="4"/>
        <v>0.79701492537313434</v>
      </c>
      <c r="K80">
        <v>3163</v>
      </c>
      <c r="L80">
        <v>0</v>
      </c>
      <c r="M80">
        <v>0</v>
      </c>
      <c r="N80" s="25">
        <f t="shared" si="3"/>
        <v>0</v>
      </c>
      <c r="O80">
        <v>1</v>
      </c>
      <c r="P80" s="25">
        <f t="shared" si="5"/>
        <v>1</v>
      </c>
      <c r="Q80">
        <v>68</v>
      </c>
      <c r="R80" t="s">
        <v>124</v>
      </c>
      <c r="S80" t="s">
        <v>124</v>
      </c>
      <c r="T80" t="s">
        <v>124</v>
      </c>
      <c r="U80" t="s">
        <v>124</v>
      </c>
      <c r="X80" s="19">
        <f>J80</f>
        <v>0.79701492537313434</v>
      </c>
      <c r="Y80" s="19">
        <f>N80</f>
        <v>0</v>
      </c>
      <c r="Z80" s="26">
        <f>(L80+Q80)/(L80+Q80+H80+K80)</f>
        <v>1.9439679817038306E-2</v>
      </c>
    </row>
    <row r="81" spans="1:26" x14ac:dyDescent="0.35">
      <c r="A81" t="s">
        <v>122</v>
      </c>
      <c r="B81" t="s">
        <v>122</v>
      </c>
      <c r="C81" t="s">
        <v>123</v>
      </c>
      <c r="D81" t="s">
        <v>100</v>
      </c>
      <c r="E81" t="s">
        <v>99</v>
      </c>
      <c r="F81" t="s">
        <v>12</v>
      </c>
      <c r="G81">
        <v>1</v>
      </c>
      <c r="H81">
        <v>267</v>
      </c>
      <c r="I81">
        <v>0.79701492537313401</v>
      </c>
      <c r="J81" s="25">
        <f t="shared" si="4"/>
        <v>0.79701492537313434</v>
      </c>
      <c r="K81">
        <v>3163</v>
      </c>
      <c r="L81">
        <v>0</v>
      </c>
      <c r="M81">
        <v>0</v>
      </c>
      <c r="N81" s="25">
        <f t="shared" si="3"/>
        <v>0</v>
      </c>
      <c r="O81">
        <v>1</v>
      </c>
      <c r="P81" s="25">
        <f t="shared" si="5"/>
        <v>1</v>
      </c>
      <c r="Q81">
        <v>68</v>
      </c>
      <c r="R81" t="s">
        <v>124</v>
      </c>
      <c r="S81" t="s">
        <v>124</v>
      </c>
      <c r="T81" t="s">
        <v>124</v>
      </c>
      <c r="U81" t="s">
        <v>124</v>
      </c>
      <c r="X81" s="19">
        <f>J81</f>
        <v>0.79701492537313434</v>
      </c>
      <c r="Y81" s="19">
        <f>N81</f>
        <v>0</v>
      </c>
      <c r="Z81" s="26">
        <f>(L81+Q81)/(L81+Q81+H81+K81)</f>
        <v>1.9439679817038306E-2</v>
      </c>
    </row>
    <row r="82" spans="1:26" x14ac:dyDescent="0.35">
      <c r="A82" t="s">
        <v>122</v>
      </c>
      <c r="B82" t="s">
        <v>122</v>
      </c>
      <c r="C82" t="s">
        <v>123</v>
      </c>
      <c r="D82" t="s">
        <v>100</v>
      </c>
      <c r="E82" t="s">
        <v>99</v>
      </c>
      <c r="F82" t="s">
        <v>12</v>
      </c>
      <c r="G82">
        <v>1</v>
      </c>
      <c r="H82">
        <v>267</v>
      </c>
      <c r="I82">
        <v>0.79701492537313401</v>
      </c>
      <c r="J82" s="25">
        <f t="shared" si="4"/>
        <v>0.79701492537313434</v>
      </c>
      <c r="K82">
        <v>3163</v>
      </c>
      <c r="L82">
        <v>0</v>
      </c>
      <c r="M82">
        <v>0</v>
      </c>
      <c r="N82" s="25">
        <f t="shared" si="3"/>
        <v>0</v>
      </c>
      <c r="O82">
        <v>1</v>
      </c>
      <c r="P82" s="25">
        <f t="shared" si="5"/>
        <v>1</v>
      </c>
      <c r="Q82">
        <v>68</v>
      </c>
      <c r="R82" t="s">
        <v>124</v>
      </c>
      <c r="S82" t="s">
        <v>124</v>
      </c>
      <c r="T82" t="s">
        <v>124</v>
      </c>
      <c r="U82" t="s">
        <v>124</v>
      </c>
      <c r="X82" s="19">
        <f>J82</f>
        <v>0.79701492537313434</v>
      </c>
      <c r="Y82" s="19">
        <f>N82</f>
        <v>0</v>
      </c>
      <c r="Z82" s="26">
        <f>(L82+Q82)/(L82+Q82+H82+K82)</f>
        <v>1.9439679817038306E-2</v>
      </c>
    </row>
    <row r="83" spans="1:26" x14ac:dyDescent="0.35">
      <c r="A83" t="s">
        <v>122</v>
      </c>
      <c r="B83" t="s">
        <v>122</v>
      </c>
      <c r="C83" t="s">
        <v>123</v>
      </c>
      <c r="D83" t="s">
        <v>100</v>
      </c>
      <c r="E83" t="s">
        <v>99</v>
      </c>
      <c r="F83" t="s">
        <v>12</v>
      </c>
      <c r="G83">
        <v>1</v>
      </c>
      <c r="H83">
        <v>267</v>
      </c>
      <c r="I83">
        <v>0.79701492537313401</v>
      </c>
      <c r="J83" s="25">
        <f t="shared" si="4"/>
        <v>0.79701492537313434</v>
      </c>
      <c r="K83">
        <v>3163</v>
      </c>
      <c r="L83">
        <v>0</v>
      </c>
      <c r="M83">
        <v>0</v>
      </c>
      <c r="N83" s="25">
        <f t="shared" si="3"/>
        <v>0</v>
      </c>
      <c r="O83">
        <v>1</v>
      </c>
      <c r="P83" s="25">
        <f t="shared" si="5"/>
        <v>1</v>
      </c>
      <c r="Q83">
        <v>68</v>
      </c>
      <c r="R83" t="s">
        <v>124</v>
      </c>
      <c r="S83" t="s">
        <v>124</v>
      </c>
      <c r="T83" t="s">
        <v>124</v>
      </c>
      <c r="U83" t="s">
        <v>124</v>
      </c>
      <c r="X83" s="19">
        <f>J83</f>
        <v>0.79701492537313434</v>
      </c>
      <c r="Y83" s="19">
        <f>N83</f>
        <v>0</v>
      </c>
      <c r="Z83" s="26">
        <f>(L83+Q83)/(L83+Q83+H83+K83)</f>
        <v>1.9439679817038306E-2</v>
      </c>
    </row>
    <row r="84" spans="1:26" x14ac:dyDescent="0.35">
      <c r="A84" t="s">
        <v>122</v>
      </c>
      <c r="B84" t="s">
        <v>122</v>
      </c>
      <c r="C84" t="s">
        <v>123</v>
      </c>
      <c r="D84" t="s">
        <v>100</v>
      </c>
      <c r="E84" t="s">
        <v>99</v>
      </c>
      <c r="F84" t="s">
        <v>12</v>
      </c>
      <c r="G84">
        <v>1</v>
      </c>
      <c r="H84">
        <v>267</v>
      </c>
      <c r="I84">
        <v>0.79701492537313401</v>
      </c>
      <c r="J84" s="25">
        <f t="shared" si="4"/>
        <v>0.79701492537313434</v>
      </c>
      <c r="K84">
        <v>3163</v>
      </c>
      <c r="L84">
        <v>0</v>
      </c>
      <c r="M84">
        <v>0</v>
      </c>
      <c r="N84" s="25">
        <f t="shared" si="3"/>
        <v>0</v>
      </c>
      <c r="O84">
        <v>1</v>
      </c>
      <c r="P84" s="25">
        <f t="shared" si="5"/>
        <v>1</v>
      </c>
      <c r="Q84">
        <v>68</v>
      </c>
      <c r="R84" t="s">
        <v>124</v>
      </c>
      <c r="S84" t="s">
        <v>124</v>
      </c>
      <c r="T84" t="s">
        <v>124</v>
      </c>
      <c r="U84" t="s">
        <v>124</v>
      </c>
      <c r="X84" s="19">
        <f>J84</f>
        <v>0.79701492537313434</v>
      </c>
      <c r="Y84" s="19">
        <f>N84</f>
        <v>0</v>
      </c>
      <c r="Z84" s="26">
        <f>(L84+Q84)/(L84+Q84+H84+K84)</f>
        <v>1.9439679817038306E-2</v>
      </c>
    </row>
    <row r="85" spans="1:26" x14ac:dyDescent="0.35">
      <c r="A85" t="s">
        <v>122</v>
      </c>
      <c r="B85" t="s">
        <v>122</v>
      </c>
      <c r="C85" t="s">
        <v>123</v>
      </c>
      <c r="D85" t="s">
        <v>100</v>
      </c>
      <c r="E85" t="s">
        <v>99</v>
      </c>
      <c r="F85" t="s">
        <v>12</v>
      </c>
      <c r="G85">
        <v>1</v>
      </c>
      <c r="H85">
        <v>267</v>
      </c>
      <c r="I85">
        <v>0.79701492537313401</v>
      </c>
      <c r="J85" s="25">
        <f t="shared" si="4"/>
        <v>0.79701492537313434</v>
      </c>
      <c r="K85">
        <v>3163</v>
      </c>
      <c r="L85">
        <v>0</v>
      </c>
      <c r="M85">
        <v>0</v>
      </c>
      <c r="N85" s="25">
        <f t="shared" si="3"/>
        <v>0</v>
      </c>
      <c r="O85">
        <v>1</v>
      </c>
      <c r="P85" s="25">
        <f t="shared" si="5"/>
        <v>1</v>
      </c>
      <c r="Q85">
        <v>68</v>
      </c>
      <c r="R85" t="s">
        <v>124</v>
      </c>
      <c r="S85" t="s">
        <v>124</v>
      </c>
      <c r="T85" t="s">
        <v>124</v>
      </c>
      <c r="U85" t="s">
        <v>124</v>
      </c>
      <c r="X85" s="19">
        <f>J85</f>
        <v>0.79701492537313434</v>
      </c>
      <c r="Y85" s="19">
        <f>N85</f>
        <v>0</v>
      </c>
      <c r="Z85" s="26">
        <f>(L85+Q85)/(L85+Q85+H85+K85)</f>
        <v>1.9439679817038306E-2</v>
      </c>
    </row>
    <row r="86" spans="1:26" x14ac:dyDescent="0.35">
      <c r="A86" t="s">
        <v>122</v>
      </c>
      <c r="B86" t="s">
        <v>122</v>
      </c>
      <c r="C86" t="s">
        <v>123</v>
      </c>
      <c r="D86" t="s">
        <v>100</v>
      </c>
      <c r="E86" t="s">
        <v>99</v>
      </c>
      <c r="F86" t="s">
        <v>12</v>
      </c>
      <c r="G86">
        <v>1</v>
      </c>
      <c r="H86">
        <v>267</v>
      </c>
      <c r="I86">
        <v>0.79701492537313401</v>
      </c>
      <c r="J86" s="25">
        <f t="shared" si="4"/>
        <v>0.79701492537313434</v>
      </c>
      <c r="K86">
        <v>3163</v>
      </c>
      <c r="L86">
        <v>0</v>
      </c>
      <c r="M86">
        <v>0</v>
      </c>
      <c r="N86" s="25">
        <f t="shared" si="3"/>
        <v>0</v>
      </c>
      <c r="O86">
        <v>1</v>
      </c>
      <c r="P86" s="25">
        <f t="shared" si="5"/>
        <v>1</v>
      </c>
      <c r="Q86">
        <v>68</v>
      </c>
      <c r="R86" t="s">
        <v>124</v>
      </c>
      <c r="S86" t="s">
        <v>124</v>
      </c>
      <c r="T86" t="s">
        <v>124</v>
      </c>
      <c r="U86" t="s">
        <v>124</v>
      </c>
      <c r="X86" s="19">
        <f>J86</f>
        <v>0.79701492537313434</v>
      </c>
      <c r="Y86" s="19">
        <f>N86</f>
        <v>0</v>
      </c>
      <c r="Z86" s="26">
        <f>(L86+Q86)/(L86+Q86+H86+K86)</f>
        <v>1.9439679817038306E-2</v>
      </c>
    </row>
    <row r="87" spans="1:26" x14ac:dyDescent="0.35">
      <c r="A87" t="s">
        <v>122</v>
      </c>
      <c r="B87" t="s">
        <v>122</v>
      </c>
      <c r="C87" t="s">
        <v>123</v>
      </c>
      <c r="D87" t="s">
        <v>100</v>
      </c>
      <c r="E87" t="s">
        <v>99</v>
      </c>
      <c r="F87" t="s">
        <v>12</v>
      </c>
      <c r="G87">
        <v>1</v>
      </c>
      <c r="H87">
        <v>267</v>
      </c>
      <c r="I87">
        <v>0.79701492537313401</v>
      </c>
      <c r="J87" s="25">
        <f t="shared" si="4"/>
        <v>0.79701492537313434</v>
      </c>
      <c r="K87">
        <v>3163</v>
      </c>
      <c r="L87">
        <v>0</v>
      </c>
      <c r="M87">
        <v>0</v>
      </c>
      <c r="N87" s="25">
        <f t="shared" si="3"/>
        <v>0</v>
      </c>
      <c r="O87">
        <v>1</v>
      </c>
      <c r="P87" s="25">
        <f t="shared" si="5"/>
        <v>1</v>
      </c>
      <c r="Q87">
        <v>68</v>
      </c>
      <c r="R87" t="s">
        <v>124</v>
      </c>
      <c r="S87" t="s">
        <v>124</v>
      </c>
      <c r="T87" t="s">
        <v>124</v>
      </c>
      <c r="U87" t="s">
        <v>124</v>
      </c>
      <c r="X87" s="19">
        <f>J87</f>
        <v>0.79701492537313434</v>
      </c>
      <c r="Y87" s="19">
        <f>N87</f>
        <v>0</v>
      </c>
      <c r="Z87" s="26">
        <f>(L87+Q87)/(L87+Q87+H87+K87)</f>
        <v>1.9439679817038306E-2</v>
      </c>
    </row>
    <row r="88" spans="1:26" x14ac:dyDescent="0.35">
      <c r="A88" t="s">
        <v>122</v>
      </c>
      <c r="B88" t="s">
        <v>122</v>
      </c>
      <c r="C88" t="s">
        <v>123</v>
      </c>
      <c r="D88" t="s">
        <v>100</v>
      </c>
      <c r="E88" t="s">
        <v>99</v>
      </c>
      <c r="F88" t="s">
        <v>12</v>
      </c>
      <c r="G88">
        <v>1</v>
      </c>
      <c r="H88">
        <v>267</v>
      </c>
      <c r="I88">
        <v>0.79701492537313401</v>
      </c>
      <c r="J88" s="25">
        <f t="shared" si="4"/>
        <v>0.79701492537313434</v>
      </c>
      <c r="K88">
        <v>3163</v>
      </c>
      <c r="L88">
        <v>0</v>
      </c>
      <c r="M88">
        <v>0</v>
      </c>
      <c r="N88" s="25">
        <f t="shared" si="3"/>
        <v>0</v>
      </c>
      <c r="O88">
        <v>1</v>
      </c>
      <c r="P88" s="25">
        <f t="shared" si="5"/>
        <v>1</v>
      </c>
      <c r="Q88">
        <v>68</v>
      </c>
      <c r="R88" t="s">
        <v>124</v>
      </c>
      <c r="S88" t="s">
        <v>124</v>
      </c>
      <c r="T88" t="s">
        <v>124</v>
      </c>
      <c r="U88" t="s">
        <v>124</v>
      </c>
      <c r="X88" s="19">
        <f>J88</f>
        <v>0.79701492537313434</v>
      </c>
      <c r="Y88" s="19">
        <f>N88</f>
        <v>0</v>
      </c>
      <c r="Z88" s="26">
        <f>(L88+Q88)/(L88+Q88+H88+K88)</f>
        <v>1.9439679817038306E-2</v>
      </c>
    </row>
    <row r="89" spans="1:26" x14ac:dyDescent="0.35">
      <c r="A89" t="s">
        <v>122</v>
      </c>
      <c r="B89" t="s">
        <v>122</v>
      </c>
      <c r="C89" t="s">
        <v>123</v>
      </c>
      <c r="D89" t="s">
        <v>100</v>
      </c>
      <c r="E89" t="s">
        <v>99</v>
      </c>
      <c r="F89" t="s">
        <v>12</v>
      </c>
      <c r="G89">
        <v>1</v>
      </c>
      <c r="H89">
        <v>267</v>
      </c>
      <c r="I89">
        <v>0.79701492537313401</v>
      </c>
      <c r="J89" s="25">
        <f t="shared" si="4"/>
        <v>0.79701492537313434</v>
      </c>
      <c r="K89">
        <v>3163</v>
      </c>
      <c r="L89">
        <v>0</v>
      </c>
      <c r="M89">
        <v>0</v>
      </c>
      <c r="N89" s="25">
        <f t="shared" si="3"/>
        <v>0</v>
      </c>
      <c r="O89">
        <v>1</v>
      </c>
      <c r="P89" s="25">
        <f t="shared" si="5"/>
        <v>1</v>
      </c>
      <c r="Q89">
        <v>68</v>
      </c>
      <c r="R89" t="s">
        <v>124</v>
      </c>
      <c r="S89" t="s">
        <v>124</v>
      </c>
      <c r="T89" t="s">
        <v>124</v>
      </c>
      <c r="U89" t="s">
        <v>124</v>
      </c>
      <c r="X89" s="19">
        <f>J89</f>
        <v>0.79701492537313434</v>
      </c>
      <c r="Y89" s="19">
        <f>N89</f>
        <v>0</v>
      </c>
      <c r="Z89" s="26">
        <f>(L89+Q89)/(L89+Q89+H89+K89)</f>
        <v>1.9439679817038306E-2</v>
      </c>
    </row>
    <row r="90" spans="1:26" x14ac:dyDescent="0.35">
      <c r="A90" t="s">
        <v>122</v>
      </c>
      <c r="B90" t="s">
        <v>122</v>
      </c>
      <c r="C90" t="s">
        <v>123</v>
      </c>
      <c r="D90" t="s">
        <v>100</v>
      </c>
      <c r="E90" t="s">
        <v>99</v>
      </c>
      <c r="F90" t="s">
        <v>12</v>
      </c>
      <c r="G90">
        <v>1</v>
      </c>
      <c r="H90">
        <v>267</v>
      </c>
      <c r="I90">
        <v>0.79701492537313401</v>
      </c>
      <c r="J90" s="25">
        <f t="shared" si="4"/>
        <v>0.79701492537313434</v>
      </c>
      <c r="K90">
        <v>3163</v>
      </c>
      <c r="L90">
        <v>0</v>
      </c>
      <c r="M90">
        <v>0</v>
      </c>
      <c r="N90" s="25">
        <f t="shared" si="3"/>
        <v>0</v>
      </c>
      <c r="O90">
        <v>1</v>
      </c>
      <c r="P90" s="25">
        <f t="shared" si="5"/>
        <v>1</v>
      </c>
      <c r="Q90">
        <v>68</v>
      </c>
      <c r="R90" t="s">
        <v>124</v>
      </c>
      <c r="S90" t="s">
        <v>124</v>
      </c>
      <c r="T90" t="s">
        <v>124</v>
      </c>
      <c r="U90" t="s">
        <v>124</v>
      </c>
      <c r="X90" s="19">
        <f>J90</f>
        <v>0.79701492537313434</v>
      </c>
      <c r="Y90" s="19">
        <f>N90</f>
        <v>0</v>
      </c>
      <c r="Z90" s="26">
        <f>(L90+Q90)/(L90+Q90+H90+K90)</f>
        <v>1.9439679817038306E-2</v>
      </c>
    </row>
    <row r="91" spans="1:26" x14ac:dyDescent="0.35">
      <c r="A91" t="s">
        <v>122</v>
      </c>
      <c r="B91" t="s">
        <v>122</v>
      </c>
      <c r="C91" t="s">
        <v>123</v>
      </c>
      <c r="D91" t="s">
        <v>100</v>
      </c>
      <c r="E91" t="s">
        <v>99</v>
      </c>
      <c r="F91" t="s">
        <v>12</v>
      </c>
      <c r="G91">
        <v>1</v>
      </c>
      <c r="H91">
        <v>267</v>
      </c>
      <c r="I91">
        <v>0.79701492537313401</v>
      </c>
      <c r="J91" s="25">
        <f t="shared" si="4"/>
        <v>0.79701492537313434</v>
      </c>
      <c r="K91">
        <v>3163</v>
      </c>
      <c r="L91">
        <v>0</v>
      </c>
      <c r="M91">
        <v>0</v>
      </c>
      <c r="N91" s="25">
        <f t="shared" si="3"/>
        <v>0</v>
      </c>
      <c r="O91">
        <v>1</v>
      </c>
      <c r="P91" s="25">
        <f t="shared" si="5"/>
        <v>1</v>
      </c>
      <c r="Q91">
        <v>68</v>
      </c>
      <c r="R91" t="s">
        <v>124</v>
      </c>
      <c r="S91" t="s">
        <v>124</v>
      </c>
      <c r="T91" t="s">
        <v>124</v>
      </c>
      <c r="U91" t="s">
        <v>124</v>
      </c>
      <c r="X91" s="19">
        <f>J91</f>
        <v>0.79701492537313434</v>
      </c>
      <c r="Y91" s="19">
        <f>N91</f>
        <v>0</v>
      </c>
      <c r="Z91" s="26">
        <f>(L91+Q91)/(L91+Q91+H91+K91)</f>
        <v>1.9439679817038306E-2</v>
      </c>
    </row>
    <row r="92" spans="1:26" x14ac:dyDescent="0.35">
      <c r="A92" t="s">
        <v>122</v>
      </c>
      <c r="B92" t="s">
        <v>122</v>
      </c>
      <c r="C92" t="s">
        <v>123</v>
      </c>
      <c r="D92" t="s">
        <v>100</v>
      </c>
      <c r="E92" t="s">
        <v>99</v>
      </c>
      <c r="F92" t="s">
        <v>12</v>
      </c>
      <c r="G92">
        <v>1</v>
      </c>
      <c r="H92">
        <v>267</v>
      </c>
      <c r="I92">
        <v>0.79701492537313401</v>
      </c>
      <c r="J92" s="25">
        <f t="shared" si="4"/>
        <v>0.79701492537313434</v>
      </c>
      <c r="K92">
        <v>3163</v>
      </c>
      <c r="L92">
        <v>0</v>
      </c>
      <c r="M92">
        <v>0</v>
      </c>
      <c r="N92" s="25">
        <f t="shared" si="3"/>
        <v>0</v>
      </c>
      <c r="O92">
        <v>1</v>
      </c>
      <c r="P92" s="25">
        <f t="shared" si="5"/>
        <v>1</v>
      </c>
      <c r="Q92">
        <v>68</v>
      </c>
      <c r="R92" t="s">
        <v>124</v>
      </c>
      <c r="S92" t="s">
        <v>124</v>
      </c>
      <c r="T92" t="s">
        <v>124</v>
      </c>
      <c r="U92" t="s">
        <v>124</v>
      </c>
      <c r="X92" s="19">
        <f>J92</f>
        <v>0.79701492537313434</v>
      </c>
      <c r="Y92" s="19">
        <f>N92</f>
        <v>0</v>
      </c>
      <c r="Z92" s="26">
        <f>(L92+Q92)/(L92+Q92+H92+K92)</f>
        <v>1.9439679817038306E-2</v>
      </c>
    </row>
    <row r="93" spans="1:26" x14ac:dyDescent="0.35">
      <c r="A93" t="s">
        <v>122</v>
      </c>
      <c r="B93" t="s">
        <v>122</v>
      </c>
      <c r="C93" t="s">
        <v>123</v>
      </c>
      <c r="D93" t="s">
        <v>100</v>
      </c>
      <c r="E93" t="s">
        <v>99</v>
      </c>
      <c r="F93" t="s">
        <v>12</v>
      </c>
      <c r="G93">
        <v>1</v>
      </c>
      <c r="H93">
        <v>267</v>
      </c>
      <c r="I93">
        <v>0.79701492537313401</v>
      </c>
      <c r="J93" s="25">
        <f t="shared" si="4"/>
        <v>0.79701492537313434</v>
      </c>
      <c r="K93">
        <v>3163</v>
      </c>
      <c r="L93">
        <v>0</v>
      </c>
      <c r="M93">
        <v>0</v>
      </c>
      <c r="N93" s="25">
        <f t="shared" si="3"/>
        <v>0</v>
      </c>
      <c r="O93">
        <v>1</v>
      </c>
      <c r="P93" s="25">
        <f t="shared" si="5"/>
        <v>1</v>
      </c>
      <c r="Q93">
        <v>68</v>
      </c>
      <c r="R93" t="s">
        <v>124</v>
      </c>
      <c r="S93" t="s">
        <v>124</v>
      </c>
      <c r="T93" t="s">
        <v>124</v>
      </c>
      <c r="U93" t="s">
        <v>124</v>
      </c>
      <c r="X93" s="19">
        <f>J93</f>
        <v>0.79701492537313434</v>
      </c>
      <c r="Y93" s="19">
        <f>N93</f>
        <v>0</v>
      </c>
      <c r="Z93" s="26">
        <f>(L93+Q93)/(L93+Q93+H93+K93)</f>
        <v>1.9439679817038306E-2</v>
      </c>
    </row>
    <row r="94" spans="1:26" x14ac:dyDescent="0.35">
      <c r="A94" t="s">
        <v>122</v>
      </c>
      <c r="B94" t="s">
        <v>122</v>
      </c>
      <c r="C94" t="s">
        <v>123</v>
      </c>
      <c r="D94" t="s">
        <v>100</v>
      </c>
      <c r="E94" t="s">
        <v>99</v>
      </c>
      <c r="F94" t="s">
        <v>12</v>
      </c>
      <c r="G94">
        <v>1</v>
      </c>
      <c r="H94">
        <v>267</v>
      </c>
      <c r="I94">
        <v>0.79701492537313401</v>
      </c>
      <c r="J94" s="25">
        <f t="shared" si="4"/>
        <v>0.79701492537313434</v>
      </c>
      <c r="K94">
        <v>3163</v>
      </c>
      <c r="L94">
        <v>0</v>
      </c>
      <c r="M94">
        <v>0</v>
      </c>
      <c r="N94" s="25">
        <f t="shared" si="3"/>
        <v>0</v>
      </c>
      <c r="O94">
        <v>1</v>
      </c>
      <c r="P94" s="25">
        <f t="shared" si="5"/>
        <v>1</v>
      </c>
      <c r="Q94">
        <v>68</v>
      </c>
      <c r="R94" t="s">
        <v>124</v>
      </c>
      <c r="S94" t="s">
        <v>124</v>
      </c>
      <c r="T94" t="s">
        <v>124</v>
      </c>
      <c r="U94" t="s">
        <v>124</v>
      </c>
      <c r="X94" s="19">
        <f>J94</f>
        <v>0.79701492537313434</v>
      </c>
      <c r="Y94" s="19">
        <f>N94</f>
        <v>0</v>
      </c>
      <c r="Z94" s="26">
        <f>(L94+Q94)/(L94+Q94+H94+K94)</f>
        <v>1.9439679817038306E-2</v>
      </c>
    </row>
    <row r="95" spans="1:26" x14ac:dyDescent="0.35">
      <c r="A95" t="s">
        <v>122</v>
      </c>
      <c r="B95" t="s">
        <v>122</v>
      </c>
      <c r="C95" t="s">
        <v>123</v>
      </c>
      <c r="D95" t="s">
        <v>100</v>
      </c>
      <c r="E95" t="s">
        <v>99</v>
      </c>
      <c r="F95" t="s">
        <v>12</v>
      </c>
      <c r="G95">
        <v>1</v>
      </c>
      <c r="H95">
        <v>267</v>
      </c>
      <c r="I95">
        <v>0.79701492537313401</v>
      </c>
      <c r="J95" s="25">
        <f t="shared" si="4"/>
        <v>0.79701492537313434</v>
      </c>
      <c r="K95">
        <v>3163</v>
      </c>
      <c r="L95">
        <v>0</v>
      </c>
      <c r="M95">
        <v>0</v>
      </c>
      <c r="N95" s="25">
        <f t="shared" si="3"/>
        <v>0</v>
      </c>
      <c r="O95">
        <v>1</v>
      </c>
      <c r="P95" s="25">
        <f t="shared" si="5"/>
        <v>1</v>
      </c>
      <c r="Q95">
        <v>68</v>
      </c>
      <c r="R95" t="s">
        <v>124</v>
      </c>
      <c r="S95" t="s">
        <v>124</v>
      </c>
      <c r="T95" t="s">
        <v>124</v>
      </c>
      <c r="U95" t="s">
        <v>124</v>
      </c>
      <c r="X95" s="19">
        <f>J95</f>
        <v>0.79701492537313434</v>
      </c>
      <c r="Y95" s="19">
        <f>N95</f>
        <v>0</v>
      </c>
      <c r="Z95" s="26">
        <f>(L95+Q95)/(L95+Q95+H95+K95)</f>
        <v>1.9439679817038306E-2</v>
      </c>
    </row>
    <row r="96" spans="1:26" x14ac:dyDescent="0.35">
      <c r="A96" t="s">
        <v>122</v>
      </c>
      <c r="B96" t="s">
        <v>122</v>
      </c>
      <c r="C96" t="s">
        <v>123</v>
      </c>
      <c r="D96" t="s">
        <v>100</v>
      </c>
      <c r="E96" t="s">
        <v>99</v>
      </c>
      <c r="F96" t="s">
        <v>12</v>
      </c>
      <c r="G96">
        <v>1</v>
      </c>
      <c r="H96">
        <v>267</v>
      </c>
      <c r="I96">
        <v>0.79701492537313401</v>
      </c>
      <c r="J96" s="25">
        <f t="shared" si="4"/>
        <v>0.79701492537313434</v>
      </c>
      <c r="K96">
        <v>3163</v>
      </c>
      <c r="L96">
        <v>0</v>
      </c>
      <c r="M96">
        <v>0</v>
      </c>
      <c r="N96" s="25">
        <f t="shared" si="3"/>
        <v>0</v>
      </c>
      <c r="O96">
        <v>1</v>
      </c>
      <c r="P96" s="25">
        <f t="shared" si="5"/>
        <v>1</v>
      </c>
      <c r="Q96">
        <v>68</v>
      </c>
      <c r="R96" t="s">
        <v>124</v>
      </c>
      <c r="S96" t="s">
        <v>124</v>
      </c>
      <c r="T96" t="s">
        <v>124</v>
      </c>
      <c r="U96" t="s">
        <v>124</v>
      </c>
      <c r="X96" s="19">
        <f>J96</f>
        <v>0.79701492537313434</v>
      </c>
      <c r="Y96" s="19">
        <f>N96</f>
        <v>0</v>
      </c>
      <c r="Z96" s="26">
        <f>(L96+Q96)/(L96+Q96+H96+K96)</f>
        <v>1.9439679817038306E-2</v>
      </c>
    </row>
    <row r="97" spans="1:26" x14ac:dyDescent="0.35">
      <c r="A97" t="s">
        <v>122</v>
      </c>
      <c r="B97" t="s">
        <v>122</v>
      </c>
      <c r="C97" t="s">
        <v>123</v>
      </c>
      <c r="D97" t="s">
        <v>100</v>
      </c>
      <c r="E97" t="s">
        <v>99</v>
      </c>
      <c r="F97" t="s">
        <v>12</v>
      </c>
      <c r="G97">
        <v>1</v>
      </c>
      <c r="H97">
        <v>267</v>
      </c>
      <c r="I97">
        <v>0.79701492537313401</v>
      </c>
      <c r="J97" s="25">
        <f t="shared" si="4"/>
        <v>0.79701492537313434</v>
      </c>
      <c r="K97">
        <v>3163</v>
      </c>
      <c r="L97">
        <v>0</v>
      </c>
      <c r="M97">
        <v>0</v>
      </c>
      <c r="N97" s="25">
        <f t="shared" si="3"/>
        <v>0</v>
      </c>
      <c r="O97">
        <v>1</v>
      </c>
      <c r="P97" s="25">
        <f t="shared" si="5"/>
        <v>1</v>
      </c>
      <c r="Q97">
        <v>68</v>
      </c>
      <c r="R97" t="s">
        <v>124</v>
      </c>
      <c r="S97" t="s">
        <v>124</v>
      </c>
      <c r="T97" t="s">
        <v>124</v>
      </c>
      <c r="U97" t="s">
        <v>124</v>
      </c>
      <c r="X97" s="19">
        <f>J97</f>
        <v>0.79701492537313434</v>
      </c>
      <c r="Y97" s="19">
        <f>N97</f>
        <v>0</v>
      </c>
      <c r="Z97" s="26">
        <f>(L97+Q97)/(L97+Q97+H97+K97)</f>
        <v>1.9439679817038306E-2</v>
      </c>
    </row>
    <row r="98" spans="1:26" x14ac:dyDescent="0.35">
      <c r="A98" t="s">
        <v>122</v>
      </c>
      <c r="B98" t="s">
        <v>122</v>
      </c>
      <c r="C98" t="s">
        <v>123</v>
      </c>
      <c r="D98" t="s">
        <v>100</v>
      </c>
      <c r="E98" t="s">
        <v>99</v>
      </c>
      <c r="F98" t="s">
        <v>12</v>
      </c>
      <c r="G98">
        <v>1</v>
      </c>
      <c r="H98">
        <v>267</v>
      </c>
      <c r="I98">
        <v>0.79701492537313401</v>
      </c>
      <c r="J98" s="25">
        <f t="shared" si="4"/>
        <v>0.79701492537313434</v>
      </c>
      <c r="K98">
        <v>3163</v>
      </c>
      <c r="L98">
        <v>0</v>
      </c>
      <c r="M98">
        <v>0</v>
      </c>
      <c r="N98" s="25">
        <f t="shared" si="3"/>
        <v>0</v>
      </c>
      <c r="O98">
        <v>1</v>
      </c>
      <c r="P98" s="25">
        <f t="shared" si="5"/>
        <v>1</v>
      </c>
      <c r="Q98">
        <v>68</v>
      </c>
      <c r="R98" t="s">
        <v>124</v>
      </c>
      <c r="S98" t="s">
        <v>124</v>
      </c>
      <c r="T98" t="s">
        <v>124</v>
      </c>
      <c r="U98" t="s">
        <v>124</v>
      </c>
      <c r="X98" s="19">
        <f>J98</f>
        <v>0.79701492537313434</v>
      </c>
      <c r="Y98" s="19">
        <f>N98</f>
        <v>0</v>
      </c>
      <c r="Z98" s="26">
        <f>(L98+Q98)/(L98+Q98+H98+K98)</f>
        <v>1.9439679817038306E-2</v>
      </c>
    </row>
    <row r="99" spans="1:26" x14ac:dyDescent="0.35">
      <c r="A99" t="s">
        <v>122</v>
      </c>
      <c r="B99" t="s">
        <v>122</v>
      </c>
      <c r="C99" t="s">
        <v>123</v>
      </c>
      <c r="D99" t="s">
        <v>100</v>
      </c>
      <c r="E99" t="s">
        <v>99</v>
      </c>
      <c r="F99" t="s">
        <v>12</v>
      </c>
      <c r="G99">
        <v>1</v>
      </c>
      <c r="H99">
        <v>267</v>
      </c>
      <c r="I99">
        <v>0.79701492537313401</v>
      </c>
      <c r="J99" s="25">
        <f t="shared" si="4"/>
        <v>0.79701492537313434</v>
      </c>
      <c r="K99">
        <v>3163</v>
      </c>
      <c r="L99">
        <v>0</v>
      </c>
      <c r="M99">
        <v>0</v>
      </c>
      <c r="N99" s="25">
        <f t="shared" si="3"/>
        <v>0</v>
      </c>
      <c r="O99">
        <v>1</v>
      </c>
      <c r="P99" s="25">
        <f t="shared" si="5"/>
        <v>1</v>
      </c>
      <c r="Q99">
        <v>68</v>
      </c>
      <c r="R99" t="s">
        <v>124</v>
      </c>
      <c r="S99" t="s">
        <v>124</v>
      </c>
      <c r="T99" t="s">
        <v>124</v>
      </c>
      <c r="U99" t="s">
        <v>124</v>
      </c>
      <c r="X99" s="19">
        <f>J99</f>
        <v>0.79701492537313434</v>
      </c>
      <c r="Y99" s="19">
        <f>N99</f>
        <v>0</v>
      </c>
      <c r="Z99" s="26">
        <f>(L99+Q99)/(L99+Q99+H99+K99)</f>
        <v>1.9439679817038306E-2</v>
      </c>
    </row>
    <row r="100" spans="1:26" x14ac:dyDescent="0.35">
      <c r="A100" t="s">
        <v>122</v>
      </c>
      <c r="B100" t="s">
        <v>122</v>
      </c>
      <c r="C100" t="s">
        <v>123</v>
      </c>
      <c r="D100" t="s">
        <v>100</v>
      </c>
      <c r="E100" t="s">
        <v>99</v>
      </c>
      <c r="F100" t="s">
        <v>12</v>
      </c>
      <c r="G100">
        <v>1</v>
      </c>
      <c r="H100">
        <v>267</v>
      </c>
      <c r="I100">
        <v>0.79701492537313401</v>
      </c>
      <c r="J100" s="25">
        <f t="shared" si="4"/>
        <v>0.79701492537313434</v>
      </c>
      <c r="K100">
        <v>3163</v>
      </c>
      <c r="L100">
        <v>0</v>
      </c>
      <c r="M100">
        <v>0</v>
      </c>
      <c r="N100" s="25">
        <f t="shared" si="3"/>
        <v>0</v>
      </c>
      <c r="O100">
        <v>1</v>
      </c>
      <c r="P100" s="25">
        <f t="shared" si="5"/>
        <v>1</v>
      </c>
      <c r="Q100">
        <v>68</v>
      </c>
      <c r="R100" t="s">
        <v>124</v>
      </c>
      <c r="S100" t="s">
        <v>124</v>
      </c>
      <c r="T100" t="s">
        <v>124</v>
      </c>
      <c r="U100" t="s">
        <v>124</v>
      </c>
      <c r="X100" s="19">
        <f>J100</f>
        <v>0.79701492537313434</v>
      </c>
      <c r="Y100" s="19">
        <f>N100</f>
        <v>0</v>
      </c>
      <c r="Z100" s="26">
        <f>(L100+Q100)/(L100+Q100+H100+K100)</f>
        <v>1.9439679817038306E-2</v>
      </c>
    </row>
    <row r="101" spans="1:26" x14ac:dyDescent="0.35">
      <c r="A101" t="s">
        <v>122</v>
      </c>
      <c r="B101" t="s">
        <v>122</v>
      </c>
      <c r="C101" t="s">
        <v>123</v>
      </c>
      <c r="D101" t="s">
        <v>100</v>
      </c>
      <c r="E101" t="s">
        <v>99</v>
      </c>
      <c r="F101" t="s">
        <v>12</v>
      </c>
      <c r="G101">
        <v>1</v>
      </c>
      <c r="H101">
        <v>267</v>
      </c>
      <c r="I101">
        <v>0.79701492537313401</v>
      </c>
      <c r="J101" s="25">
        <f t="shared" si="4"/>
        <v>0.79701492537313434</v>
      </c>
      <c r="K101">
        <v>3163</v>
      </c>
      <c r="L101">
        <v>0</v>
      </c>
      <c r="M101">
        <v>0</v>
      </c>
      <c r="N101" s="25">
        <f t="shared" si="3"/>
        <v>0</v>
      </c>
      <c r="O101">
        <v>1</v>
      </c>
      <c r="P101" s="25">
        <f t="shared" si="5"/>
        <v>1</v>
      </c>
      <c r="Q101">
        <v>68</v>
      </c>
      <c r="R101" t="s">
        <v>124</v>
      </c>
      <c r="S101" t="s">
        <v>124</v>
      </c>
      <c r="T101" t="s">
        <v>124</v>
      </c>
      <c r="U101" t="s">
        <v>124</v>
      </c>
      <c r="X101" s="19">
        <f>J101</f>
        <v>0.79701492537313434</v>
      </c>
      <c r="Y101" s="19">
        <f>N101</f>
        <v>0</v>
      </c>
      <c r="Z101" s="26">
        <f>(L101+Q101)/(L101+Q101+H101+K101)</f>
        <v>1.9439679817038306E-2</v>
      </c>
    </row>
    <row r="102" spans="1:26" x14ac:dyDescent="0.35">
      <c r="A102" t="s">
        <v>122</v>
      </c>
      <c r="B102" t="s">
        <v>122</v>
      </c>
      <c r="C102" t="s">
        <v>123</v>
      </c>
      <c r="D102" t="s">
        <v>100</v>
      </c>
      <c r="E102" t="s">
        <v>99</v>
      </c>
      <c r="F102" t="s">
        <v>12</v>
      </c>
      <c r="G102">
        <v>1</v>
      </c>
      <c r="H102">
        <v>267</v>
      </c>
      <c r="I102">
        <v>0.79701492537313401</v>
      </c>
      <c r="J102" s="25">
        <f t="shared" si="4"/>
        <v>0.79701492537313434</v>
      </c>
      <c r="K102">
        <v>3163</v>
      </c>
      <c r="L102">
        <v>0</v>
      </c>
      <c r="M102">
        <v>0</v>
      </c>
      <c r="N102" s="25">
        <f t="shared" si="3"/>
        <v>0</v>
      </c>
      <c r="O102">
        <v>1</v>
      </c>
      <c r="P102" s="25">
        <f t="shared" si="5"/>
        <v>1</v>
      </c>
      <c r="Q102">
        <v>68</v>
      </c>
      <c r="R102" t="s">
        <v>124</v>
      </c>
      <c r="S102" t="s">
        <v>124</v>
      </c>
      <c r="T102" t="s">
        <v>124</v>
      </c>
      <c r="U102" t="s">
        <v>124</v>
      </c>
      <c r="X102" s="19">
        <f>J102</f>
        <v>0.79701492537313434</v>
      </c>
      <c r="Y102" s="19">
        <f>N102</f>
        <v>0</v>
      </c>
      <c r="Z102" s="26">
        <f>(L102+Q102)/(L102+Q102+H102+K102)</f>
        <v>1.9439679817038306E-2</v>
      </c>
    </row>
    <row r="103" spans="1:26" x14ac:dyDescent="0.35">
      <c r="A103" t="s">
        <v>122</v>
      </c>
      <c r="B103" t="s">
        <v>122</v>
      </c>
      <c r="C103" t="s">
        <v>123</v>
      </c>
      <c r="D103" t="s">
        <v>100</v>
      </c>
      <c r="E103" t="s">
        <v>99</v>
      </c>
      <c r="F103" t="s">
        <v>12</v>
      </c>
      <c r="G103">
        <v>1</v>
      </c>
      <c r="H103">
        <v>267</v>
      </c>
      <c r="I103">
        <v>0.79701492537313401</v>
      </c>
      <c r="J103" s="25">
        <f t="shared" si="4"/>
        <v>0.79701492537313434</v>
      </c>
      <c r="K103">
        <v>3163</v>
      </c>
      <c r="L103">
        <v>0</v>
      </c>
      <c r="M103">
        <v>0</v>
      </c>
      <c r="N103" s="25">
        <f t="shared" si="3"/>
        <v>0</v>
      </c>
      <c r="O103">
        <v>1</v>
      </c>
      <c r="P103" s="25">
        <f t="shared" si="5"/>
        <v>1</v>
      </c>
      <c r="Q103">
        <v>68</v>
      </c>
      <c r="R103" t="s">
        <v>124</v>
      </c>
      <c r="S103" t="s">
        <v>124</v>
      </c>
      <c r="T103" t="s">
        <v>124</v>
      </c>
      <c r="U103" t="s">
        <v>124</v>
      </c>
      <c r="X103" s="19">
        <f>J103</f>
        <v>0.79701492537313434</v>
      </c>
      <c r="Y103" s="19">
        <f>N103</f>
        <v>0</v>
      </c>
      <c r="Z103" s="26">
        <f>(L103+Q103)/(L103+Q103+H103+K103)</f>
        <v>1.9439679817038306E-2</v>
      </c>
    </row>
    <row r="104" spans="1:26" x14ac:dyDescent="0.35">
      <c r="A104" t="s">
        <v>122</v>
      </c>
      <c r="B104" t="s">
        <v>122</v>
      </c>
      <c r="C104" t="s">
        <v>123</v>
      </c>
      <c r="D104" t="s">
        <v>100</v>
      </c>
      <c r="E104" t="s">
        <v>99</v>
      </c>
      <c r="F104" t="s">
        <v>12</v>
      </c>
      <c r="G104">
        <v>1</v>
      </c>
      <c r="H104">
        <v>267</v>
      </c>
      <c r="I104">
        <v>0.79701492537313401</v>
      </c>
      <c r="J104" s="25">
        <f t="shared" si="4"/>
        <v>0.79701492537313434</v>
      </c>
      <c r="K104">
        <v>3163</v>
      </c>
      <c r="L104">
        <v>0</v>
      </c>
      <c r="M104">
        <v>0</v>
      </c>
      <c r="N104" s="25">
        <f t="shared" si="3"/>
        <v>0</v>
      </c>
      <c r="O104">
        <v>1</v>
      </c>
      <c r="P104" s="25">
        <f t="shared" si="5"/>
        <v>1</v>
      </c>
      <c r="Q104">
        <v>68</v>
      </c>
      <c r="R104" t="s">
        <v>124</v>
      </c>
      <c r="S104" t="s">
        <v>124</v>
      </c>
      <c r="T104" t="s">
        <v>124</v>
      </c>
      <c r="U104" t="s">
        <v>124</v>
      </c>
      <c r="X104" s="19">
        <f>J104</f>
        <v>0.79701492537313434</v>
      </c>
      <c r="Y104" s="19">
        <f>N104</f>
        <v>0</v>
      </c>
      <c r="Z104" s="26">
        <f>(L104+Q104)/(L104+Q104+H104+K104)</f>
        <v>1.9439679817038306E-2</v>
      </c>
    </row>
    <row r="105" spans="1:26" x14ac:dyDescent="0.35">
      <c r="A105" t="s">
        <v>122</v>
      </c>
      <c r="B105" t="s">
        <v>122</v>
      </c>
      <c r="C105" t="s">
        <v>123</v>
      </c>
      <c r="D105" t="s">
        <v>100</v>
      </c>
      <c r="E105" t="s">
        <v>99</v>
      </c>
      <c r="F105" t="s">
        <v>12</v>
      </c>
      <c r="G105">
        <v>1</v>
      </c>
      <c r="H105">
        <v>267</v>
      </c>
      <c r="I105">
        <v>0.79701492537313401</v>
      </c>
      <c r="J105" s="25">
        <f t="shared" si="4"/>
        <v>0.79701492537313434</v>
      </c>
      <c r="K105">
        <v>3163</v>
      </c>
      <c r="L105">
        <v>0</v>
      </c>
      <c r="M105">
        <v>0</v>
      </c>
      <c r="N105" s="25">
        <f t="shared" si="3"/>
        <v>0</v>
      </c>
      <c r="O105">
        <v>1</v>
      </c>
      <c r="P105" s="25">
        <f t="shared" si="5"/>
        <v>1</v>
      </c>
      <c r="Q105">
        <v>68</v>
      </c>
      <c r="R105" t="s">
        <v>124</v>
      </c>
      <c r="S105" t="s">
        <v>124</v>
      </c>
      <c r="T105" t="s">
        <v>124</v>
      </c>
      <c r="U105" t="s">
        <v>124</v>
      </c>
      <c r="X105" s="19">
        <f>J105</f>
        <v>0.79701492537313434</v>
      </c>
      <c r="Y105" s="19">
        <f>N105</f>
        <v>0</v>
      </c>
      <c r="Z105" s="26">
        <f>(L105+Q105)/(L105+Q105+H105+K105)</f>
        <v>1.9439679817038306E-2</v>
      </c>
    </row>
    <row r="106" spans="1:26" x14ac:dyDescent="0.35">
      <c r="A106" t="s">
        <v>122</v>
      </c>
      <c r="B106" t="s">
        <v>122</v>
      </c>
      <c r="C106" t="s">
        <v>123</v>
      </c>
      <c r="D106" t="s">
        <v>100</v>
      </c>
      <c r="E106" t="s">
        <v>99</v>
      </c>
      <c r="F106" t="s">
        <v>12</v>
      </c>
      <c r="G106">
        <v>1</v>
      </c>
      <c r="H106">
        <v>267</v>
      </c>
      <c r="I106">
        <v>0.79701492537313401</v>
      </c>
      <c r="J106" s="25">
        <f t="shared" si="4"/>
        <v>0.79701492537313434</v>
      </c>
      <c r="K106">
        <v>3163</v>
      </c>
      <c r="L106">
        <v>0</v>
      </c>
      <c r="M106">
        <v>0</v>
      </c>
      <c r="N106" s="25">
        <f t="shared" si="3"/>
        <v>0</v>
      </c>
      <c r="O106">
        <v>1</v>
      </c>
      <c r="P106" s="25">
        <f t="shared" si="5"/>
        <v>1</v>
      </c>
      <c r="Q106">
        <v>68</v>
      </c>
      <c r="R106" t="s">
        <v>124</v>
      </c>
      <c r="S106" t="s">
        <v>124</v>
      </c>
      <c r="T106" t="s">
        <v>124</v>
      </c>
      <c r="U106" t="s">
        <v>124</v>
      </c>
      <c r="X106" s="19">
        <f>J106</f>
        <v>0.79701492537313434</v>
      </c>
      <c r="Y106" s="19">
        <f>N106</f>
        <v>0</v>
      </c>
      <c r="Z106" s="26">
        <f>(L106+Q106)/(L106+Q106+H106+K106)</f>
        <v>1.9439679817038306E-2</v>
      </c>
    </row>
    <row r="107" spans="1:26" x14ac:dyDescent="0.35">
      <c r="A107" t="s">
        <v>122</v>
      </c>
      <c r="B107" t="s">
        <v>122</v>
      </c>
      <c r="C107" t="s">
        <v>123</v>
      </c>
      <c r="D107" t="s">
        <v>100</v>
      </c>
      <c r="E107" t="s">
        <v>99</v>
      </c>
      <c r="F107" t="s">
        <v>12</v>
      </c>
      <c r="G107">
        <v>1</v>
      </c>
      <c r="H107">
        <v>267</v>
      </c>
      <c r="I107">
        <v>0.79701492537313401</v>
      </c>
      <c r="J107" s="25">
        <f t="shared" si="4"/>
        <v>0.79701492537313434</v>
      </c>
      <c r="K107">
        <v>3163</v>
      </c>
      <c r="L107">
        <v>0</v>
      </c>
      <c r="M107">
        <v>0</v>
      </c>
      <c r="N107" s="25">
        <f t="shared" si="3"/>
        <v>0</v>
      </c>
      <c r="O107">
        <v>1</v>
      </c>
      <c r="P107" s="25">
        <f t="shared" si="5"/>
        <v>1</v>
      </c>
      <c r="Q107">
        <v>68</v>
      </c>
      <c r="R107" t="s">
        <v>124</v>
      </c>
      <c r="S107" t="s">
        <v>124</v>
      </c>
      <c r="T107" t="s">
        <v>124</v>
      </c>
      <c r="U107" t="s">
        <v>124</v>
      </c>
      <c r="X107" s="19">
        <f>J107</f>
        <v>0.79701492537313434</v>
      </c>
      <c r="Y107" s="19">
        <f>N107</f>
        <v>0</v>
      </c>
      <c r="Z107" s="26">
        <f>(L107+Q107)/(L107+Q107+H107+K107)</f>
        <v>1.9439679817038306E-2</v>
      </c>
    </row>
    <row r="108" spans="1:26" x14ac:dyDescent="0.35">
      <c r="A108" t="s">
        <v>122</v>
      </c>
      <c r="B108" t="s">
        <v>122</v>
      </c>
      <c r="C108" t="s">
        <v>123</v>
      </c>
      <c r="D108" t="s">
        <v>100</v>
      </c>
      <c r="E108" t="s">
        <v>99</v>
      </c>
      <c r="F108" t="s">
        <v>12</v>
      </c>
      <c r="G108">
        <v>1</v>
      </c>
      <c r="H108">
        <v>267</v>
      </c>
      <c r="I108">
        <v>0.79701492537313401</v>
      </c>
      <c r="J108" s="25">
        <f t="shared" si="4"/>
        <v>0.79701492537313434</v>
      </c>
      <c r="K108">
        <v>3163</v>
      </c>
      <c r="L108">
        <v>0</v>
      </c>
      <c r="M108">
        <v>0</v>
      </c>
      <c r="N108" s="25">
        <f t="shared" si="3"/>
        <v>0</v>
      </c>
      <c r="O108">
        <v>1</v>
      </c>
      <c r="P108" s="25">
        <f t="shared" si="5"/>
        <v>1</v>
      </c>
      <c r="Q108">
        <v>68</v>
      </c>
      <c r="R108" t="s">
        <v>124</v>
      </c>
      <c r="S108" t="s">
        <v>124</v>
      </c>
      <c r="T108" t="s">
        <v>124</v>
      </c>
      <c r="U108" t="s">
        <v>124</v>
      </c>
      <c r="X108" s="19">
        <f>J108</f>
        <v>0.79701492537313434</v>
      </c>
      <c r="Y108" s="19">
        <f>N108</f>
        <v>0</v>
      </c>
      <c r="Z108" s="26">
        <f>(L108+Q108)/(L108+Q108+H108+K108)</f>
        <v>1.9439679817038306E-2</v>
      </c>
    </row>
    <row r="109" spans="1:26" x14ac:dyDescent="0.35">
      <c r="A109" t="s">
        <v>122</v>
      </c>
      <c r="B109" t="s">
        <v>122</v>
      </c>
      <c r="C109" t="s">
        <v>123</v>
      </c>
      <c r="D109" t="s">
        <v>100</v>
      </c>
      <c r="E109" t="s">
        <v>99</v>
      </c>
      <c r="F109" t="s">
        <v>12</v>
      </c>
      <c r="G109">
        <v>1</v>
      </c>
      <c r="H109">
        <v>267</v>
      </c>
      <c r="I109">
        <v>0.79701492537313401</v>
      </c>
      <c r="J109" s="25">
        <f t="shared" si="4"/>
        <v>0.79701492537313434</v>
      </c>
      <c r="K109">
        <v>3163</v>
      </c>
      <c r="L109">
        <v>0</v>
      </c>
      <c r="M109">
        <v>0</v>
      </c>
      <c r="N109" s="25">
        <f t="shared" si="3"/>
        <v>0</v>
      </c>
      <c r="O109">
        <v>1</v>
      </c>
      <c r="P109" s="25">
        <f t="shared" si="5"/>
        <v>1</v>
      </c>
      <c r="Q109">
        <v>68</v>
      </c>
      <c r="R109" t="s">
        <v>124</v>
      </c>
      <c r="S109" t="s">
        <v>124</v>
      </c>
      <c r="T109" t="s">
        <v>124</v>
      </c>
      <c r="U109" t="s">
        <v>124</v>
      </c>
      <c r="X109" s="19">
        <f>J109</f>
        <v>0.79701492537313434</v>
      </c>
      <c r="Y109" s="19">
        <f>N109</f>
        <v>0</v>
      </c>
      <c r="Z109" s="26">
        <f>(L109+Q109)/(L109+Q109+H109+K109)</f>
        <v>1.9439679817038306E-2</v>
      </c>
    </row>
    <row r="110" spans="1:26" x14ac:dyDescent="0.35">
      <c r="A110" t="s">
        <v>122</v>
      </c>
      <c r="B110" t="s">
        <v>122</v>
      </c>
      <c r="C110" t="s">
        <v>123</v>
      </c>
      <c r="D110" t="s">
        <v>100</v>
      </c>
      <c r="E110" t="s">
        <v>99</v>
      </c>
      <c r="F110" t="s">
        <v>12</v>
      </c>
      <c r="G110">
        <v>1</v>
      </c>
      <c r="H110">
        <v>267</v>
      </c>
      <c r="I110">
        <v>0.79701492537313401</v>
      </c>
      <c r="J110" s="25">
        <f t="shared" si="4"/>
        <v>0.79701492537313434</v>
      </c>
      <c r="K110">
        <v>3163</v>
      </c>
      <c r="L110">
        <v>0</v>
      </c>
      <c r="M110">
        <v>0</v>
      </c>
      <c r="N110" s="25">
        <f t="shared" si="3"/>
        <v>0</v>
      </c>
      <c r="O110">
        <v>1</v>
      </c>
      <c r="P110" s="25">
        <f t="shared" si="5"/>
        <v>1</v>
      </c>
      <c r="Q110">
        <v>68</v>
      </c>
      <c r="R110" t="s">
        <v>124</v>
      </c>
      <c r="S110" t="s">
        <v>124</v>
      </c>
      <c r="T110" t="s">
        <v>124</v>
      </c>
      <c r="U110" t="s">
        <v>124</v>
      </c>
      <c r="X110" s="19">
        <f>J110</f>
        <v>0.79701492537313434</v>
      </c>
      <c r="Y110" s="19">
        <f>N110</f>
        <v>0</v>
      </c>
      <c r="Z110" s="26">
        <f>(L110+Q110)/(L110+Q110+H110+K110)</f>
        <v>1.9439679817038306E-2</v>
      </c>
    </row>
    <row r="111" spans="1:26" x14ac:dyDescent="0.35">
      <c r="A111" t="s">
        <v>122</v>
      </c>
      <c r="B111" t="s">
        <v>122</v>
      </c>
      <c r="C111" t="s">
        <v>123</v>
      </c>
      <c r="D111" t="s">
        <v>100</v>
      </c>
      <c r="E111" t="s">
        <v>99</v>
      </c>
      <c r="F111" t="s">
        <v>12</v>
      </c>
      <c r="G111">
        <v>1</v>
      </c>
      <c r="H111">
        <v>267</v>
      </c>
      <c r="I111">
        <v>0.79701492537313401</v>
      </c>
      <c r="J111" s="25">
        <f t="shared" si="4"/>
        <v>0.79701492537313434</v>
      </c>
      <c r="K111">
        <v>3163</v>
      </c>
      <c r="L111">
        <v>0</v>
      </c>
      <c r="M111">
        <v>0</v>
      </c>
      <c r="N111" s="25">
        <f t="shared" si="3"/>
        <v>0</v>
      </c>
      <c r="O111">
        <v>1</v>
      </c>
      <c r="P111" s="25">
        <f t="shared" si="5"/>
        <v>1</v>
      </c>
      <c r="Q111">
        <v>68</v>
      </c>
      <c r="R111" t="s">
        <v>124</v>
      </c>
      <c r="S111" t="s">
        <v>124</v>
      </c>
      <c r="T111" t="s">
        <v>124</v>
      </c>
      <c r="U111" t="s">
        <v>124</v>
      </c>
      <c r="X111" s="19">
        <f>J111</f>
        <v>0.79701492537313434</v>
      </c>
      <c r="Y111" s="19">
        <f>N111</f>
        <v>0</v>
      </c>
      <c r="Z111" s="26">
        <f>(L111+Q111)/(L111+Q111+H111+K111)</f>
        <v>1.9439679817038306E-2</v>
      </c>
    </row>
    <row r="112" spans="1:26" x14ac:dyDescent="0.35">
      <c r="A112" t="s">
        <v>122</v>
      </c>
      <c r="B112" t="s">
        <v>122</v>
      </c>
      <c r="C112" t="s">
        <v>123</v>
      </c>
      <c r="D112" t="s">
        <v>100</v>
      </c>
      <c r="E112" t="s">
        <v>99</v>
      </c>
      <c r="F112" t="s">
        <v>12</v>
      </c>
      <c r="G112">
        <v>1</v>
      </c>
      <c r="H112">
        <v>267</v>
      </c>
      <c r="I112">
        <v>0.79701492537313401</v>
      </c>
      <c r="J112" s="25">
        <f t="shared" si="4"/>
        <v>0.79701492537313434</v>
      </c>
      <c r="K112">
        <v>3163</v>
      </c>
      <c r="L112">
        <v>0</v>
      </c>
      <c r="M112">
        <v>0</v>
      </c>
      <c r="N112" s="25">
        <f t="shared" si="3"/>
        <v>0</v>
      </c>
      <c r="O112">
        <v>1</v>
      </c>
      <c r="P112" s="25">
        <f t="shared" si="5"/>
        <v>1</v>
      </c>
      <c r="Q112">
        <v>68</v>
      </c>
      <c r="R112" t="s">
        <v>124</v>
      </c>
      <c r="S112" t="s">
        <v>124</v>
      </c>
      <c r="T112" t="s">
        <v>124</v>
      </c>
      <c r="U112" t="s">
        <v>124</v>
      </c>
      <c r="X112" s="19">
        <f>J112</f>
        <v>0.79701492537313434</v>
      </c>
      <c r="Y112" s="19">
        <f>N112</f>
        <v>0</v>
      </c>
      <c r="Z112" s="26">
        <f>(L112+Q112)/(L112+Q112+H112+K112)</f>
        <v>1.9439679817038306E-2</v>
      </c>
    </row>
    <row r="113" spans="1:26" x14ac:dyDescent="0.35">
      <c r="A113" t="s">
        <v>122</v>
      </c>
      <c r="B113" t="s">
        <v>122</v>
      </c>
      <c r="C113" t="s">
        <v>123</v>
      </c>
      <c r="D113" t="s">
        <v>100</v>
      </c>
      <c r="E113" t="s">
        <v>99</v>
      </c>
      <c r="F113" t="s">
        <v>12</v>
      </c>
      <c r="G113">
        <v>1</v>
      </c>
      <c r="H113">
        <v>267</v>
      </c>
      <c r="I113">
        <v>0.79701492537313401</v>
      </c>
      <c r="J113" s="25">
        <f t="shared" si="4"/>
        <v>0.79701492537313434</v>
      </c>
      <c r="K113">
        <v>3163</v>
      </c>
      <c r="L113">
        <v>0</v>
      </c>
      <c r="M113">
        <v>0</v>
      </c>
      <c r="N113" s="25">
        <f t="shared" si="3"/>
        <v>0</v>
      </c>
      <c r="O113">
        <v>1</v>
      </c>
      <c r="P113" s="25">
        <f t="shared" si="5"/>
        <v>1</v>
      </c>
      <c r="Q113">
        <v>68</v>
      </c>
      <c r="R113" t="s">
        <v>124</v>
      </c>
      <c r="S113" t="s">
        <v>124</v>
      </c>
      <c r="T113" t="s">
        <v>124</v>
      </c>
      <c r="U113" t="s">
        <v>124</v>
      </c>
      <c r="X113" s="19">
        <f>J113</f>
        <v>0.79701492537313434</v>
      </c>
      <c r="Y113" s="19">
        <f>N113</f>
        <v>0</v>
      </c>
      <c r="Z113" s="26">
        <f>(L113+Q113)/(L113+Q113+H113+K113)</f>
        <v>1.9439679817038306E-2</v>
      </c>
    </row>
    <row r="114" spans="1:26" x14ac:dyDescent="0.35">
      <c r="A114" t="s">
        <v>122</v>
      </c>
      <c r="B114" t="s">
        <v>122</v>
      </c>
      <c r="C114" t="s">
        <v>123</v>
      </c>
      <c r="D114" t="s">
        <v>100</v>
      </c>
      <c r="E114" t="s">
        <v>99</v>
      </c>
      <c r="F114" t="s">
        <v>12</v>
      </c>
      <c r="G114">
        <v>1</v>
      </c>
      <c r="H114">
        <v>267</v>
      </c>
      <c r="I114">
        <v>0.79701492537313401</v>
      </c>
      <c r="J114" s="25">
        <f t="shared" si="4"/>
        <v>0.79701492537313434</v>
      </c>
      <c r="K114">
        <v>3163</v>
      </c>
      <c r="L114">
        <v>0</v>
      </c>
      <c r="M114">
        <v>0</v>
      </c>
      <c r="N114" s="25">
        <f t="shared" si="3"/>
        <v>0</v>
      </c>
      <c r="O114">
        <v>1</v>
      </c>
      <c r="P114" s="25">
        <f t="shared" si="5"/>
        <v>1</v>
      </c>
      <c r="Q114">
        <v>68</v>
      </c>
      <c r="R114" t="s">
        <v>124</v>
      </c>
      <c r="S114" t="s">
        <v>124</v>
      </c>
      <c r="T114" t="s">
        <v>124</v>
      </c>
      <c r="U114" t="s">
        <v>124</v>
      </c>
      <c r="X114" s="19">
        <f>J114</f>
        <v>0.79701492537313434</v>
      </c>
      <c r="Y114" s="19">
        <f>N114</f>
        <v>0</v>
      </c>
      <c r="Z114" s="26">
        <f>(L114+Q114)/(L114+Q114+H114+K114)</f>
        <v>1.9439679817038306E-2</v>
      </c>
    </row>
    <row r="115" spans="1:26" x14ac:dyDescent="0.35">
      <c r="A115" t="s">
        <v>122</v>
      </c>
      <c r="B115" t="s">
        <v>122</v>
      </c>
      <c r="C115" t="s">
        <v>123</v>
      </c>
      <c r="D115" t="s">
        <v>100</v>
      </c>
      <c r="E115" t="s">
        <v>99</v>
      </c>
      <c r="F115" t="s">
        <v>12</v>
      </c>
      <c r="G115">
        <v>1</v>
      </c>
      <c r="H115">
        <v>267</v>
      </c>
      <c r="I115">
        <v>0.79701492537313401</v>
      </c>
      <c r="J115" s="25">
        <f t="shared" si="4"/>
        <v>0.79701492537313434</v>
      </c>
      <c r="K115">
        <v>3163</v>
      </c>
      <c r="L115">
        <v>0</v>
      </c>
      <c r="M115">
        <v>0</v>
      </c>
      <c r="N115" s="25">
        <f t="shared" si="3"/>
        <v>0</v>
      </c>
      <c r="O115">
        <v>1</v>
      </c>
      <c r="P115" s="25">
        <f t="shared" si="5"/>
        <v>1</v>
      </c>
      <c r="Q115">
        <v>68</v>
      </c>
      <c r="R115" t="s">
        <v>124</v>
      </c>
      <c r="S115" t="s">
        <v>124</v>
      </c>
      <c r="T115" t="s">
        <v>124</v>
      </c>
      <c r="U115" t="s">
        <v>124</v>
      </c>
      <c r="X115" s="19">
        <f>J115</f>
        <v>0.79701492537313434</v>
      </c>
      <c r="Y115" s="19">
        <f>N115</f>
        <v>0</v>
      </c>
      <c r="Z115" s="26">
        <f>(L115+Q115)/(L115+Q115+H115+K115)</f>
        <v>1.9439679817038306E-2</v>
      </c>
    </row>
    <row r="116" spans="1:26" x14ac:dyDescent="0.35">
      <c r="A116" t="s">
        <v>122</v>
      </c>
      <c r="B116" t="s">
        <v>122</v>
      </c>
      <c r="C116" t="s">
        <v>123</v>
      </c>
      <c r="D116" t="s">
        <v>100</v>
      </c>
      <c r="E116" t="s">
        <v>99</v>
      </c>
      <c r="F116" t="s">
        <v>12</v>
      </c>
      <c r="G116">
        <v>1</v>
      </c>
      <c r="H116">
        <v>267</v>
      </c>
      <c r="I116">
        <v>0.79701492537313401</v>
      </c>
      <c r="J116" s="25">
        <f t="shared" si="4"/>
        <v>0.79701492537313434</v>
      </c>
      <c r="K116">
        <v>3163</v>
      </c>
      <c r="L116">
        <v>0</v>
      </c>
      <c r="M116">
        <v>0</v>
      </c>
      <c r="N116" s="25">
        <f t="shared" si="3"/>
        <v>0</v>
      </c>
      <c r="O116">
        <v>1</v>
      </c>
      <c r="P116" s="25">
        <f t="shared" si="5"/>
        <v>1</v>
      </c>
      <c r="Q116">
        <v>68</v>
      </c>
      <c r="R116" t="s">
        <v>124</v>
      </c>
      <c r="S116" t="s">
        <v>124</v>
      </c>
      <c r="T116" t="s">
        <v>124</v>
      </c>
      <c r="U116" t="s">
        <v>124</v>
      </c>
      <c r="X116" s="19">
        <f>J116</f>
        <v>0.79701492537313434</v>
      </c>
      <c r="Y116" s="19">
        <f>N116</f>
        <v>0</v>
      </c>
      <c r="Z116" s="26">
        <f>(L116+Q116)/(L116+Q116+H116+K116)</f>
        <v>1.9439679817038306E-2</v>
      </c>
    </row>
    <row r="117" spans="1:26" x14ac:dyDescent="0.35">
      <c r="A117" t="s">
        <v>122</v>
      </c>
      <c r="B117" t="s">
        <v>122</v>
      </c>
      <c r="C117" t="s">
        <v>123</v>
      </c>
      <c r="D117" t="s">
        <v>100</v>
      </c>
      <c r="E117" t="s">
        <v>99</v>
      </c>
      <c r="F117" t="s">
        <v>12</v>
      </c>
      <c r="G117">
        <v>1</v>
      </c>
      <c r="H117">
        <v>267</v>
      </c>
      <c r="I117">
        <v>0.79701492537313401</v>
      </c>
      <c r="J117" s="25">
        <f t="shared" si="4"/>
        <v>0.79701492537313434</v>
      </c>
      <c r="K117">
        <v>3163</v>
      </c>
      <c r="L117">
        <v>0</v>
      </c>
      <c r="M117">
        <v>0</v>
      </c>
      <c r="N117" s="25">
        <f t="shared" si="3"/>
        <v>0</v>
      </c>
      <c r="O117">
        <v>1</v>
      </c>
      <c r="P117" s="25">
        <f t="shared" si="5"/>
        <v>1</v>
      </c>
      <c r="Q117">
        <v>68</v>
      </c>
      <c r="R117" t="s">
        <v>124</v>
      </c>
      <c r="S117" t="s">
        <v>124</v>
      </c>
      <c r="T117" t="s">
        <v>124</v>
      </c>
      <c r="U117" t="s">
        <v>124</v>
      </c>
      <c r="X117" s="19">
        <f>J117</f>
        <v>0.79701492537313434</v>
      </c>
      <c r="Y117" s="19">
        <f>N117</f>
        <v>0</v>
      </c>
      <c r="Z117" s="26">
        <f>(L117+Q117)/(L117+Q117+H117+K117)</f>
        <v>1.9439679817038306E-2</v>
      </c>
    </row>
    <row r="118" spans="1:26" x14ac:dyDescent="0.35">
      <c r="A118" t="s">
        <v>122</v>
      </c>
      <c r="B118" t="s">
        <v>122</v>
      </c>
      <c r="C118" t="s">
        <v>123</v>
      </c>
      <c r="D118" t="s">
        <v>100</v>
      </c>
      <c r="E118" t="s">
        <v>99</v>
      </c>
      <c r="F118" t="s">
        <v>12</v>
      </c>
      <c r="G118">
        <v>1</v>
      </c>
      <c r="H118">
        <v>267</v>
      </c>
      <c r="I118">
        <v>0.79701492537313401</v>
      </c>
      <c r="J118" s="25">
        <f t="shared" si="4"/>
        <v>0.79701492537313434</v>
      </c>
      <c r="K118">
        <v>3163</v>
      </c>
      <c r="L118">
        <v>0</v>
      </c>
      <c r="M118">
        <v>0</v>
      </c>
      <c r="N118" s="25">
        <f t="shared" si="3"/>
        <v>0</v>
      </c>
      <c r="O118">
        <v>1</v>
      </c>
      <c r="P118" s="25">
        <f t="shared" si="5"/>
        <v>1</v>
      </c>
      <c r="Q118">
        <v>68</v>
      </c>
      <c r="R118" t="s">
        <v>124</v>
      </c>
      <c r="S118" t="s">
        <v>124</v>
      </c>
      <c r="T118" t="s">
        <v>124</v>
      </c>
      <c r="U118" t="s">
        <v>124</v>
      </c>
      <c r="X118" s="19">
        <f>J118</f>
        <v>0.79701492537313434</v>
      </c>
      <c r="Y118" s="19">
        <f>N118</f>
        <v>0</v>
      </c>
      <c r="Z118" s="26">
        <f>(L118+Q118)/(L118+Q118+H118+K118)</f>
        <v>1.9439679817038306E-2</v>
      </c>
    </row>
    <row r="119" spans="1:26" x14ac:dyDescent="0.35">
      <c r="A119" t="s">
        <v>122</v>
      </c>
      <c r="B119" t="s">
        <v>122</v>
      </c>
      <c r="C119" t="s">
        <v>123</v>
      </c>
      <c r="D119" t="s">
        <v>100</v>
      </c>
      <c r="E119" t="s">
        <v>99</v>
      </c>
      <c r="F119" t="s">
        <v>12</v>
      </c>
      <c r="G119">
        <v>1</v>
      </c>
      <c r="H119">
        <v>267</v>
      </c>
      <c r="I119">
        <v>0.79701492537313401</v>
      </c>
      <c r="J119" s="25">
        <f t="shared" si="4"/>
        <v>0.79701492537313434</v>
      </c>
      <c r="K119">
        <v>3163</v>
      </c>
      <c r="L119">
        <v>0</v>
      </c>
      <c r="M119">
        <v>0</v>
      </c>
      <c r="N119" s="25">
        <f t="shared" si="3"/>
        <v>0</v>
      </c>
      <c r="O119">
        <v>1</v>
      </c>
      <c r="P119" s="25">
        <f t="shared" si="5"/>
        <v>1</v>
      </c>
      <c r="Q119">
        <v>68</v>
      </c>
      <c r="R119" t="s">
        <v>124</v>
      </c>
      <c r="S119" t="s">
        <v>124</v>
      </c>
      <c r="T119" t="s">
        <v>124</v>
      </c>
      <c r="U119" t="s">
        <v>124</v>
      </c>
      <c r="X119" s="19">
        <f>J119</f>
        <v>0.79701492537313434</v>
      </c>
      <c r="Y119" s="19">
        <f>N119</f>
        <v>0</v>
      </c>
      <c r="Z119" s="26">
        <f>(L119+Q119)/(L119+Q119+H119+K119)</f>
        <v>1.9439679817038306E-2</v>
      </c>
    </row>
    <row r="120" spans="1:26" x14ac:dyDescent="0.35">
      <c r="A120" t="s">
        <v>122</v>
      </c>
      <c r="B120" t="s">
        <v>122</v>
      </c>
      <c r="C120" t="s">
        <v>123</v>
      </c>
      <c r="D120" t="s">
        <v>100</v>
      </c>
      <c r="E120" t="s">
        <v>99</v>
      </c>
      <c r="F120" t="s">
        <v>12</v>
      </c>
      <c r="G120">
        <v>1</v>
      </c>
      <c r="H120">
        <v>267</v>
      </c>
      <c r="I120">
        <v>0.79701492537313401</v>
      </c>
      <c r="J120" s="25">
        <f t="shared" si="4"/>
        <v>0.79701492537313434</v>
      </c>
      <c r="K120">
        <v>3163</v>
      </c>
      <c r="L120">
        <v>0</v>
      </c>
      <c r="M120">
        <v>0</v>
      </c>
      <c r="N120" s="25">
        <f t="shared" si="3"/>
        <v>0</v>
      </c>
      <c r="O120">
        <v>1</v>
      </c>
      <c r="P120" s="25">
        <f t="shared" si="5"/>
        <v>1</v>
      </c>
      <c r="Q120">
        <v>68</v>
      </c>
      <c r="R120" t="s">
        <v>124</v>
      </c>
      <c r="S120" t="s">
        <v>124</v>
      </c>
      <c r="T120" t="s">
        <v>124</v>
      </c>
      <c r="U120" t="s">
        <v>124</v>
      </c>
      <c r="X120" s="19">
        <f>J120</f>
        <v>0.79701492537313434</v>
      </c>
      <c r="Y120" s="19">
        <f>N120</f>
        <v>0</v>
      </c>
      <c r="Z120" s="26">
        <f>(L120+Q120)/(L120+Q120+H120+K120)</f>
        <v>1.9439679817038306E-2</v>
      </c>
    </row>
    <row r="121" spans="1:26" x14ac:dyDescent="0.35">
      <c r="A121" t="s">
        <v>122</v>
      </c>
      <c r="B121" t="s">
        <v>122</v>
      </c>
      <c r="C121" t="s">
        <v>123</v>
      </c>
      <c r="D121" t="s">
        <v>100</v>
      </c>
      <c r="E121" t="s">
        <v>99</v>
      </c>
      <c r="F121" t="s">
        <v>12</v>
      </c>
      <c r="G121">
        <v>1</v>
      </c>
      <c r="H121">
        <v>267</v>
      </c>
      <c r="I121">
        <v>0.79701492537313401</v>
      </c>
      <c r="J121" s="25">
        <f t="shared" si="4"/>
        <v>0.79701492537313434</v>
      </c>
      <c r="K121">
        <v>3163</v>
      </c>
      <c r="L121">
        <v>0</v>
      </c>
      <c r="M121">
        <v>0</v>
      </c>
      <c r="N121" s="25">
        <f t="shared" si="3"/>
        <v>0</v>
      </c>
      <c r="O121">
        <v>1</v>
      </c>
      <c r="P121" s="25">
        <f t="shared" si="5"/>
        <v>1</v>
      </c>
      <c r="Q121">
        <v>68</v>
      </c>
      <c r="R121" t="s">
        <v>124</v>
      </c>
      <c r="S121" t="s">
        <v>124</v>
      </c>
      <c r="T121" t="s">
        <v>124</v>
      </c>
      <c r="U121" t="s">
        <v>124</v>
      </c>
      <c r="X121" s="19">
        <f>J121</f>
        <v>0.79701492537313434</v>
      </c>
      <c r="Y121" s="19">
        <f>N121</f>
        <v>0</v>
      </c>
      <c r="Z121" s="26">
        <f>(L121+Q121)/(L121+Q121+H121+K121)</f>
        <v>1.9439679817038306E-2</v>
      </c>
    </row>
    <row r="122" spans="1:26" x14ac:dyDescent="0.35">
      <c r="A122" t="s">
        <v>122</v>
      </c>
      <c r="B122" t="s">
        <v>122</v>
      </c>
      <c r="C122" t="s">
        <v>123</v>
      </c>
      <c r="D122" t="s">
        <v>100</v>
      </c>
      <c r="E122" t="s">
        <v>99</v>
      </c>
      <c r="F122" t="s">
        <v>12</v>
      </c>
      <c r="G122">
        <v>1</v>
      </c>
      <c r="H122">
        <v>267</v>
      </c>
      <c r="I122">
        <v>0.79701492537313401</v>
      </c>
      <c r="J122" s="25">
        <f t="shared" si="4"/>
        <v>0.79701492537313434</v>
      </c>
      <c r="K122">
        <v>3163</v>
      </c>
      <c r="L122">
        <v>0</v>
      </c>
      <c r="M122">
        <v>0</v>
      </c>
      <c r="N122" s="25">
        <f t="shared" si="3"/>
        <v>0</v>
      </c>
      <c r="O122">
        <v>1</v>
      </c>
      <c r="P122" s="25">
        <f t="shared" si="5"/>
        <v>1</v>
      </c>
      <c r="Q122">
        <v>68</v>
      </c>
      <c r="R122" t="s">
        <v>124</v>
      </c>
      <c r="S122" t="s">
        <v>124</v>
      </c>
      <c r="T122" t="s">
        <v>124</v>
      </c>
      <c r="U122" t="s">
        <v>124</v>
      </c>
      <c r="X122" s="19">
        <f>J122</f>
        <v>0.79701492537313434</v>
      </c>
      <c r="Y122" s="19">
        <f>N122</f>
        <v>0</v>
      </c>
      <c r="Z122" s="26">
        <f>(L122+Q122)/(L122+Q122+H122+K122)</f>
        <v>1.9439679817038306E-2</v>
      </c>
    </row>
    <row r="123" spans="1:26" x14ac:dyDescent="0.35">
      <c r="A123" t="s">
        <v>122</v>
      </c>
      <c r="B123" t="s">
        <v>122</v>
      </c>
      <c r="C123" t="s">
        <v>123</v>
      </c>
      <c r="D123" t="s">
        <v>100</v>
      </c>
      <c r="E123" t="s">
        <v>99</v>
      </c>
      <c r="F123" t="s">
        <v>12</v>
      </c>
      <c r="G123">
        <v>1</v>
      </c>
      <c r="H123">
        <v>267</v>
      </c>
      <c r="I123">
        <v>0.79701492537313401</v>
      </c>
      <c r="J123" s="25">
        <f t="shared" si="4"/>
        <v>0.79701492537313434</v>
      </c>
      <c r="K123">
        <v>3163</v>
      </c>
      <c r="L123">
        <v>0</v>
      </c>
      <c r="M123">
        <v>0</v>
      </c>
      <c r="N123" s="25">
        <f t="shared" si="3"/>
        <v>0</v>
      </c>
      <c r="O123">
        <v>1</v>
      </c>
      <c r="P123" s="25">
        <f t="shared" si="5"/>
        <v>1</v>
      </c>
      <c r="Q123">
        <v>68</v>
      </c>
      <c r="R123" t="s">
        <v>124</v>
      </c>
      <c r="S123" t="s">
        <v>124</v>
      </c>
      <c r="T123" t="s">
        <v>124</v>
      </c>
      <c r="U123" t="s">
        <v>124</v>
      </c>
      <c r="X123" s="19">
        <f>J123</f>
        <v>0.79701492537313434</v>
      </c>
      <c r="Y123" s="19">
        <f>N123</f>
        <v>0</v>
      </c>
      <c r="Z123" s="26">
        <f>(L123+Q123)/(L123+Q123+H123+K123)</f>
        <v>1.9439679817038306E-2</v>
      </c>
    </row>
    <row r="124" spans="1:26" x14ac:dyDescent="0.35">
      <c r="A124" t="s">
        <v>122</v>
      </c>
      <c r="B124" t="s">
        <v>122</v>
      </c>
      <c r="C124" t="s">
        <v>123</v>
      </c>
      <c r="D124" t="s">
        <v>100</v>
      </c>
      <c r="E124" t="s">
        <v>99</v>
      </c>
      <c r="F124" t="s">
        <v>12</v>
      </c>
      <c r="G124">
        <v>1</v>
      </c>
      <c r="H124">
        <v>267</v>
      </c>
      <c r="I124">
        <v>0.79701492537313401</v>
      </c>
      <c r="J124" s="25">
        <f t="shared" si="4"/>
        <v>0.79701492537313434</v>
      </c>
      <c r="K124">
        <v>3163</v>
      </c>
      <c r="L124">
        <v>0</v>
      </c>
      <c r="M124">
        <v>0</v>
      </c>
      <c r="N124" s="25">
        <f t="shared" si="3"/>
        <v>0</v>
      </c>
      <c r="O124">
        <v>1</v>
      </c>
      <c r="P124" s="25">
        <f t="shared" si="5"/>
        <v>1</v>
      </c>
      <c r="Q124">
        <v>68</v>
      </c>
      <c r="R124" t="s">
        <v>124</v>
      </c>
      <c r="S124" t="s">
        <v>124</v>
      </c>
      <c r="T124" t="s">
        <v>124</v>
      </c>
      <c r="U124" t="s">
        <v>124</v>
      </c>
      <c r="X124" s="19">
        <f>J124</f>
        <v>0.79701492537313434</v>
      </c>
      <c r="Y124" s="19">
        <f>N124</f>
        <v>0</v>
      </c>
      <c r="Z124" s="26">
        <f>(L124+Q124)/(L124+Q124+H124+K124)</f>
        <v>1.9439679817038306E-2</v>
      </c>
    </row>
    <row r="125" spans="1:26" x14ac:dyDescent="0.35">
      <c r="A125" t="s">
        <v>122</v>
      </c>
      <c r="B125" t="s">
        <v>122</v>
      </c>
      <c r="C125" t="s">
        <v>123</v>
      </c>
      <c r="D125" t="s">
        <v>100</v>
      </c>
      <c r="E125" t="s">
        <v>99</v>
      </c>
      <c r="F125" t="s">
        <v>12</v>
      </c>
      <c r="G125">
        <v>1</v>
      </c>
      <c r="H125">
        <v>267</v>
      </c>
      <c r="I125">
        <v>0.79701492537313401</v>
      </c>
      <c r="J125" s="25">
        <f t="shared" si="4"/>
        <v>0.79701492537313434</v>
      </c>
      <c r="K125">
        <v>3163</v>
      </c>
      <c r="L125">
        <v>0</v>
      </c>
      <c r="M125">
        <v>0</v>
      </c>
      <c r="N125" s="25">
        <f t="shared" si="3"/>
        <v>0</v>
      </c>
      <c r="O125">
        <v>1</v>
      </c>
      <c r="P125" s="25">
        <f t="shared" si="5"/>
        <v>1</v>
      </c>
      <c r="Q125">
        <v>68</v>
      </c>
      <c r="R125" t="s">
        <v>124</v>
      </c>
      <c r="S125" t="s">
        <v>124</v>
      </c>
      <c r="T125" t="s">
        <v>124</v>
      </c>
      <c r="U125" t="s">
        <v>124</v>
      </c>
      <c r="X125" s="19">
        <f>J125</f>
        <v>0.79701492537313434</v>
      </c>
      <c r="Y125" s="19">
        <f>N125</f>
        <v>0</v>
      </c>
      <c r="Z125" s="26">
        <f>(L125+Q125)/(L125+Q125+H125+K125)</f>
        <v>1.9439679817038306E-2</v>
      </c>
    </row>
    <row r="126" spans="1:26" x14ac:dyDescent="0.35">
      <c r="A126" t="s">
        <v>122</v>
      </c>
      <c r="B126" t="s">
        <v>122</v>
      </c>
      <c r="C126" t="s">
        <v>123</v>
      </c>
      <c r="D126" t="s">
        <v>100</v>
      </c>
      <c r="E126" t="s">
        <v>99</v>
      </c>
      <c r="F126" t="s">
        <v>12</v>
      </c>
      <c r="G126">
        <v>1</v>
      </c>
      <c r="H126">
        <v>267</v>
      </c>
      <c r="I126">
        <v>0.79701492537313401</v>
      </c>
      <c r="J126" s="25">
        <f t="shared" si="4"/>
        <v>0.79701492537313434</v>
      </c>
      <c r="K126">
        <v>3163</v>
      </c>
      <c r="L126">
        <v>0</v>
      </c>
      <c r="M126">
        <v>0</v>
      </c>
      <c r="N126" s="25">
        <f t="shared" si="3"/>
        <v>0</v>
      </c>
      <c r="O126">
        <v>1</v>
      </c>
      <c r="P126" s="25">
        <f t="shared" si="5"/>
        <v>1</v>
      </c>
      <c r="Q126">
        <v>68</v>
      </c>
      <c r="R126" t="s">
        <v>124</v>
      </c>
      <c r="S126" t="s">
        <v>124</v>
      </c>
      <c r="T126" t="s">
        <v>124</v>
      </c>
      <c r="U126" t="s">
        <v>124</v>
      </c>
      <c r="X126" s="19">
        <f>J126</f>
        <v>0.79701492537313434</v>
      </c>
      <c r="Y126" s="19">
        <f>N126</f>
        <v>0</v>
      </c>
      <c r="Z126" s="26">
        <f>(L126+Q126)/(L126+Q126+H126+K126)</f>
        <v>1.9439679817038306E-2</v>
      </c>
    </row>
    <row r="127" spans="1:26" x14ac:dyDescent="0.35">
      <c r="A127" t="s">
        <v>122</v>
      </c>
      <c r="B127" t="s">
        <v>122</v>
      </c>
      <c r="C127" t="s">
        <v>123</v>
      </c>
      <c r="D127" t="s">
        <v>100</v>
      </c>
      <c r="E127" t="s">
        <v>99</v>
      </c>
      <c r="F127" t="s">
        <v>12</v>
      </c>
      <c r="G127">
        <v>1</v>
      </c>
      <c r="H127">
        <v>267</v>
      </c>
      <c r="I127">
        <v>0.79701492537313401</v>
      </c>
      <c r="J127" s="25">
        <f t="shared" si="4"/>
        <v>0.79701492537313434</v>
      </c>
      <c r="K127">
        <v>3163</v>
      </c>
      <c r="L127">
        <v>0</v>
      </c>
      <c r="M127">
        <v>0</v>
      </c>
      <c r="N127" s="25">
        <f t="shared" si="3"/>
        <v>0</v>
      </c>
      <c r="O127">
        <v>1</v>
      </c>
      <c r="P127" s="25">
        <f t="shared" si="5"/>
        <v>1</v>
      </c>
      <c r="Q127">
        <v>68</v>
      </c>
      <c r="R127" t="s">
        <v>124</v>
      </c>
      <c r="S127" t="s">
        <v>124</v>
      </c>
      <c r="T127" t="s">
        <v>124</v>
      </c>
      <c r="U127" t="s">
        <v>124</v>
      </c>
      <c r="X127" s="19">
        <f>J127</f>
        <v>0.79701492537313434</v>
      </c>
      <c r="Y127" s="19">
        <f>N127</f>
        <v>0</v>
      </c>
      <c r="Z127" s="26">
        <f>(L127+Q127)/(L127+Q127+H127+K127)</f>
        <v>1.9439679817038306E-2</v>
      </c>
    </row>
    <row r="128" spans="1:26" x14ac:dyDescent="0.35">
      <c r="A128" t="s">
        <v>122</v>
      </c>
      <c r="B128" t="s">
        <v>122</v>
      </c>
      <c r="C128" t="s">
        <v>123</v>
      </c>
      <c r="D128" t="s">
        <v>100</v>
      </c>
      <c r="E128" t="s">
        <v>99</v>
      </c>
      <c r="F128" t="s">
        <v>12</v>
      </c>
      <c r="G128">
        <v>1</v>
      </c>
      <c r="H128">
        <v>267</v>
      </c>
      <c r="I128">
        <v>0.79701492537313401</v>
      </c>
      <c r="J128" s="25">
        <f t="shared" si="4"/>
        <v>0.79701492537313434</v>
      </c>
      <c r="K128">
        <v>3163</v>
      </c>
      <c r="L128">
        <v>0</v>
      </c>
      <c r="M128">
        <v>0</v>
      </c>
      <c r="N128" s="25">
        <f t="shared" si="3"/>
        <v>0</v>
      </c>
      <c r="O128">
        <v>1</v>
      </c>
      <c r="P128" s="25">
        <f t="shared" si="5"/>
        <v>1</v>
      </c>
      <c r="Q128">
        <v>68</v>
      </c>
      <c r="R128" t="s">
        <v>124</v>
      </c>
      <c r="S128" t="s">
        <v>124</v>
      </c>
      <c r="T128" t="s">
        <v>124</v>
      </c>
      <c r="U128" t="s">
        <v>124</v>
      </c>
      <c r="X128" s="19">
        <f>J128</f>
        <v>0.79701492537313434</v>
      </c>
      <c r="Y128" s="19">
        <f>N128</f>
        <v>0</v>
      </c>
      <c r="Z128" s="26">
        <f>(L128+Q128)/(L128+Q128+H128+K128)</f>
        <v>1.9439679817038306E-2</v>
      </c>
    </row>
    <row r="129" spans="1:26" x14ac:dyDescent="0.35">
      <c r="A129" t="s">
        <v>122</v>
      </c>
      <c r="B129" t="s">
        <v>122</v>
      </c>
      <c r="C129" t="s">
        <v>123</v>
      </c>
      <c r="D129" t="s">
        <v>100</v>
      </c>
      <c r="E129" t="s">
        <v>99</v>
      </c>
      <c r="F129" t="s">
        <v>12</v>
      </c>
      <c r="G129">
        <v>1</v>
      </c>
      <c r="H129">
        <v>267</v>
      </c>
      <c r="I129">
        <v>0.79701492537313401</v>
      </c>
      <c r="J129" s="25">
        <f t="shared" si="4"/>
        <v>0.79701492537313434</v>
      </c>
      <c r="K129">
        <v>3163</v>
      </c>
      <c r="L129">
        <v>0</v>
      </c>
      <c r="M129">
        <v>0</v>
      </c>
      <c r="N129" s="25">
        <f t="shared" si="3"/>
        <v>0</v>
      </c>
      <c r="O129">
        <v>1</v>
      </c>
      <c r="P129" s="25">
        <f t="shared" si="5"/>
        <v>1</v>
      </c>
      <c r="Q129">
        <v>68</v>
      </c>
      <c r="R129" t="s">
        <v>124</v>
      </c>
      <c r="S129" t="s">
        <v>124</v>
      </c>
      <c r="T129" t="s">
        <v>124</v>
      </c>
      <c r="U129" t="s">
        <v>124</v>
      </c>
      <c r="X129" s="19">
        <f>J129</f>
        <v>0.79701492537313434</v>
      </c>
      <c r="Y129" s="19">
        <f>N129</f>
        <v>0</v>
      </c>
      <c r="Z129" s="26">
        <f>(L129+Q129)/(L129+Q129+H129+K129)</f>
        <v>1.9439679817038306E-2</v>
      </c>
    </row>
    <row r="130" spans="1:26" x14ac:dyDescent="0.35">
      <c r="A130" t="s">
        <v>122</v>
      </c>
      <c r="B130" t="s">
        <v>122</v>
      </c>
      <c r="C130" t="s">
        <v>123</v>
      </c>
      <c r="D130" t="s">
        <v>100</v>
      </c>
      <c r="E130" t="s">
        <v>99</v>
      </c>
      <c r="F130" t="s">
        <v>12</v>
      </c>
      <c r="G130">
        <v>1</v>
      </c>
      <c r="H130">
        <v>267</v>
      </c>
      <c r="I130">
        <v>0.79701492537313401</v>
      </c>
      <c r="J130" s="25">
        <f t="shared" si="4"/>
        <v>0.79701492537313434</v>
      </c>
      <c r="K130">
        <v>3163</v>
      </c>
      <c r="L130">
        <v>0</v>
      </c>
      <c r="M130">
        <v>0</v>
      </c>
      <c r="N130" s="25">
        <f t="shared" ref="N130:N193" si="6">1-P130</f>
        <v>0</v>
      </c>
      <c r="O130">
        <v>1</v>
      </c>
      <c r="P130" s="25">
        <f t="shared" si="5"/>
        <v>1</v>
      </c>
      <c r="Q130">
        <v>68</v>
      </c>
      <c r="R130" t="s">
        <v>124</v>
      </c>
      <c r="S130" t="s">
        <v>124</v>
      </c>
      <c r="T130" t="s">
        <v>124</v>
      </c>
      <c r="U130" t="s">
        <v>124</v>
      </c>
      <c r="X130" s="19">
        <f>J130</f>
        <v>0.79701492537313434</v>
      </c>
      <c r="Y130" s="19">
        <f>N130</f>
        <v>0</v>
      </c>
      <c r="Z130" s="26">
        <f>(L130+Q130)/(L130+Q130+H130+K130)</f>
        <v>1.9439679817038306E-2</v>
      </c>
    </row>
    <row r="131" spans="1:26" x14ac:dyDescent="0.35">
      <c r="A131" t="s">
        <v>122</v>
      </c>
      <c r="B131" t="s">
        <v>122</v>
      </c>
      <c r="C131" t="s">
        <v>123</v>
      </c>
      <c r="D131" t="s">
        <v>100</v>
      </c>
      <c r="E131" t="s">
        <v>99</v>
      </c>
      <c r="F131" t="s">
        <v>12</v>
      </c>
      <c r="G131">
        <v>1</v>
      </c>
      <c r="H131">
        <v>267</v>
      </c>
      <c r="I131">
        <v>0.79701492537313401</v>
      </c>
      <c r="J131" s="25">
        <f t="shared" ref="J131:J194" si="7">H131/(H131+Q131)</f>
        <v>0.79701492537313434</v>
      </c>
      <c r="K131">
        <v>3163</v>
      </c>
      <c r="L131">
        <v>0</v>
      </c>
      <c r="M131">
        <v>0</v>
      </c>
      <c r="N131" s="25">
        <f t="shared" si="6"/>
        <v>0</v>
      </c>
      <c r="O131">
        <v>1</v>
      </c>
      <c r="P131" s="25">
        <f t="shared" ref="P131:P194" si="8">K131/(K131+L131)</f>
        <v>1</v>
      </c>
      <c r="Q131">
        <v>68</v>
      </c>
      <c r="R131" t="s">
        <v>124</v>
      </c>
      <c r="S131" t="s">
        <v>124</v>
      </c>
      <c r="T131" t="s">
        <v>124</v>
      </c>
      <c r="U131" t="s">
        <v>124</v>
      </c>
      <c r="X131" s="19">
        <f>J131</f>
        <v>0.79701492537313434</v>
      </c>
      <c r="Y131" s="19">
        <f>N131</f>
        <v>0</v>
      </c>
      <c r="Z131" s="26">
        <f>(L131+Q131)/(L131+Q131+H131+K131)</f>
        <v>1.9439679817038306E-2</v>
      </c>
    </row>
    <row r="132" spans="1:26" x14ac:dyDescent="0.35">
      <c r="A132" t="s">
        <v>122</v>
      </c>
      <c r="B132" t="s">
        <v>122</v>
      </c>
      <c r="C132" t="s">
        <v>123</v>
      </c>
      <c r="D132" t="s">
        <v>100</v>
      </c>
      <c r="E132" t="s">
        <v>99</v>
      </c>
      <c r="F132" t="s">
        <v>12</v>
      </c>
      <c r="G132">
        <v>1</v>
      </c>
      <c r="H132">
        <v>267</v>
      </c>
      <c r="I132">
        <v>0.79701492537313401</v>
      </c>
      <c r="J132" s="25">
        <f t="shared" si="7"/>
        <v>0.79701492537313434</v>
      </c>
      <c r="K132">
        <v>3163</v>
      </c>
      <c r="L132">
        <v>0</v>
      </c>
      <c r="M132">
        <v>0</v>
      </c>
      <c r="N132" s="25">
        <f t="shared" si="6"/>
        <v>0</v>
      </c>
      <c r="O132">
        <v>1</v>
      </c>
      <c r="P132" s="25">
        <f t="shared" si="8"/>
        <v>1</v>
      </c>
      <c r="Q132">
        <v>68</v>
      </c>
      <c r="R132" t="s">
        <v>124</v>
      </c>
      <c r="S132" t="s">
        <v>124</v>
      </c>
      <c r="T132" t="s">
        <v>124</v>
      </c>
      <c r="U132" t="s">
        <v>124</v>
      </c>
      <c r="X132" s="19">
        <f>J132</f>
        <v>0.79701492537313434</v>
      </c>
      <c r="Y132" s="19">
        <f>N132</f>
        <v>0</v>
      </c>
      <c r="Z132" s="26">
        <f>(L132+Q132)/(L132+Q132+H132+K132)</f>
        <v>1.9439679817038306E-2</v>
      </c>
    </row>
    <row r="133" spans="1:26" x14ac:dyDescent="0.35">
      <c r="A133" t="s">
        <v>122</v>
      </c>
      <c r="B133" t="s">
        <v>122</v>
      </c>
      <c r="C133" t="s">
        <v>123</v>
      </c>
      <c r="D133" t="s">
        <v>100</v>
      </c>
      <c r="E133" t="s">
        <v>99</v>
      </c>
      <c r="F133" t="s">
        <v>12</v>
      </c>
      <c r="G133">
        <v>1</v>
      </c>
      <c r="H133">
        <v>267</v>
      </c>
      <c r="I133">
        <v>0.79701492537313401</v>
      </c>
      <c r="J133" s="25">
        <f t="shared" si="7"/>
        <v>0.79701492537313434</v>
      </c>
      <c r="K133">
        <v>3163</v>
      </c>
      <c r="L133">
        <v>0</v>
      </c>
      <c r="M133">
        <v>0</v>
      </c>
      <c r="N133" s="25">
        <f t="shared" si="6"/>
        <v>0</v>
      </c>
      <c r="O133">
        <v>1</v>
      </c>
      <c r="P133" s="25">
        <f t="shared" si="8"/>
        <v>1</v>
      </c>
      <c r="Q133">
        <v>68</v>
      </c>
      <c r="R133" t="s">
        <v>124</v>
      </c>
      <c r="S133" t="s">
        <v>124</v>
      </c>
      <c r="T133" t="s">
        <v>124</v>
      </c>
      <c r="U133" t="s">
        <v>124</v>
      </c>
      <c r="X133" s="19">
        <f>J133</f>
        <v>0.79701492537313434</v>
      </c>
      <c r="Y133" s="19">
        <f>N133</f>
        <v>0</v>
      </c>
      <c r="Z133" s="26">
        <f>(L133+Q133)/(L133+Q133+H133+K133)</f>
        <v>1.9439679817038306E-2</v>
      </c>
    </row>
    <row r="134" spans="1:26" x14ac:dyDescent="0.35">
      <c r="A134" t="s">
        <v>122</v>
      </c>
      <c r="B134" t="s">
        <v>122</v>
      </c>
      <c r="C134" t="s">
        <v>123</v>
      </c>
      <c r="D134" t="s">
        <v>100</v>
      </c>
      <c r="E134" t="s">
        <v>99</v>
      </c>
      <c r="F134" t="s">
        <v>12</v>
      </c>
      <c r="G134">
        <v>1</v>
      </c>
      <c r="H134">
        <v>267</v>
      </c>
      <c r="I134">
        <v>0.79701492537313401</v>
      </c>
      <c r="J134" s="25">
        <f t="shared" si="7"/>
        <v>0.79701492537313434</v>
      </c>
      <c r="K134">
        <v>3163</v>
      </c>
      <c r="L134">
        <v>0</v>
      </c>
      <c r="M134">
        <v>0</v>
      </c>
      <c r="N134" s="25">
        <f t="shared" si="6"/>
        <v>0</v>
      </c>
      <c r="O134">
        <v>1</v>
      </c>
      <c r="P134" s="25">
        <f t="shared" si="8"/>
        <v>1</v>
      </c>
      <c r="Q134">
        <v>68</v>
      </c>
      <c r="R134" t="s">
        <v>124</v>
      </c>
      <c r="S134" t="s">
        <v>124</v>
      </c>
      <c r="T134" t="s">
        <v>124</v>
      </c>
      <c r="U134" t="s">
        <v>124</v>
      </c>
      <c r="X134" s="19">
        <f>J134</f>
        <v>0.79701492537313434</v>
      </c>
      <c r="Y134" s="19">
        <f>N134</f>
        <v>0</v>
      </c>
      <c r="Z134" s="26">
        <f>(L134+Q134)/(L134+Q134+H134+K134)</f>
        <v>1.9439679817038306E-2</v>
      </c>
    </row>
    <row r="135" spans="1:26" x14ac:dyDescent="0.35">
      <c r="A135" t="s">
        <v>122</v>
      </c>
      <c r="B135" t="s">
        <v>122</v>
      </c>
      <c r="C135" t="s">
        <v>123</v>
      </c>
      <c r="D135" t="s">
        <v>100</v>
      </c>
      <c r="E135" t="s">
        <v>99</v>
      </c>
      <c r="F135" t="s">
        <v>12</v>
      </c>
      <c r="G135">
        <v>1</v>
      </c>
      <c r="H135">
        <v>267</v>
      </c>
      <c r="I135">
        <v>0.79701492537313401</v>
      </c>
      <c r="J135" s="25">
        <f t="shared" si="7"/>
        <v>0.79701492537313434</v>
      </c>
      <c r="K135">
        <v>3163</v>
      </c>
      <c r="L135">
        <v>0</v>
      </c>
      <c r="M135">
        <v>0</v>
      </c>
      <c r="N135" s="25">
        <f t="shared" si="6"/>
        <v>0</v>
      </c>
      <c r="O135">
        <v>1</v>
      </c>
      <c r="P135" s="25">
        <f t="shared" si="8"/>
        <v>1</v>
      </c>
      <c r="Q135">
        <v>68</v>
      </c>
      <c r="R135" t="s">
        <v>124</v>
      </c>
      <c r="S135" t="s">
        <v>124</v>
      </c>
      <c r="T135" t="s">
        <v>124</v>
      </c>
      <c r="U135" t="s">
        <v>124</v>
      </c>
      <c r="X135" s="19">
        <f>J135</f>
        <v>0.79701492537313434</v>
      </c>
      <c r="Y135" s="19">
        <f>N135</f>
        <v>0</v>
      </c>
      <c r="Z135" s="26">
        <f>(L135+Q135)/(L135+Q135+H135+K135)</f>
        <v>1.9439679817038306E-2</v>
      </c>
    </row>
    <row r="136" spans="1:26" x14ac:dyDescent="0.35">
      <c r="A136" t="s">
        <v>122</v>
      </c>
      <c r="B136" t="s">
        <v>122</v>
      </c>
      <c r="C136" t="s">
        <v>123</v>
      </c>
      <c r="D136" t="s">
        <v>100</v>
      </c>
      <c r="E136" t="s">
        <v>99</v>
      </c>
      <c r="F136" t="s">
        <v>12</v>
      </c>
      <c r="G136">
        <v>1</v>
      </c>
      <c r="H136">
        <v>267</v>
      </c>
      <c r="I136">
        <v>0.79701492537313401</v>
      </c>
      <c r="J136" s="25">
        <f t="shared" si="7"/>
        <v>0.79701492537313434</v>
      </c>
      <c r="K136">
        <v>3163</v>
      </c>
      <c r="L136">
        <v>0</v>
      </c>
      <c r="M136">
        <v>0</v>
      </c>
      <c r="N136" s="25">
        <f t="shared" si="6"/>
        <v>0</v>
      </c>
      <c r="O136">
        <v>1</v>
      </c>
      <c r="P136" s="25">
        <f t="shared" si="8"/>
        <v>1</v>
      </c>
      <c r="Q136">
        <v>68</v>
      </c>
      <c r="R136" t="s">
        <v>124</v>
      </c>
      <c r="S136" t="s">
        <v>124</v>
      </c>
      <c r="T136" t="s">
        <v>124</v>
      </c>
      <c r="U136" t="s">
        <v>124</v>
      </c>
      <c r="X136" s="19">
        <f>J136</f>
        <v>0.79701492537313434</v>
      </c>
      <c r="Y136" s="19">
        <f>N136</f>
        <v>0</v>
      </c>
      <c r="Z136" s="26">
        <f>(L136+Q136)/(L136+Q136+H136+K136)</f>
        <v>1.9439679817038306E-2</v>
      </c>
    </row>
    <row r="137" spans="1:26" x14ac:dyDescent="0.35">
      <c r="A137" t="s">
        <v>122</v>
      </c>
      <c r="B137" t="s">
        <v>122</v>
      </c>
      <c r="C137" t="s">
        <v>123</v>
      </c>
      <c r="D137" t="s">
        <v>100</v>
      </c>
      <c r="E137" t="s">
        <v>99</v>
      </c>
      <c r="F137" t="s">
        <v>12</v>
      </c>
      <c r="G137">
        <v>1</v>
      </c>
      <c r="H137">
        <v>267</v>
      </c>
      <c r="I137">
        <v>0.79701492537313401</v>
      </c>
      <c r="J137" s="25">
        <f t="shared" si="7"/>
        <v>0.79701492537313434</v>
      </c>
      <c r="K137">
        <v>3163</v>
      </c>
      <c r="L137">
        <v>0</v>
      </c>
      <c r="M137">
        <v>0</v>
      </c>
      <c r="N137" s="25">
        <f t="shared" si="6"/>
        <v>0</v>
      </c>
      <c r="O137">
        <v>1</v>
      </c>
      <c r="P137" s="25">
        <f t="shared" si="8"/>
        <v>1</v>
      </c>
      <c r="Q137">
        <v>68</v>
      </c>
      <c r="R137" t="s">
        <v>124</v>
      </c>
      <c r="S137" t="s">
        <v>124</v>
      </c>
      <c r="T137" t="s">
        <v>124</v>
      </c>
      <c r="U137" t="s">
        <v>124</v>
      </c>
      <c r="X137" s="19">
        <f>J137</f>
        <v>0.79701492537313434</v>
      </c>
      <c r="Y137" s="19">
        <f>N137</f>
        <v>0</v>
      </c>
      <c r="Z137" s="26">
        <f>(L137+Q137)/(L137+Q137+H137+K137)</f>
        <v>1.9439679817038306E-2</v>
      </c>
    </row>
    <row r="138" spans="1:26" x14ac:dyDescent="0.35">
      <c r="A138" t="s">
        <v>122</v>
      </c>
      <c r="B138" t="s">
        <v>122</v>
      </c>
      <c r="C138" t="s">
        <v>123</v>
      </c>
      <c r="D138" t="s">
        <v>100</v>
      </c>
      <c r="E138" t="s">
        <v>99</v>
      </c>
      <c r="F138" t="s">
        <v>12</v>
      </c>
      <c r="G138">
        <v>1</v>
      </c>
      <c r="H138">
        <v>267</v>
      </c>
      <c r="I138">
        <v>0.79701492537313401</v>
      </c>
      <c r="J138" s="25">
        <f t="shared" si="7"/>
        <v>0.79701492537313434</v>
      </c>
      <c r="K138">
        <v>3163</v>
      </c>
      <c r="L138">
        <v>0</v>
      </c>
      <c r="M138">
        <v>0</v>
      </c>
      <c r="N138" s="25">
        <f t="shared" si="6"/>
        <v>0</v>
      </c>
      <c r="O138">
        <v>1</v>
      </c>
      <c r="P138" s="25">
        <f t="shared" si="8"/>
        <v>1</v>
      </c>
      <c r="Q138">
        <v>68</v>
      </c>
      <c r="R138" t="s">
        <v>124</v>
      </c>
      <c r="S138" t="s">
        <v>124</v>
      </c>
      <c r="T138" t="s">
        <v>124</v>
      </c>
      <c r="U138" t="s">
        <v>124</v>
      </c>
      <c r="X138" s="19">
        <f>J138</f>
        <v>0.79701492537313434</v>
      </c>
      <c r="Y138" s="19">
        <f>N138</f>
        <v>0</v>
      </c>
      <c r="Z138" s="26">
        <f>(L138+Q138)/(L138+Q138+H138+K138)</f>
        <v>1.9439679817038306E-2</v>
      </c>
    </row>
    <row r="139" spans="1:26" x14ac:dyDescent="0.35">
      <c r="A139" t="s">
        <v>122</v>
      </c>
      <c r="B139" t="s">
        <v>122</v>
      </c>
      <c r="C139" t="s">
        <v>123</v>
      </c>
      <c r="D139" t="s">
        <v>100</v>
      </c>
      <c r="E139" t="s">
        <v>99</v>
      </c>
      <c r="F139" t="s">
        <v>12</v>
      </c>
      <c r="G139">
        <v>1</v>
      </c>
      <c r="H139">
        <v>267</v>
      </c>
      <c r="I139">
        <v>0.79701492537313401</v>
      </c>
      <c r="J139" s="25">
        <f t="shared" si="7"/>
        <v>0.79701492537313434</v>
      </c>
      <c r="K139">
        <v>3163</v>
      </c>
      <c r="L139">
        <v>0</v>
      </c>
      <c r="M139">
        <v>0</v>
      </c>
      <c r="N139" s="25">
        <f t="shared" si="6"/>
        <v>0</v>
      </c>
      <c r="O139">
        <v>1</v>
      </c>
      <c r="P139" s="25">
        <f t="shared" si="8"/>
        <v>1</v>
      </c>
      <c r="Q139">
        <v>68</v>
      </c>
      <c r="R139" t="s">
        <v>124</v>
      </c>
      <c r="S139" t="s">
        <v>124</v>
      </c>
      <c r="T139" t="s">
        <v>124</v>
      </c>
      <c r="U139" t="s">
        <v>124</v>
      </c>
      <c r="X139" s="19">
        <f>J139</f>
        <v>0.79701492537313434</v>
      </c>
      <c r="Y139" s="19">
        <f>N139</f>
        <v>0</v>
      </c>
      <c r="Z139" s="26">
        <f>(L139+Q139)/(L139+Q139+H139+K139)</f>
        <v>1.9439679817038306E-2</v>
      </c>
    </row>
    <row r="140" spans="1:26" x14ac:dyDescent="0.35">
      <c r="A140" t="s">
        <v>122</v>
      </c>
      <c r="B140" t="s">
        <v>122</v>
      </c>
      <c r="C140" t="s">
        <v>123</v>
      </c>
      <c r="D140" t="s">
        <v>100</v>
      </c>
      <c r="E140" t="s">
        <v>99</v>
      </c>
      <c r="F140" t="s">
        <v>12</v>
      </c>
      <c r="G140">
        <v>1</v>
      </c>
      <c r="H140">
        <v>267</v>
      </c>
      <c r="I140">
        <v>0.79701492537313401</v>
      </c>
      <c r="J140" s="25">
        <f t="shared" si="7"/>
        <v>0.79701492537313434</v>
      </c>
      <c r="K140">
        <v>3163</v>
      </c>
      <c r="L140">
        <v>0</v>
      </c>
      <c r="M140">
        <v>0</v>
      </c>
      <c r="N140" s="25">
        <f t="shared" si="6"/>
        <v>0</v>
      </c>
      <c r="O140">
        <v>1</v>
      </c>
      <c r="P140" s="25">
        <f t="shared" si="8"/>
        <v>1</v>
      </c>
      <c r="Q140">
        <v>68</v>
      </c>
      <c r="R140" t="s">
        <v>124</v>
      </c>
      <c r="S140" t="s">
        <v>124</v>
      </c>
      <c r="T140" t="s">
        <v>124</v>
      </c>
      <c r="U140" t="s">
        <v>124</v>
      </c>
      <c r="X140" s="19">
        <f>J140</f>
        <v>0.79701492537313434</v>
      </c>
      <c r="Y140" s="19">
        <f>N140</f>
        <v>0</v>
      </c>
      <c r="Z140" s="26">
        <f>(L140+Q140)/(L140+Q140+H140+K140)</f>
        <v>1.9439679817038306E-2</v>
      </c>
    </row>
    <row r="141" spans="1:26" x14ac:dyDescent="0.35">
      <c r="A141" t="s">
        <v>122</v>
      </c>
      <c r="B141" t="s">
        <v>122</v>
      </c>
      <c r="C141" t="s">
        <v>123</v>
      </c>
      <c r="D141" t="s">
        <v>100</v>
      </c>
      <c r="E141" t="s">
        <v>99</v>
      </c>
      <c r="F141" t="s">
        <v>12</v>
      </c>
      <c r="G141">
        <v>1</v>
      </c>
      <c r="H141">
        <v>267</v>
      </c>
      <c r="I141">
        <v>0.79701492537313401</v>
      </c>
      <c r="J141" s="25">
        <f t="shared" si="7"/>
        <v>0.79701492537313434</v>
      </c>
      <c r="K141">
        <v>3163</v>
      </c>
      <c r="L141">
        <v>0</v>
      </c>
      <c r="M141">
        <v>0</v>
      </c>
      <c r="N141" s="25">
        <f t="shared" si="6"/>
        <v>0</v>
      </c>
      <c r="O141">
        <v>1</v>
      </c>
      <c r="P141" s="25">
        <f t="shared" si="8"/>
        <v>1</v>
      </c>
      <c r="Q141">
        <v>68</v>
      </c>
      <c r="R141" t="s">
        <v>124</v>
      </c>
      <c r="S141" t="s">
        <v>124</v>
      </c>
      <c r="T141" t="s">
        <v>124</v>
      </c>
      <c r="U141" t="s">
        <v>124</v>
      </c>
      <c r="X141" s="19">
        <f>J141</f>
        <v>0.79701492537313434</v>
      </c>
      <c r="Y141" s="19">
        <f>N141</f>
        <v>0</v>
      </c>
      <c r="Z141" s="26">
        <f>(L141+Q141)/(L141+Q141+H141+K141)</f>
        <v>1.9439679817038306E-2</v>
      </c>
    </row>
    <row r="142" spans="1:26" x14ac:dyDescent="0.35">
      <c r="A142" t="s">
        <v>122</v>
      </c>
      <c r="B142" t="s">
        <v>122</v>
      </c>
      <c r="C142" t="s">
        <v>123</v>
      </c>
      <c r="D142" t="s">
        <v>100</v>
      </c>
      <c r="E142" t="s">
        <v>99</v>
      </c>
      <c r="F142" t="s">
        <v>12</v>
      </c>
      <c r="G142">
        <v>1</v>
      </c>
      <c r="H142">
        <v>267</v>
      </c>
      <c r="I142">
        <v>0.79701492537313401</v>
      </c>
      <c r="J142" s="25">
        <f t="shared" si="7"/>
        <v>0.79701492537313434</v>
      </c>
      <c r="K142">
        <v>3163</v>
      </c>
      <c r="L142">
        <v>0</v>
      </c>
      <c r="M142">
        <v>0</v>
      </c>
      <c r="N142" s="25">
        <f t="shared" si="6"/>
        <v>0</v>
      </c>
      <c r="O142">
        <v>1</v>
      </c>
      <c r="P142" s="25">
        <f t="shared" si="8"/>
        <v>1</v>
      </c>
      <c r="Q142">
        <v>68</v>
      </c>
      <c r="R142" t="s">
        <v>124</v>
      </c>
      <c r="S142" t="s">
        <v>124</v>
      </c>
      <c r="T142" t="s">
        <v>124</v>
      </c>
      <c r="U142" t="s">
        <v>124</v>
      </c>
      <c r="X142" s="19">
        <f>J142</f>
        <v>0.79701492537313434</v>
      </c>
      <c r="Y142" s="19">
        <f>N142</f>
        <v>0</v>
      </c>
      <c r="Z142" s="26">
        <f>(L142+Q142)/(L142+Q142+H142+K142)</f>
        <v>1.9439679817038306E-2</v>
      </c>
    </row>
    <row r="143" spans="1:26" x14ac:dyDescent="0.35">
      <c r="A143" t="s">
        <v>122</v>
      </c>
      <c r="B143" t="s">
        <v>122</v>
      </c>
      <c r="C143" t="s">
        <v>123</v>
      </c>
      <c r="D143" t="s">
        <v>100</v>
      </c>
      <c r="E143" t="s">
        <v>99</v>
      </c>
      <c r="F143" t="s">
        <v>12</v>
      </c>
      <c r="G143">
        <v>1</v>
      </c>
      <c r="H143">
        <v>267</v>
      </c>
      <c r="I143">
        <v>0.79701492537313401</v>
      </c>
      <c r="J143" s="25">
        <f t="shared" si="7"/>
        <v>0.79701492537313434</v>
      </c>
      <c r="K143">
        <v>3163</v>
      </c>
      <c r="L143">
        <v>0</v>
      </c>
      <c r="M143">
        <v>0</v>
      </c>
      <c r="N143" s="25">
        <f t="shared" si="6"/>
        <v>0</v>
      </c>
      <c r="O143">
        <v>1</v>
      </c>
      <c r="P143" s="25">
        <f t="shared" si="8"/>
        <v>1</v>
      </c>
      <c r="Q143">
        <v>68</v>
      </c>
      <c r="R143" t="s">
        <v>124</v>
      </c>
      <c r="S143" t="s">
        <v>124</v>
      </c>
      <c r="T143" t="s">
        <v>124</v>
      </c>
      <c r="U143" t="s">
        <v>124</v>
      </c>
      <c r="X143" s="19">
        <f>J143</f>
        <v>0.79701492537313434</v>
      </c>
      <c r="Y143" s="19">
        <f>N143</f>
        <v>0</v>
      </c>
      <c r="Z143" s="26">
        <f>(L143+Q143)/(L143+Q143+H143+K143)</f>
        <v>1.9439679817038306E-2</v>
      </c>
    </row>
    <row r="144" spans="1:26" x14ac:dyDescent="0.35">
      <c r="A144" t="s">
        <v>122</v>
      </c>
      <c r="B144" t="s">
        <v>122</v>
      </c>
      <c r="C144" t="s">
        <v>123</v>
      </c>
      <c r="D144" t="s">
        <v>100</v>
      </c>
      <c r="E144" t="s">
        <v>99</v>
      </c>
      <c r="F144" t="s">
        <v>12</v>
      </c>
      <c r="G144">
        <v>1</v>
      </c>
      <c r="H144">
        <v>267</v>
      </c>
      <c r="I144">
        <v>0.79701492537313401</v>
      </c>
      <c r="J144" s="25">
        <f t="shared" si="7"/>
        <v>0.79701492537313434</v>
      </c>
      <c r="K144">
        <v>3163</v>
      </c>
      <c r="L144">
        <v>0</v>
      </c>
      <c r="M144">
        <v>0</v>
      </c>
      <c r="N144" s="25">
        <f t="shared" si="6"/>
        <v>0</v>
      </c>
      <c r="O144">
        <v>1</v>
      </c>
      <c r="P144" s="25">
        <f t="shared" si="8"/>
        <v>1</v>
      </c>
      <c r="Q144">
        <v>68</v>
      </c>
      <c r="R144" t="s">
        <v>124</v>
      </c>
      <c r="S144" t="s">
        <v>124</v>
      </c>
      <c r="T144" t="s">
        <v>124</v>
      </c>
      <c r="U144" t="s">
        <v>124</v>
      </c>
      <c r="X144" s="19">
        <f>J144</f>
        <v>0.79701492537313434</v>
      </c>
      <c r="Y144" s="19">
        <f>N144</f>
        <v>0</v>
      </c>
      <c r="Z144" s="26">
        <f>(L144+Q144)/(L144+Q144+H144+K144)</f>
        <v>1.9439679817038306E-2</v>
      </c>
    </row>
    <row r="145" spans="1:26" x14ac:dyDescent="0.35">
      <c r="A145" t="s">
        <v>122</v>
      </c>
      <c r="B145" t="s">
        <v>122</v>
      </c>
      <c r="C145" t="s">
        <v>123</v>
      </c>
      <c r="D145" t="s">
        <v>100</v>
      </c>
      <c r="E145" t="s">
        <v>99</v>
      </c>
      <c r="F145" t="s">
        <v>12</v>
      </c>
      <c r="G145">
        <v>1</v>
      </c>
      <c r="H145">
        <v>267</v>
      </c>
      <c r="I145">
        <v>0.79701492537313401</v>
      </c>
      <c r="J145" s="25">
        <f t="shared" si="7"/>
        <v>0.79701492537313434</v>
      </c>
      <c r="K145">
        <v>3163</v>
      </c>
      <c r="L145">
        <v>0</v>
      </c>
      <c r="M145">
        <v>0</v>
      </c>
      <c r="N145" s="25">
        <f t="shared" si="6"/>
        <v>0</v>
      </c>
      <c r="O145">
        <v>1</v>
      </c>
      <c r="P145" s="25">
        <f t="shared" si="8"/>
        <v>1</v>
      </c>
      <c r="Q145">
        <v>68</v>
      </c>
      <c r="R145" t="s">
        <v>124</v>
      </c>
      <c r="S145" t="s">
        <v>124</v>
      </c>
      <c r="T145" t="s">
        <v>124</v>
      </c>
      <c r="U145" t="s">
        <v>124</v>
      </c>
      <c r="X145" s="19">
        <f>J145</f>
        <v>0.79701492537313434</v>
      </c>
      <c r="Y145" s="19">
        <f>N145</f>
        <v>0</v>
      </c>
      <c r="Z145" s="26">
        <f>(L145+Q145)/(L145+Q145+H145+K145)</f>
        <v>1.9439679817038306E-2</v>
      </c>
    </row>
    <row r="146" spans="1:26" x14ac:dyDescent="0.35">
      <c r="A146" t="s">
        <v>122</v>
      </c>
      <c r="B146" t="s">
        <v>122</v>
      </c>
      <c r="C146" t="s">
        <v>123</v>
      </c>
      <c r="D146" t="s">
        <v>100</v>
      </c>
      <c r="E146" t="s">
        <v>99</v>
      </c>
      <c r="F146" t="s">
        <v>12</v>
      </c>
      <c r="G146">
        <v>1</v>
      </c>
      <c r="H146">
        <v>267</v>
      </c>
      <c r="I146">
        <v>0.79701492537313401</v>
      </c>
      <c r="J146" s="25">
        <f t="shared" si="7"/>
        <v>0.79701492537313434</v>
      </c>
      <c r="K146">
        <v>3163</v>
      </c>
      <c r="L146">
        <v>0</v>
      </c>
      <c r="M146">
        <v>0</v>
      </c>
      <c r="N146" s="25">
        <f t="shared" si="6"/>
        <v>0</v>
      </c>
      <c r="O146">
        <v>1</v>
      </c>
      <c r="P146" s="25">
        <f t="shared" si="8"/>
        <v>1</v>
      </c>
      <c r="Q146">
        <v>68</v>
      </c>
      <c r="R146" t="s">
        <v>124</v>
      </c>
      <c r="S146" t="s">
        <v>124</v>
      </c>
      <c r="T146" t="s">
        <v>124</v>
      </c>
      <c r="U146" t="s">
        <v>124</v>
      </c>
      <c r="X146" s="19">
        <f>J146</f>
        <v>0.79701492537313434</v>
      </c>
      <c r="Y146" s="19">
        <f>N146</f>
        <v>0</v>
      </c>
      <c r="Z146" s="26">
        <f>(L146+Q146)/(L146+Q146+H146+K146)</f>
        <v>1.9439679817038306E-2</v>
      </c>
    </row>
    <row r="147" spans="1:26" x14ac:dyDescent="0.35">
      <c r="A147" t="s">
        <v>122</v>
      </c>
      <c r="B147" t="s">
        <v>122</v>
      </c>
      <c r="C147" t="s">
        <v>123</v>
      </c>
      <c r="D147" t="s">
        <v>100</v>
      </c>
      <c r="E147" t="s">
        <v>99</v>
      </c>
      <c r="F147" t="s">
        <v>12</v>
      </c>
      <c r="G147">
        <v>1</v>
      </c>
      <c r="H147">
        <v>267</v>
      </c>
      <c r="I147">
        <v>0.79701492537313401</v>
      </c>
      <c r="J147" s="25">
        <f t="shared" si="7"/>
        <v>0.79701492537313434</v>
      </c>
      <c r="K147">
        <v>3163</v>
      </c>
      <c r="L147">
        <v>0</v>
      </c>
      <c r="M147">
        <v>0</v>
      </c>
      <c r="N147" s="25">
        <f t="shared" si="6"/>
        <v>0</v>
      </c>
      <c r="O147">
        <v>1</v>
      </c>
      <c r="P147" s="25">
        <f t="shared" si="8"/>
        <v>1</v>
      </c>
      <c r="Q147">
        <v>68</v>
      </c>
      <c r="R147" t="s">
        <v>124</v>
      </c>
      <c r="S147" t="s">
        <v>124</v>
      </c>
      <c r="T147" t="s">
        <v>124</v>
      </c>
      <c r="U147" t="s">
        <v>124</v>
      </c>
      <c r="X147" s="19">
        <f>J147</f>
        <v>0.79701492537313434</v>
      </c>
      <c r="Y147" s="19">
        <f>N147</f>
        <v>0</v>
      </c>
      <c r="Z147" s="26">
        <f>(L147+Q147)/(L147+Q147+H147+K147)</f>
        <v>1.9439679817038306E-2</v>
      </c>
    </row>
    <row r="148" spans="1:26" x14ac:dyDescent="0.35">
      <c r="A148" t="s">
        <v>122</v>
      </c>
      <c r="B148" t="s">
        <v>122</v>
      </c>
      <c r="C148" t="s">
        <v>123</v>
      </c>
      <c r="D148" t="s">
        <v>100</v>
      </c>
      <c r="E148" t="s">
        <v>99</v>
      </c>
      <c r="F148" t="s">
        <v>12</v>
      </c>
      <c r="G148">
        <v>1</v>
      </c>
      <c r="H148">
        <v>267</v>
      </c>
      <c r="I148">
        <v>0.79701492537313401</v>
      </c>
      <c r="J148" s="25">
        <f t="shared" si="7"/>
        <v>0.79701492537313434</v>
      </c>
      <c r="K148">
        <v>3163</v>
      </c>
      <c r="L148">
        <v>0</v>
      </c>
      <c r="M148">
        <v>0</v>
      </c>
      <c r="N148" s="25">
        <f t="shared" si="6"/>
        <v>0</v>
      </c>
      <c r="O148">
        <v>1</v>
      </c>
      <c r="P148" s="25">
        <f t="shared" si="8"/>
        <v>1</v>
      </c>
      <c r="Q148">
        <v>68</v>
      </c>
      <c r="R148" t="s">
        <v>124</v>
      </c>
      <c r="S148" t="s">
        <v>124</v>
      </c>
      <c r="T148" t="s">
        <v>124</v>
      </c>
      <c r="U148" t="s">
        <v>124</v>
      </c>
      <c r="X148" s="19">
        <f>J148</f>
        <v>0.79701492537313434</v>
      </c>
      <c r="Y148" s="19">
        <f>N148</f>
        <v>0</v>
      </c>
      <c r="Z148" s="26">
        <f>(L148+Q148)/(L148+Q148+H148+K148)</f>
        <v>1.9439679817038306E-2</v>
      </c>
    </row>
    <row r="149" spans="1:26" x14ac:dyDescent="0.35">
      <c r="A149" t="s">
        <v>122</v>
      </c>
      <c r="B149" t="s">
        <v>122</v>
      </c>
      <c r="C149" t="s">
        <v>123</v>
      </c>
      <c r="D149" t="s">
        <v>100</v>
      </c>
      <c r="E149" t="s">
        <v>99</v>
      </c>
      <c r="F149" t="s">
        <v>12</v>
      </c>
      <c r="G149">
        <v>1</v>
      </c>
      <c r="H149">
        <v>267</v>
      </c>
      <c r="I149">
        <v>0.79701492537313401</v>
      </c>
      <c r="J149" s="25">
        <f t="shared" si="7"/>
        <v>0.79701492537313434</v>
      </c>
      <c r="K149">
        <v>3163</v>
      </c>
      <c r="L149">
        <v>0</v>
      </c>
      <c r="M149">
        <v>0</v>
      </c>
      <c r="N149" s="25">
        <f t="shared" si="6"/>
        <v>0</v>
      </c>
      <c r="O149">
        <v>1</v>
      </c>
      <c r="P149" s="25">
        <f t="shared" si="8"/>
        <v>1</v>
      </c>
      <c r="Q149">
        <v>68</v>
      </c>
      <c r="R149" t="s">
        <v>124</v>
      </c>
      <c r="S149" t="s">
        <v>124</v>
      </c>
      <c r="T149" t="s">
        <v>124</v>
      </c>
      <c r="U149" t="s">
        <v>124</v>
      </c>
      <c r="X149" s="19">
        <f>J149</f>
        <v>0.79701492537313434</v>
      </c>
      <c r="Y149" s="19">
        <f>N149</f>
        <v>0</v>
      </c>
      <c r="Z149" s="26">
        <f>(L149+Q149)/(L149+Q149+H149+K149)</f>
        <v>1.9439679817038306E-2</v>
      </c>
    </row>
    <row r="150" spans="1:26" x14ac:dyDescent="0.35">
      <c r="A150" t="s">
        <v>122</v>
      </c>
      <c r="B150" t="s">
        <v>122</v>
      </c>
      <c r="C150" t="s">
        <v>123</v>
      </c>
      <c r="D150" t="s">
        <v>100</v>
      </c>
      <c r="E150" t="s">
        <v>99</v>
      </c>
      <c r="F150" t="s">
        <v>12</v>
      </c>
      <c r="G150">
        <v>1</v>
      </c>
      <c r="H150">
        <v>267</v>
      </c>
      <c r="I150">
        <v>0.79701492537313401</v>
      </c>
      <c r="J150" s="25">
        <f t="shared" si="7"/>
        <v>0.79701492537313434</v>
      </c>
      <c r="K150">
        <v>3163</v>
      </c>
      <c r="L150">
        <v>0</v>
      </c>
      <c r="M150">
        <v>0</v>
      </c>
      <c r="N150" s="25">
        <f t="shared" si="6"/>
        <v>0</v>
      </c>
      <c r="O150">
        <v>1</v>
      </c>
      <c r="P150" s="25">
        <f t="shared" si="8"/>
        <v>1</v>
      </c>
      <c r="Q150">
        <v>68</v>
      </c>
      <c r="R150" t="s">
        <v>124</v>
      </c>
      <c r="S150" t="s">
        <v>124</v>
      </c>
      <c r="T150" t="s">
        <v>124</v>
      </c>
      <c r="U150" t="s">
        <v>124</v>
      </c>
      <c r="X150" s="19">
        <f>J150</f>
        <v>0.79701492537313434</v>
      </c>
      <c r="Y150" s="19">
        <f>N150</f>
        <v>0</v>
      </c>
      <c r="Z150" s="26">
        <f>(L150+Q150)/(L150+Q150+H150+K150)</f>
        <v>1.9439679817038306E-2</v>
      </c>
    </row>
    <row r="151" spans="1:26" x14ac:dyDescent="0.35">
      <c r="A151" t="s">
        <v>122</v>
      </c>
      <c r="B151" t="s">
        <v>122</v>
      </c>
      <c r="C151" t="s">
        <v>123</v>
      </c>
      <c r="D151" t="s">
        <v>100</v>
      </c>
      <c r="E151" t="s">
        <v>99</v>
      </c>
      <c r="F151" t="s">
        <v>12</v>
      </c>
      <c r="G151">
        <v>1</v>
      </c>
      <c r="H151">
        <v>267</v>
      </c>
      <c r="I151">
        <v>0.79701492537313401</v>
      </c>
      <c r="J151" s="25">
        <f t="shared" si="7"/>
        <v>0.79701492537313434</v>
      </c>
      <c r="K151">
        <v>3163</v>
      </c>
      <c r="L151">
        <v>0</v>
      </c>
      <c r="M151">
        <v>0</v>
      </c>
      <c r="N151" s="25">
        <f t="shared" si="6"/>
        <v>0</v>
      </c>
      <c r="O151">
        <v>1</v>
      </c>
      <c r="P151" s="25">
        <f t="shared" si="8"/>
        <v>1</v>
      </c>
      <c r="Q151">
        <v>68</v>
      </c>
      <c r="R151" t="s">
        <v>124</v>
      </c>
      <c r="S151" t="s">
        <v>124</v>
      </c>
      <c r="T151" t="s">
        <v>124</v>
      </c>
      <c r="U151" t="s">
        <v>124</v>
      </c>
      <c r="X151" s="19">
        <f>J151</f>
        <v>0.79701492537313434</v>
      </c>
      <c r="Y151" s="19">
        <f>N151</f>
        <v>0</v>
      </c>
      <c r="Z151" s="26">
        <f>(L151+Q151)/(L151+Q151+H151+K151)</f>
        <v>1.9439679817038306E-2</v>
      </c>
    </row>
    <row r="152" spans="1:26" x14ac:dyDescent="0.35">
      <c r="A152" t="s">
        <v>122</v>
      </c>
      <c r="B152" t="s">
        <v>122</v>
      </c>
      <c r="C152" t="s">
        <v>123</v>
      </c>
      <c r="D152" t="s">
        <v>100</v>
      </c>
      <c r="E152" t="s">
        <v>99</v>
      </c>
      <c r="F152" t="s">
        <v>12</v>
      </c>
      <c r="G152">
        <v>1</v>
      </c>
      <c r="H152">
        <v>267</v>
      </c>
      <c r="I152">
        <v>0.79701492537313401</v>
      </c>
      <c r="J152" s="25">
        <f t="shared" si="7"/>
        <v>0.79701492537313434</v>
      </c>
      <c r="K152">
        <v>3163</v>
      </c>
      <c r="L152">
        <v>0</v>
      </c>
      <c r="M152">
        <v>0</v>
      </c>
      <c r="N152" s="25">
        <f t="shared" si="6"/>
        <v>0</v>
      </c>
      <c r="O152">
        <v>1</v>
      </c>
      <c r="P152" s="25">
        <f t="shared" si="8"/>
        <v>1</v>
      </c>
      <c r="Q152">
        <v>68</v>
      </c>
      <c r="R152" t="s">
        <v>124</v>
      </c>
      <c r="S152" t="s">
        <v>124</v>
      </c>
      <c r="T152" t="s">
        <v>124</v>
      </c>
      <c r="U152" t="s">
        <v>124</v>
      </c>
      <c r="X152" s="19">
        <f>J152</f>
        <v>0.79701492537313434</v>
      </c>
      <c r="Y152" s="19">
        <f>N152</f>
        <v>0</v>
      </c>
      <c r="Z152" s="26">
        <f>(L152+Q152)/(L152+Q152+H152+K152)</f>
        <v>1.9439679817038306E-2</v>
      </c>
    </row>
    <row r="153" spans="1:26" x14ac:dyDescent="0.35">
      <c r="A153" t="s">
        <v>122</v>
      </c>
      <c r="B153" t="s">
        <v>122</v>
      </c>
      <c r="C153" t="s">
        <v>123</v>
      </c>
      <c r="D153" t="s">
        <v>100</v>
      </c>
      <c r="E153" t="s">
        <v>99</v>
      </c>
      <c r="F153" t="s">
        <v>12</v>
      </c>
      <c r="G153">
        <v>1</v>
      </c>
      <c r="H153">
        <v>267</v>
      </c>
      <c r="I153">
        <v>0.79701492537313401</v>
      </c>
      <c r="J153" s="25">
        <f t="shared" si="7"/>
        <v>0.79701492537313434</v>
      </c>
      <c r="K153">
        <v>3163</v>
      </c>
      <c r="L153">
        <v>0</v>
      </c>
      <c r="M153">
        <v>0</v>
      </c>
      <c r="N153" s="25">
        <f t="shared" si="6"/>
        <v>0</v>
      </c>
      <c r="O153">
        <v>1</v>
      </c>
      <c r="P153" s="25">
        <f t="shared" si="8"/>
        <v>1</v>
      </c>
      <c r="Q153">
        <v>68</v>
      </c>
      <c r="R153" t="s">
        <v>124</v>
      </c>
      <c r="S153" t="s">
        <v>124</v>
      </c>
      <c r="T153" t="s">
        <v>124</v>
      </c>
      <c r="U153" t="s">
        <v>124</v>
      </c>
      <c r="X153" s="19">
        <f>J153</f>
        <v>0.79701492537313434</v>
      </c>
      <c r="Y153" s="19">
        <f>N153</f>
        <v>0</v>
      </c>
      <c r="Z153" s="26">
        <f>(L153+Q153)/(L153+Q153+H153+K153)</f>
        <v>1.9439679817038306E-2</v>
      </c>
    </row>
    <row r="154" spans="1:26" x14ac:dyDescent="0.35">
      <c r="A154" t="s">
        <v>122</v>
      </c>
      <c r="B154" t="s">
        <v>122</v>
      </c>
      <c r="C154" t="s">
        <v>123</v>
      </c>
      <c r="D154" t="s">
        <v>100</v>
      </c>
      <c r="E154" t="s">
        <v>99</v>
      </c>
      <c r="F154" t="s">
        <v>12</v>
      </c>
      <c r="G154">
        <v>1</v>
      </c>
      <c r="H154">
        <v>267</v>
      </c>
      <c r="I154">
        <v>0.79701492537313401</v>
      </c>
      <c r="J154" s="25">
        <f t="shared" si="7"/>
        <v>0.79701492537313434</v>
      </c>
      <c r="K154">
        <v>3163</v>
      </c>
      <c r="L154">
        <v>0</v>
      </c>
      <c r="M154">
        <v>0</v>
      </c>
      <c r="N154" s="25">
        <f t="shared" si="6"/>
        <v>0</v>
      </c>
      <c r="O154">
        <v>1</v>
      </c>
      <c r="P154" s="25">
        <f t="shared" si="8"/>
        <v>1</v>
      </c>
      <c r="Q154">
        <v>68</v>
      </c>
      <c r="R154" t="s">
        <v>124</v>
      </c>
      <c r="S154" t="s">
        <v>124</v>
      </c>
      <c r="T154" t="s">
        <v>124</v>
      </c>
      <c r="U154" t="s">
        <v>124</v>
      </c>
      <c r="X154" s="19">
        <f>J154</f>
        <v>0.79701492537313434</v>
      </c>
      <c r="Y154" s="19">
        <f>N154</f>
        <v>0</v>
      </c>
      <c r="Z154" s="26">
        <f>(L154+Q154)/(L154+Q154+H154+K154)</f>
        <v>1.9439679817038306E-2</v>
      </c>
    </row>
    <row r="155" spans="1:26" x14ac:dyDescent="0.35">
      <c r="A155" t="s">
        <v>122</v>
      </c>
      <c r="B155" t="s">
        <v>122</v>
      </c>
      <c r="C155" t="s">
        <v>123</v>
      </c>
      <c r="D155" t="s">
        <v>100</v>
      </c>
      <c r="E155" t="s">
        <v>99</v>
      </c>
      <c r="F155" t="s">
        <v>12</v>
      </c>
      <c r="G155">
        <v>1</v>
      </c>
      <c r="H155">
        <v>267</v>
      </c>
      <c r="I155">
        <v>0.79701492537313401</v>
      </c>
      <c r="J155" s="25">
        <f t="shared" si="7"/>
        <v>0.79701492537313434</v>
      </c>
      <c r="K155">
        <v>3163</v>
      </c>
      <c r="L155">
        <v>0</v>
      </c>
      <c r="M155">
        <v>0</v>
      </c>
      <c r="N155" s="25">
        <f t="shared" si="6"/>
        <v>0</v>
      </c>
      <c r="O155">
        <v>1</v>
      </c>
      <c r="P155" s="25">
        <f t="shared" si="8"/>
        <v>1</v>
      </c>
      <c r="Q155">
        <v>68</v>
      </c>
      <c r="R155" t="s">
        <v>124</v>
      </c>
      <c r="S155" t="s">
        <v>124</v>
      </c>
      <c r="T155" t="s">
        <v>124</v>
      </c>
      <c r="U155" t="s">
        <v>124</v>
      </c>
      <c r="X155" s="19">
        <f>J155</f>
        <v>0.79701492537313434</v>
      </c>
      <c r="Y155" s="19">
        <f>N155</f>
        <v>0</v>
      </c>
      <c r="Z155" s="26">
        <f>(L155+Q155)/(L155+Q155+H155+K155)</f>
        <v>1.9439679817038306E-2</v>
      </c>
    </row>
    <row r="156" spans="1:26" x14ac:dyDescent="0.35">
      <c r="A156" t="s">
        <v>122</v>
      </c>
      <c r="B156" t="s">
        <v>122</v>
      </c>
      <c r="C156" t="s">
        <v>123</v>
      </c>
      <c r="D156" t="s">
        <v>100</v>
      </c>
      <c r="E156" t="s">
        <v>99</v>
      </c>
      <c r="F156" t="s">
        <v>12</v>
      </c>
      <c r="G156">
        <v>1</v>
      </c>
      <c r="H156">
        <v>267</v>
      </c>
      <c r="I156">
        <v>0.79701492537313401</v>
      </c>
      <c r="J156" s="25">
        <f t="shared" si="7"/>
        <v>0.79701492537313434</v>
      </c>
      <c r="K156">
        <v>3163</v>
      </c>
      <c r="L156">
        <v>0</v>
      </c>
      <c r="M156">
        <v>0</v>
      </c>
      <c r="N156" s="25">
        <f t="shared" si="6"/>
        <v>0</v>
      </c>
      <c r="O156">
        <v>1</v>
      </c>
      <c r="P156" s="25">
        <f t="shared" si="8"/>
        <v>1</v>
      </c>
      <c r="Q156">
        <v>68</v>
      </c>
      <c r="R156" t="s">
        <v>124</v>
      </c>
      <c r="S156" t="s">
        <v>124</v>
      </c>
      <c r="T156" t="s">
        <v>124</v>
      </c>
      <c r="U156" t="s">
        <v>124</v>
      </c>
      <c r="X156" s="19">
        <f>J156</f>
        <v>0.79701492537313434</v>
      </c>
      <c r="Y156" s="19">
        <f>N156</f>
        <v>0</v>
      </c>
      <c r="Z156" s="26">
        <f>(L156+Q156)/(L156+Q156+H156+K156)</f>
        <v>1.9439679817038306E-2</v>
      </c>
    </row>
    <row r="157" spans="1:26" x14ac:dyDescent="0.35">
      <c r="A157" t="s">
        <v>122</v>
      </c>
      <c r="B157" t="s">
        <v>122</v>
      </c>
      <c r="C157" t="s">
        <v>123</v>
      </c>
      <c r="D157" t="s">
        <v>100</v>
      </c>
      <c r="E157" t="s">
        <v>99</v>
      </c>
      <c r="F157" t="s">
        <v>12</v>
      </c>
      <c r="G157">
        <v>1</v>
      </c>
      <c r="H157">
        <v>267</v>
      </c>
      <c r="I157">
        <v>0.79701492537313401</v>
      </c>
      <c r="J157" s="25">
        <f t="shared" si="7"/>
        <v>0.79701492537313434</v>
      </c>
      <c r="K157">
        <v>3163</v>
      </c>
      <c r="L157">
        <v>0</v>
      </c>
      <c r="M157">
        <v>0</v>
      </c>
      <c r="N157" s="25">
        <f t="shared" si="6"/>
        <v>0</v>
      </c>
      <c r="O157">
        <v>1</v>
      </c>
      <c r="P157" s="25">
        <f t="shared" si="8"/>
        <v>1</v>
      </c>
      <c r="Q157">
        <v>68</v>
      </c>
      <c r="R157" t="s">
        <v>124</v>
      </c>
      <c r="S157" t="s">
        <v>124</v>
      </c>
      <c r="T157" t="s">
        <v>124</v>
      </c>
      <c r="U157" t="s">
        <v>124</v>
      </c>
      <c r="X157" s="19">
        <f>J157</f>
        <v>0.79701492537313434</v>
      </c>
      <c r="Y157" s="19">
        <f>N157</f>
        <v>0</v>
      </c>
      <c r="Z157" s="26">
        <f>(L157+Q157)/(L157+Q157+H157+K157)</f>
        <v>1.9439679817038306E-2</v>
      </c>
    </row>
    <row r="158" spans="1:26" x14ac:dyDescent="0.35">
      <c r="A158" t="s">
        <v>122</v>
      </c>
      <c r="B158" t="s">
        <v>122</v>
      </c>
      <c r="C158" t="s">
        <v>123</v>
      </c>
      <c r="D158" t="s">
        <v>100</v>
      </c>
      <c r="E158" t="s">
        <v>99</v>
      </c>
      <c r="F158" t="s">
        <v>12</v>
      </c>
      <c r="G158">
        <v>1</v>
      </c>
      <c r="H158">
        <v>267</v>
      </c>
      <c r="I158">
        <v>0.79701492537313401</v>
      </c>
      <c r="J158" s="25">
        <f t="shared" si="7"/>
        <v>0.79701492537313434</v>
      </c>
      <c r="K158">
        <v>3163</v>
      </c>
      <c r="L158">
        <v>0</v>
      </c>
      <c r="M158">
        <v>0</v>
      </c>
      <c r="N158" s="25">
        <f t="shared" si="6"/>
        <v>0</v>
      </c>
      <c r="O158">
        <v>1</v>
      </c>
      <c r="P158" s="25">
        <f t="shared" si="8"/>
        <v>1</v>
      </c>
      <c r="Q158">
        <v>68</v>
      </c>
      <c r="R158" t="s">
        <v>124</v>
      </c>
      <c r="S158" t="s">
        <v>124</v>
      </c>
      <c r="T158" t="s">
        <v>124</v>
      </c>
      <c r="U158" t="s">
        <v>124</v>
      </c>
      <c r="X158" s="19">
        <f>J158</f>
        <v>0.79701492537313434</v>
      </c>
      <c r="Y158" s="19">
        <f>N158</f>
        <v>0</v>
      </c>
      <c r="Z158" s="26">
        <f>(L158+Q158)/(L158+Q158+H158+K158)</f>
        <v>1.9439679817038306E-2</v>
      </c>
    </row>
    <row r="159" spans="1:26" x14ac:dyDescent="0.35">
      <c r="A159" t="s">
        <v>122</v>
      </c>
      <c r="B159" t="s">
        <v>122</v>
      </c>
      <c r="C159" t="s">
        <v>123</v>
      </c>
      <c r="D159" t="s">
        <v>100</v>
      </c>
      <c r="E159" t="s">
        <v>99</v>
      </c>
      <c r="F159" t="s">
        <v>12</v>
      </c>
      <c r="G159">
        <v>1</v>
      </c>
      <c r="H159">
        <v>267</v>
      </c>
      <c r="I159">
        <v>0.79701492537313401</v>
      </c>
      <c r="J159" s="25">
        <f t="shared" si="7"/>
        <v>0.79701492537313434</v>
      </c>
      <c r="K159">
        <v>3163</v>
      </c>
      <c r="L159">
        <v>0</v>
      </c>
      <c r="M159">
        <v>0</v>
      </c>
      <c r="N159" s="25">
        <f t="shared" si="6"/>
        <v>0</v>
      </c>
      <c r="O159">
        <v>1</v>
      </c>
      <c r="P159" s="25">
        <f t="shared" si="8"/>
        <v>1</v>
      </c>
      <c r="Q159">
        <v>68</v>
      </c>
      <c r="R159" t="s">
        <v>124</v>
      </c>
      <c r="S159" t="s">
        <v>124</v>
      </c>
      <c r="T159" t="s">
        <v>124</v>
      </c>
      <c r="U159" t="s">
        <v>124</v>
      </c>
      <c r="X159" s="19">
        <f>J159</f>
        <v>0.79701492537313434</v>
      </c>
      <c r="Y159" s="19">
        <f>N159</f>
        <v>0</v>
      </c>
      <c r="Z159" s="26">
        <f>(L159+Q159)/(L159+Q159+H159+K159)</f>
        <v>1.9439679817038306E-2</v>
      </c>
    </row>
    <row r="160" spans="1:26" x14ac:dyDescent="0.35">
      <c r="A160" t="s">
        <v>122</v>
      </c>
      <c r="B160" t="s">
        <v>122</v>
      </c>
      <c r="C160" t="s">
        <v>123</v>
      </c>
      <c r="D160" t="s">
        <v>100</v>
      </c>
      <c r="E160" t="s">
        <v>99</v>
      </c>
      <c r="F160" t="s">
        <v>12</v>
      </c>
      <c r="G160">
        <v>1</v>
      </c>
      <c r="H160">
        <v>267</v>
      </c>
      <c r="I160">
        <v>0.79701492537313401</v>
      </c>
      <c r="J160" s="25">
        <f t="shared" si="7"/>
        <v>0.79701492537313434</v>
      </c>
      <c r="K160">
        <v>3163</v>
      </c>
      <c r="L160">
        <v>0</v>
      </c>
      <c r="M160">
        <v>0</v>
      </c>
      <c r="N160" s="25">
        <f t="shared" si="6"/>
        <v>0</v>
      </c>
      <c r="O160">
        <v>1</v>
      </c>
      <c r="P160" s="25">
        <f t="shared" si="8"/>
        <v>1</v>
      </c>
      <c r="Q160">
        <v>68</v>
      </c>
      <c r="R160" t="s">
        <v>124</v>
      </c>
      <c r="S160" t="s">
        <v>124</v>
      </c>
      <c r="T160" t="s">
        <v>124</v>
      </c>
      <c r="U160" t="s">
        <v>124</v>
      </c>
      <c r="X160" s="19">
        <f>J160</f>
        <v>0.79701492537313434</v>
      </c>
      <c r="Y160" s="19">
        <f>N160</f>
        <v>0</v>
      </c>
      <c r="Z160" s="26">
        <f>(L160+Q160)/(L160+Q160+H160+K160)</f>
        <v>1.9439679817038306E-2</v>
      </c>
    </row>
    <row r="161" spans="1:26" x14ac:dyDescent="0.35">
      <c r="A161" t="s">
        <v>122</v>
      </c>
      <c r="B161" t="s">
        <v>122</v>
      </c>
      <c r="C161" t="s">
        <v>123</v>
      </c>
      <c r="D161" t="s">
        <v>100</v>
      </c>
      <c r="E161" t="s">
        <v>99</v>
      </c>
      <c r="F161" t="s">
        <v>12</v>
      </c>
      <c r="G161">
        <v>1</v>
      </c>
      <c r="H161">
        <v>267</v>
      </c>
      <c r="I161">
        <v>0.79701492537313401</v>
      </c>
      <c r="J161" s="25">
        <f t="shared" si="7"/>
        <v>0.79701492537313434</v>
      </c>
      <c r="K161">
        <v>3163</v>
      </c>
      <c r="L161">
        <v>0</v>
      </c>
      <c r="M161">
        <v>0</v>
      </c>
      <c r="N161" s="25">
        <f t="shared" si="6"/>
        <v>0</v>
      </c>
      <c r="O161">
        <v>1</v>
      </c>
      <c r="P161" s="25">
        <f t="shared" si="8"/>
        <v>1</v>
      </c>
      <c r="Q161">
        <v>68</v>
      </c>
      <c r="R161" t="s">
        <v>124</v>
      </c>
      <c r="S161" t="s">
        <v>124</v>
      </c>
      <c r="T161" t="s">
        <v>124</v>
      </c>
      <c r="U161" t="s">
        <v>124</v>
      </c>
      <c r="X161" s="19">
        <f>J161</f>
        <v>0.79701492537313434</v>
      </c>
      <c r="Y161" s="19">
        <f>N161</f>
        <v>0</v>
      </c>
      <c r="Z161" s="26">
        <f>(L161+Q161)/(L161+Q161+H161+K161)</f>
        <v>1.9439679817038306E-2</v>
      </c>
    </row>
    <row r="162" spans="1:26" x14ac:dyDescent="0.35">
      <c r="A162" t="s">
        <v>122</v>
      </c>
      <c r="B162" t="s">
        <v>122</v>
      </c>
      <c r="C162" t="s">
        <v>123</v>
      </c>
      <c r="D162" t="s">
        <v>100</v>
      </c>
      <c r="E162" t="s">
        <v>99</v>
      </c>
      <c r="F162" t="s">
        <v>12</v>
      </c>
      <c r="G162">
        <v>1</v>
      </c>
      <c r="H162">
        <v>267</v>
      </c>
      <c r="I162">
        <v>0.79701492537313401</v>
      </c>
      <c r="J162" s="25">
        <f t="shared" si="7"/>
        <v>0.79701492537313434</v>
      </c>
      <c r="K162">
        <v>3163</v>
      </c>
      <c r="L162">
        <v>0</v>
      </c>
      <c r="M162">
        <v>0</v>
      </c>
      <c r="N162" s="25">
        <f t="shared" si="6"/>
        <v>0</v>
      </c>
      <c r="O162">
        <v>1</v>
      </c>
      <c r="P162" s="25">
        <f t="shared" si="8"/>
        <v>1</v>
      </c>
      <c r="Q162">
        <v>68</v>
      </c>
      <c r="R162" t="s">
        <v>124</v>
      </c>
      <c r="S162" t="s">
        <v>124</v>
      </c>
      <c r="T162" t="s">
        <v>124</v>
      </c>
      <c r="U162" t="s">
        <v>124</v>
      </c>
      <c r="X162" s="19">
        <f>J162</f>
        <v>0.79701492537313434</v>
      </c>
      <c r="Y162" s="19">
        <f>N162</f>
        <v>0</v>
      </c>
      <c r="Z162" s="26">
        <f>(L162+Q162)/(L162+Q162+H162+K162)</f>
        <v>1.9439679817038306E-2</v>
      </c>
    </row>
    <row r="163" spans="1:26" x14ac:dyDescent="0.35">
      <c r="A163" t="s">
        <v>122</v>
      </c>
      <c r="B163" t="s">
        <v>122</v>
      </c>
      <c r="C163" t="s">
        <v>123</v>
      </c>
      <c r="D163" t="s">
        <v>100</v>
      </c>
      <c r="E163" t="s">
        <v>99</v>
      </c>
      <c r="F163" t="s">
        <v>12</v>
      </c>
      <c r="G163">
        <v>1</v>
      </c>
      <c r="H163">
        <v>267</v>
      </c>
      <c r="I163">
        <v>0.79701492537313401</v>
      </c>
      <c r="J163" s="25">
        <f t="shared" si="7"/>
        <v>0.79701492537313434</v>
      </c>
      <c r="K163">
        <v>3163</v>
      </c>
      <c r="L163">
        <v>0</v>
      </c>
      <c r="M163">
        <v>0</v>
      </c>
      <c r="N163" s="25">
        <f t="shared" si="6"/>
        <v>0</v>
      </c>
      <c r="O163">
        <v>1</v>
      </c>
      <c r="P163" s="25">
        <f t="shared" si="8"/>
        <v>1</v>
      </c>
      <c r="Q163">
        <v>68</v>
      </c>
      <c r="R163" t="s">
        <v>124</v>
      </c>
      <c r="S163" t="s">
        <v>124</v>
      </c>
      <c r="T163" t="s">
        <v>124</v>
      </c>
      <c r="U163" t="s">
        <v>124</v>
      </c>
      <c r="X163" s="19">
        <f>J163</f>
        <v>0.79701492537313434</v>
      </c>
      <c r="Y163" s="19">
        <f>N163</f>
        <v>0</v>
      </c>
      <c r="Z163" s="26">
        <f>(L163+Q163)/(L163+Q163+H163+K163)</f>
        <v>1.9439679817038306E-2</v>
      </c>
    </row>
    <row r="164" spans="1:26" x14ac:dyDescent="0.35">
      <c r="A164" t="s">
        <v>122</v>
      </c>
      <c r="B164" t="s">
        <v>122</v>
      </c>
      <c r="C164" t="s">
        <v>123</v>
      </c>
      <c r="D164" t="s">
        <v>100</v>
      </c>
      <c r="E164" t="s">
        <v>99</v>
      </c>
      <c r="F164" t="s">
        <v>12</v>
      </c>
      <c r="G164">
        <v>1</v>
      </c>
      <c r="H164">
        <v>267</v>
      </c>
      <c r="I164">
        <v>0.79701492537313401</v>
      </c>
      <c r="J164" s="25">
        <f t="shared" si="7"/>
        <v>0.79701492537313434</v>
      </c>
      <c r="K164">
        <v>3163</v>
      </c>
      <c r="L164">
        <v>0</v>
      </c>
      <c r="M164">
        <v>0</v>
      </c>
      <c r="N164" s="25">
        <f t="shared" si="6"/>
        <v>0</v>
      </c>
      <c r="O164">
        <v>1</v>
      </c>
      <c r="P164" s="25">
        <f t="shared" si="8"/>
        <v>1</v>
      </c>
      <c r="Q164">
        <v>68</v>
      </c>
      <c r="R164" t="s">
        <v>124</v>
      </c>
      <c r="S164" t="s">
        <v>124</v>
      </c>
      <c r="T164" t="s">
        <v>124</v>
      </c>
      <c r="U164" t="s">
        <v>124</v>
      </c>
      <c r="X164" s="19">
        <f>J164</f>
        <v>0.79701492537313434</v>
      </c>
      <c r="Y164" s="19">
        <f>N164</f>
        <v>0</v>
      </c>
      <c r="Z164" s="26">
        <f>(L164+Q164)/(L164+Q164+H164+K164)</f>
        <v>1.9439679817038306E-2</v>
      </c>
    </row>
    <row r="165" spans="1:26" x14ac:dyDescent="0.35">
      <c r="A165" t="s">
        <v>122</v>
      </c>
      <c r="B165" t="s">
        <v>122</v>
      </c>
      <c r="C165" t="s">
        <v>123</v>
      </c>
      <c r="D165" t="s">
        <v>100</v>
      </c>
      <c r="E165" t="s">
        <v>99</v>
      </c>
      <c r="F165" t="s">
        <v>12</v>
      </c>
      <c r="G165">
        <v>1</v>
      </c>
      <c r="H165">
        <v>267</v>
      </c>
      <c r="I165">
        <v>0.79701492537313401</v>
      </c>
      <c r="J165" s="25">
        <f t="shared" si="7"/>
        <v>0.79701492537313434</v>
      </c>
      <c r="K165">
        <v>3163</v>
      </c>
      <c r="L165">
        <v>0</v>
      </c>
      <c r="M165">
        <v>0</v>
      </c>
      <c r="N165" s="25">
        <f t="shared" si="6"/>
        <v>0</v>
      </c>
      <c r="O165">
        <v>1</v>
      </c>
      <c r="P165" s="25">
        <f t="shared" si="8"/>
        <v>1</v>
      </c>
      <c r="Q165">
        <v>68</v>
      </c>
      <c r="R165" t="s">
        <v>124</v>
      </c>
      <c r="S165" t="s">
        <v>124</v>
      </c>
      <c r="T165" t="s">
        <v>124</v>
      </c>
      <c r="U165" t="s">
        <v>124</v>
      </c>
      <c r="X165" s="19">
        <f>J165</f>
        <v>0.79701492537313434</v>
      </c>
      <c r="Y165" s="19">
        <f>N165</f>
        <v>0</v>
      </c>
      <c r="Z165" s="26">
        <f>(L165+Q165)/(L165+Q165+H165+K165)</f>
        <v>1.9439679817038306E-2</v>
      </c>
    </row>
    <row r="166" spans="1:26" x14ac:dyDescent="0.35">
      <c r="A166" t="s">
        <v>122</v>
      </c>
      <c r="B166" t="s">
        <v>122</v>
      </c>
      <c r="C166" t="s">
        <v>123</v>
      </c>
      <c r="D166" t="s">
        <v>100</v>
      </c>
      <c r="E166" t="s">
        <v>99</v>
      </c>
      <c r="F166" t="s">
        <v>12</v>
      </c>
      <c r="G166">
        <v>1</v>
      </c>
      <c r="H166">
        <v>267</v>
      </c>
      <c r="I166">
        <v>0.79701492537313401</v>
      </c>
      <c r="J166" s="25">
        <f t="shared" si="7"/>
        <v>0.79701492537313434</v>
      </c>
      <c r="K166">
        <v>3163</v>
      </c>
      <c r="L166">
        <v>0</v>
      </c>
      <c r="M166">
        <v>0</v>
      </c>
      <c r="N166" s="25">
        <f t="shared" si="6"/>
        <v>0</v>
      </c>
      <c r="O166">
        <v>1</v>
      </c>
      <c r="P166" s="25">
        <f t="shared" si="8"/>
        <v>1</v>
      </c>
      <c r="Q166">
        <v>68</v>
      </c>
      <c r="R166" t="s">
        <v>124</v>
      </c>
      <c r="S166" t="s">
        <v>124</v>
      </c>
      <c r="T166" t="s">
        <v>124</v>
      </c>
      <c r="U166" t="s">
        <v>124</v>
      </c>
      <c r="X166" s="19">
        <f>J166</f>
        <v>0.79701492537313434</v>
      </c>
      <c r="Y166" s="19">
        <f>N166</f>
        <v>0</v>
      </c>
      <c r="Z166" s="26">
        <f>(L166+Q166)/(L166+Q166+H166+K166)</f>
        <v>1.9439679817038306E-2</v>
      </c>
    </row>
    <row r="167" spans="1:26" x14ac:dyDescent="0.35">
      <c r="A167" t="s">
        <v>122</v>
      </c>
      <c r="B167" t="s">
        <v>122</v>
      </c>
      <c r="C167" t="s">
        <v>123</v>
      </c>
      <c r="D167" t="s">
        <v>100</v>
      </c>
      <c r="E167" t="s">
        <v>99</v>
      </c>
      <c r="F167" t="s">
        <v>12</v>
      </c>
      <c r="G167">
        <v>1</v>
      </c>
      <c r="H167">
        <v>267</v>
      </c>
      <c r="I167">
        <v>0.79701492537313401</v>
      </c>
      <c r="J167" s="25">
        <f t="shared" si="7"/>
        <v>0.79701492537313434</v>
      </c>
      <c r="K167">
        <v>3163</v>
      </c>
      <c r="L167">
        <v>0</v>
      </c>
      <c r="M167">
        <v>0</v>
      </c>
      <c r="N167" s="25">
        <f t="shared" si="6"/>
        <v>0</v>
      </c>
      <c r="O167">
        <v>1</v>
      </c>
      <c r="P167" s="25">
        <f t="shared" si="8"/>
        <v>1</v>
      </c>
      <c r="Q167">
        <v>68</v>
      </c>
      <c r="R167" t="s">
        <v>124</v>
      </c>
      <c r="S167" t="s">
        <v>124</v>
      </c>
      <c r="T167" t="s">
        <v>124</v>
      </c>
      <c r="U167" t="s">
        <v>124</v>
      </c>
      <c r="X167" s="19">
        <f>J167</f>
        <v>0.79701492537313434</v>
      </c>
      <c r="Y167" s="19">
        <f>N167</f>
        <v>0</v>
      </c>
      <c r="Z167" s="26">
        <f>(L167+Q167)/(L167+Q167+H167+K167)</f>
        <v>1.9439679817038306E-2</v>
      </c>
    </row>
    <row r="168" spans="1:26" x14ac:dyDescent="0.35">
      <c r="A168" t="s">
        <v>122</v>
      </c>
      <c r="B168" t="s">
        <v>122</v>
      </c>
      <c r="C168" t="s">
        <v>123</v>
      </c>
      <c r="D168" t="s">
        <v>100</v>
      </c>
      <c r="E168" t="s">
        <v>99</v>
      </c>
      <c r="F168" t="s">
        <v>12</v>
      </c>
      <c r="G168">
        <v>1</v>
      </c>
      <c r="H168">
        <v>267</v>
      </c>
      <c r="I168">
        <v>0.79701492537313401</v>
      </c>
      <c r="J168" s="25">
        <f t="shared" si="7"/>
        <v>0.79701492537313434</v>
      </c>
      <c r="K168">
        <v>3163</v>
      </c>
      <c r="L168">
        <v>0</v>
      </c>
      <c r="M168">
        <v>0</v>
      </c>
      <c r="N168" s="25">
        <f t="shared" si="6"/>
        <v>0</v>
      </c>
      <c r="O168">
        <v>1</v>
      </c>
      <c r="P168" s="25">
        <f t="shared" si="8"/>
        <v>1</v>
      </c>
      <c r="Q168">
        <v>68</v>
      </c>
      <c r="R168" t="s">
        <v>124</v>
      </c>
      <c r="S168" t="s">
        <v>124</v>
      </c>
      <c r="T168" t="s">
        <v>124</v>
      </c>
      <c r="U168" t="s">
        <v>124</v>
      </c>
      <c r="X168" s="19">
        <f>J168</f>
        <v>0.79701492537313434</v>
      </c>
      <c r="Y168" s="19">
        <f>N168</f>
        <v>0</v>
      </c>
      <c r="Z168" s="26">
        <f>(L168+Q168)/(L168+Q168+H168+K168)</f>
        <v>1.9439679817038306E-2</v>
      </c>
    </row>
    <row r="169" spans="1:26" x14ac:dyDescent="0.35">
      <c r="A169" t="s">
        <v>122</v>
      </c>
      <c r="B169" t="s">
        <v>122</v>
      </c>
      <c r="C169" t="s">
        <v>123</v>
      </c>
      <c r="D169" t="s">
        <v>100</v>
      </c>
      <c r="E169" t="s">
        <v>99</v>
      </c>
      <c r="F169" t="s">
        <v>12</v>
      </c>
      <c r="G169">
        <v>1</v>
      </c>
      <c r="H169">
        <v>267</v>
      </c>
      <c r="I169">
        <v>0.79701492537313401</v>
      </c>
      <c r="J169" s="25">
        <f t="shared" si="7"/>
        <v>0.79701492537313434</v>
      </c>
      <c r="K169">
        <v>3163</v>
      </c>
      <c r="L169">
        <v>0</v>
      </c>
      <c r="M169">
        <v>0</v>
      </c>
      <c r="N169" s="25">
        <f t="shared" si="6"/>
        <v>0</v>
      </c>
      <c r="O169">
        <v>1</v>
      </c>
      <c r="P169" s="25">
        <f t="shared" si="8"/>
        <v>1</v>
      </c>
      <c r="Q169">
        <v>68</v>
      </c>
      <c r="R169" t="s">
        <v>124</v>
      </c>
      <c r="S169" t="s">
        <v>124</v>
      </c>
      <c r="T169" t="s">
        <v>124</v>
      </c>
      <c r="U169" t="s">
        <v>124</v>
      </c>
      <c r="X169" s="19">
        <f>J169</f>
        <v>0.79701492537313434</v>
      </c>
      <c r="Y169" s="19">
        <f>N169</f>
        <v>0</v>
      </c>
      <c r="Z169" s="26">
        <f>(L169+Q169)/(L169+Q169+H169+K169)</f>
        <v>1.9439679817038306E-2</v>
      </c>
    </row>
    <row r="170" spans="1:26" x14ac:dyDescent="0.35">
      <c r="A170" t="s">
        <v>122</v>
      </c>
      <c r="B170" t="s">
        <v>122</v>
      </c>
      <c r="C170" t="s">
        <v>123</v>
      </c>
      <c r="D170" t="s">
        <v>100</v>
      </c>
      <c r="E170" t="s">
        <v>99</v>
      </c>
      <c r="F170" t="s">
        <v>12</v>
      </c>
      <c r="G170">
        <v>1</v>
      </c>
      <c r="H170">
        <v>272</v>
      </c>
      <c r="I170">
        <v>0.81194029850746197</v>
      </c>
      <c r="J170" s="25">
        <f t="shared" si="7"/>
        <v>0.81194029850746263</v>
      </c>
      <c r="K170">
        <v>3162</v>
      </c>
      <c r="L170">
        <v>0.999999999999999</v>
      </c>
      <c r="M170" s="16">
        <v>3.1615554852987602E-4</v>
      </c>
      <c r="N170" s="25">
        <f t="shared" si="6"/>
        <v>3.1615554852992833E-4</v>
      </c>
      <c r="O170">
        <v>0.99968384445146996</v>
      </c>
      <c r="P170" s="25">
        <f t="shared" si="8"/>
        <v>0.99968384445147007</v>
      </c>
      <c r="Q170">
        <v>63</v>
      </c>
      <c r="R170" t="s">
        <v>124</v>
      </c>
      <c r="S170" t="s">
        <v>124</v>
      </c>
      <c r="T170" t="s">
        <v>124</v>
      </c>
      <c r="U170" t="s">
        <v>124</v>
      </c>
      <c r="X170" s="19">
        <f>J170</f>
        <v>0.81194029850746263</v>
      </c>
      <c r="Y170" s="19">
        <f>N170</f>
        <v>3.1615554852992833E-4</v>
      </c>
      <c r="Z170" s="26">
        <f>(L170+Q170)/(L170+Q170+H170+K170)</f>
        <v>1.8296169239565466E-2</v>
      </c>
    </row>
    <row r="171" spans="1:26" x14ac:dyDescent="0.35">
      <c r="A171" t="s">
        <v>122</v>
      </c>
      <c r="B171" t="s">
        <v>122</v>
      </c>
      <c r="C171" t="s">
        <v>123</v>
      </c>
      <c r="D171" t="s">
        <v>100</v>
      </c>
      <c r="E171" t="s">
        <v>99</v>
      </c>
      <c r="F171" t="s">
        <v>12</v>
      </c>
      <c r="G171">
        <v>1</v>
      </c>
      <c r="H171">
        <v>272</v>
      </c>
      <c r="I171">
        <v>0.81194029850746197</v>
      </c>
      <c r="J171" s="25">
        <f t="shared" si="7"/>
        <v>0.81194029850746263</v>
      </c>
      <c r="K171">
        <v>3162</v>
      </c>
      <c r="L171">
        <v>0.999999999999999</v>
      </c>
      <c r="M171" s="16">
        <v>3.1615554852987602E-4</v>
      </c>
      <c r="N171" s="25">
        <f t="shared" si="6"/>
        <v>3.1615554852992833E-4</v>
      </c>
      <c r="O171">
        <v>0.99968384445146996</v>
      </c>
      <c r="P171" s="25">
        <f t="shared" si="8"/>
        <v>0.99968384445147007</v>
      </c>
      <c r="Q171">
        <v>63</v>
      </c>
      <c r="R171" t="s">
        <v>124</v>
      </c>
      <c r="S171" t="s">
        <v>124</v>
      </c>
      <c r="T171" t="s">
        <v>124</v>
      </c>
      <c r="U171" t="s">
        <v>124</v>
      </c>
      <c r="X171" s="19">
        <f>J171</f>
        <v>0.81194029850746263</v>
      </c>
      <c r="Y171" s="19">
        <f>N171</f>
        <v>3.1615554852992833E-4</v>
      </c>
      <c r="Z171" s="26">
        <f>(L171+Q171)/(L171+Q171+H171+K171)</f>
        <v>1.8296169239565466E-2</v>
      </c>
    </row>
    <row r="172" spans="1:26" x14ac:dyDescent="0.35">
      <c r="A172" t="s">
        <v>122</v>
      </c>
      <c r="B172" t="s">
        <v>122</v>
      </c>
      <c r="C172" t="s">
        <v>123</v>
      </c>
      <c r="D172" t="s">
        <v>100</v>
      </c>
      <c r="E172" t="s">
        <v>99</v>
      </c>
      <c r="F172" t="s">
        <v>12</v>
      </c>
      <c r="G172">
        <v>1</v>
      </c>
      <c r="H172">
        <v>272</v>
      </c>
      <c r="I172">
        <v>0.81194029850746197</v>
      </c>
      <c r="J172" s="25">
        <f t="shared" si="7"/>
        <v>0.81194029850746263</v>
      </c>
      <c r="K172">
        <v>3162</v>
      </c>
      <c r="L172">
        <v>0.999999999999999</v>
      </c>
      <c r="M172" s="16">
        <v>3.1615554852987602E-4</v>
      </c>
      <c r="N172" s="25">
        <f t="shared" si="6"/>
        <v>3.1615554852992833E-4</v>
      </c>
      <c r="O172">
        <v>0.99968384445146996</v>
      </c>
      <c r="P172" s="25">
        <f t="shared" si="8"/>
        <v>0.99968384445147007</v>
      </c>
      <c r="Q172">
        <v>63</v>
      </c>
      <c r="R172" t="s">
        <v>124</v>
      </c>
      <c r="S172" t="s">
        <v>124</v>
      </c>
      <c r="T172" t="s">
        <v>124</v>
      </c>
      <c r="U172" t="s">
        <v>124</v>
      </c>
      <c r="X172" s="19">
        <f>J172</f>
        <v>0.81194029850746263</v>
      </c>
      <c r="Y172" s="19">
        <f>N172</f>
        <v>3.1615554852992833E-4</v>
      </c>
      <c r="Z172" s="26">
        <f>(L172+Q172)/(L172+Q172+H172+K172)</f>
        <v>1.8296169239565466E-2</v>
      </c>
    </row>
    <row r="173" spans="1:26" x14ac:dyDescent="0.35">
      <c r="A173" t="s">
        <v>122</v>
      </c>
      <c r="B173" t="s">
        <v>122</v>
      </c>
      <c r="C173" t="s">
        <v>123</v>
      </c>
      <c r="D173" t="s">
        <v>100</v>
      </c>
      <c r="E173" t="s">
        <v>99</v>
      </c>
      <c r="F173" t="s">
        <v>12</v>
      </c>
      <c r="G173">
        <v>1</v>
      </c>
      <c r="H173">
        <v>272</v>
      </c>
      <c r="I173">
        <v>0.81194029850746197</v>
      </c>
      <c r="J173" s="25">
        <f t="shared" si="7"/>
        <v>0.81194029850746263</v>
      </c>
      <c r="K173">
        <v>3162</v>
      </c>
      <c r="L173">
        <v>0.999999999999999</v>
      </c>
      <c r="M173" s="16">
        <v>3.1615554852987602E-4</v>
      </c>
      <c r="N173" s="25">
        <f t="shared" si="6"/>
        <v>3.1615554852992833E-4</v>
      </c>
      <c r="O173">
        <v>0.99968384445146996</v>
      </c>
      <c r="P173" s="25">
        <f t="shared" si="8"/>
        <v>0.99968384445147007</v>
      </c>
      <c r="Q173">
        <v>63</v>
      </c>
      <c r="R173" t="s">
        <v>124</v>
      </c>
      <c r="S173" t="s">
        <v>124</v>
      </c>
      <c r="T173" t="s">
        <v>124</v>
      </c>
      <c r="U173" t="s">
        <v>124</v>
      </c>
      <c r="X173" s="19">
        <f>J173</f>
        <v>0.81194029850746263</v>
      </c>
      <c r="Y173" s="19">
        <f>N173</f>
        <v>3.1615554852992833E-4</v>
      </c>
      <c r="Z173" s="26">
        <f>(L173+Q173)/(L173+Q173+H173+K173)</f>
        <v>1.8296169239565466E-2</v>
      </c>
    </row>
    <row r="174" spans="1:26" x14ac:dyDescent="0.35">
      <c r="A174" t="s">
        <v>122</v>
      </c>
      <c r="B174" t="s">
        <v>122</v>
      </c>
      <c r="C174" t="s">
        <v>123</v>
      </c>
      <c r="D174" t="s">
        <v>100</v>
      </c>
      <c r="E174" t="s">
        <v>99</v>
      </c>
      <c r="F174" t="s">
        <v>12</v>
      </c>
      <c r="G174">
        <v>1</v>
      </c>
      <c r="H174">
        <v>272</v>
      </c>
      <c r="I174">
        <v>0.81194029850746197</v>
      </c>
      <c r="J174" s="25">
        <f t="shared" si="7"/>
        <v>0.81194029850746263</v>
      </c>
      <c r="K174">
        <v>3162</v>
      </c>
      <c r="L174">
        <v>0.999999999999999</v>
      </c>
      <c r="M174" s="16">
        <v>3.1615554852987602E-4</v>
      </c>
      <c r="N174" s="25">
        <f t="shared" si="6"/>
        <v>3.1615554852992833E-4</v>
      </c>
      <c r="O174">
        <v>0.99968384445146996</v>
      </c>
      <c r="P174" s="25">
        <f t="shared" si="8"/>
        <v>0.99968384445147007</v>
      </c>
      <c r="Q174">
        <v>63</v>
      </c>
      <c r="R174" t="s">
        <v>124</v>
      </c>
      <c r="S174" t="s">
        <v>124</v>
      </c>
      <c r="T174" t="s">
        <v>124</v>
      </c>
      <c r="U174" t="s">
        <v>124</v>
      </c>
      <c r="X174" s="19">
        <f>J174</f>
        <v>0.81194029850746263</v>
      </c>
      <c r="Y174" s="19">
        <f>N174</f>
        <v>3.1615554852992833E-4</v>
      </c>
      <c r="Z174" s="26">
        <f>(L174+Q174)/(L174+Q174+H174+K174)</f>
        <v>1.8296169239565466E-2</v>
      </c>
    </row>
    <row r="175" spans="1:26" x14ac:dyDescent="0.35">
      <c r="A175" t="s">
        <v>122</v>
      </c>
      <c r="B175" t="s">
        <v>122</v>
      </c>
      <c r="C175" t="s">
        <v>123</v>
      </c>
      <c r="D175" t="s">
        <v>100</v>
      </c>
      <c r="E175" t="s">
        <v>99</v>
      </c>
      <c r="F175" t="s">
        <v>12</v>
      </c>
      <c r="G175">
        <v>1</v>
      </c>
      <c r="H175">
        <v>272</v>
      </c>
      <c r="I175">
        <v>0.81194029850746197</v>
      </c>
      <c r="J175" s="25">
        <f t="shared" si="7"/>
        <v>0.81194029850746263</v>
      </c>
      <c r="K175">
        <v>3162</v>
      </c>
      <c r="L175">
        <v>0.999999999999999</v>
      </c>
      <c r="M175" s="16">
        <v>3.1615554852987602E-4</v>
      </c>
      <c r="N175" s="25">
        <f t="shared" si="6"/>
        <v>3.1615554852992833E-4</v>
      </c>
      <c r="O175">
        <v>0.99968384445146996</v>
      </c>
      <c r="P175" s="25">
        <f t="shared" si="8"/>
        <v>0.99968384445147007</v>
      </c>
      <c r="Q175">
        <v>63</v>
      </c>
      <c r="R175" t="s">
        <v>124</v>
      </c>
      <c r="S175" t="s">
        <v>124</v>
      </c>
      <c r="T175" t="s">
        <v>124</v>
      </c>
      <c r="U175" t="s">
        <v>124</v>
      </c>
      <c r="X175" s="19">
        <f>J175</f>
        <v>0.81194029850746263</v>
      </c>
      <c r="Y175" s="19">
        <f>N175</f>
        <v>3.1615554852992833E-4</v>
      </c>
      <c r="Z175" s="26">
        <f>(L175+Q175)/(L175+Q175+H175+K175)</f>
        <v>1.8296169239565466E-2</v>
      </c>
    </row>
    <row r="176" spans="1:26" x14ac:dyDescent="0.35">
      <c r="A176" t="s">
        <v>122</v>
      </c>
      <c r="B176" t="s">
        <v>122</v>
      </c>
      <c r="C176" t="s">
        <v>123</v>
      </c>
      <c r="D176" t="s">
        <v>100</v>
      </c>
      <c r="E176" t="s">
        <v>99</v>
      </c>
      <c r="F176" t="s">
        <v>12</v>
      </c>
      <c r="G176">
        <v>1</v>
      </c>
      <c r="H176">
        <v>272</v>
      </c>
      <c r="I176">
        <v>0.81194029850746197</v>
      </c>
      <c r="J176" s="25">
        <f t="shared" si="7"/>
        <v>0.81194029850746263</v>
      </c>
      <c r="K176">
        <v>3162</v>
      </c>
      <c r="L176">
        <v>0.999999999999999</v>
      </c>
      <c r="M176" s="16">
        <v>3.1615554852987602E-4</v>
      </c>
      <c r="N176" s="25">
        <f t="shared" si="6"/>
        <v>3.1615554852992833E-4</v>
      </c>
      <c r="O176">
        <v>0.99968384445146996</v>
      </c>
      <c r="P176" s="25">
        <f t="shared" si="8"/>
        <v>0.99968384445147007</v>
      </c>
      <c r="Q176">
        <v>63</v>
      </c>
      <c r="R176" t="s">
        <v>124</v>
      </c>
      <c r="S176" t="s">
        <v>124</v>
      </c>
      <c r="T176" t="s">
        <v>124</v>
      </c>
      <c r="U176" t="s">
        <v>124</v>
      </c>
      <c r="X176" s="19">
        <f>J176</f>
        <v>0.81194029850746263</v>
      </c>
      <c r="Y176" s="19">
        <f>N176</f>
        <v>3.1615554852992833E-4</v>
      </c>
      <c r="Z176" s="26">
        <f>(L176+Q176)/(L176+Q176+H176+K176)</f>
        <v>1.8296169239565466E-2</v>
      </c>
    </row>
    <row r="177" spans="1:26" x14ac:dyDescent="0.35">
      <c r="A177" t="s">
        <v>122</v>
      </c>
      <c r="B177" t="s">
        <v>122</v>
      </c>
      <c r="C177" t="s">
        <v>123</v>
      </c>
      <c r="D177" t="s">
        <v>100</v>
      </c>
      <c r="E177" t="s">
        <v>99</v>
      </c>
      <c r="F177" t="s">
        <v>12</v>
      </c>
      <c r="G177">
        <v>1</v>
      </c>
      <c r="H177">
        <v>272</v>
      </c>
      <c r="I177">
        <v>0.81194029850746197</v>
      </c>
      <c r="J177" s="25">
        <f t="shared" si="7"/>
        <v>0.81194029850746263</v>
      </c>
      <c r="K177">
        <v>3162</v>
      </c>
      <c r="L177">
        <v>0.999999999999999</v>
      </c>
      <c r="M177" s="16">
        <v>3.1615554852987602E-4</v>
      </c>
      <c r="N177" s="25">
        <f t="shared" si="6"/>
        <v>3.1615554852992833E-4</v>
      </c>
      <c r="O177">
        <v>0.99968384445146996</v>
      </c>
      <c r="P177" s="25">
        <f t="shared" si="8"/>
        <v>0.99968384445147007</v>
      </c>
      <c r="Q177">
        <v>63</v>
      </c>
      <c r="R177" t="s">
        <v>124</v>
      </c>
      <c r="S177" t="s">
        <v>124</v>
      </c>
      <c r="T177" t="s">
        <v>124</v>
      </c>
      <c r="U177" t="s">
        <v>124</v>
      </c>
      <c r="X177" s="19">
        <f>J177</f>
        <v>0.81194029850746263</v>
      </c>
      <c r="Y177" s="19">
        <f>N177</f>
        <v>3.1615554852992833E-4</v>
      </c>
      <c r="Z177" s="26">
        <f>(L177+Q177)/(L177+Q177+H177+K177)</f>
        <v>1.8296169239565466E-2</v>
      </c>
    </row>
    <row r="178" spans="1:26" x14ac:dyDescent="0.35">
      <c r="A178" t="s">
        <v>122</v>
      </c>
      <c r="B178" t="s">
        <v>122</v>
      </c>
      <c r="C178" t="s">
        <v>123</v>
      </c>
      <c r="D178" t="s">
        <v>100</v>
      </c>
      <c r="E178" t="s">
        <v>99</v>
      </c>
      <c r="F178" t="s">
        <v>12</v>
      </c>
      <c r="G178">
        <v>1</v>
      </c>
      <c r="H178">
        <v>272</v>
      </c>
      <c r="I178">
        <v>0.81194029850746197</v>
      </c>
      <c r="J178" s="25">
        <f t="shared" si="7"/>
        <v>0.81194029850746263</v>
      </c>
      <c r="K178">
        <v>3162</v>
      </c>
      <c r="L178">
        <v>0.999999999999999</v>
      </c>
      <c r="M178" s="16">
        <v>3.1615554852987602E-4</v>
      </c>
      <c r="N178" s="25">
        <f t="shared" si="6"/>
        <v>3.1615554852992833E-4</v>
      </c>
      <c r="O178">
        <v>0.99968384445146996</v>
      </c>
      <c r="P178" s="25">
        <f t="shared" si="8"/>
        <v>0.99968384445147007</v>
      </c>
      <c r="Q178">
        <v>63</v>
      </c>
      <c r="R178" t="s">
        <v>124</v>
      </c>
      <c r="S178" t="s">
        <v>124</v>
      </c>
      <c r="T178" t="s">
        <v>124</v>
      </c>
      <c r="U178" t="s">
        <v>124</v>
      </c>
      <c r="X178" s="19">
        <f>J178</f>
        <v>0.81194029850746263</v>
      </c>
      <c r="Y178" s="19">
        <f>N178</f>
        <v>3.1615554852992833E-4</v>
      </c>
      <c r="Z178" s="26">
        <f>(L178+Q178)/(L178+Q178+H178+K178)</f>
        <v>1.8296169239565466E-2</v>
      </c>
    </row>
    <row r="179" spans="1:26" x14ac:dyDescent="0.35">
      <c r="A179" t="s">
        <v>122</v>
      </c>
      <c r="B179" t="s">
        <v>122</v>
      </c>
      <c r="C179" t="s">
        <v>123</v>
      </c>
      <c r="D179" t="s">
        <v>100</v>
      </c>
      <c r="E179" t="s">
        <v>99</v>
      </c>
      <c r="F179" t="s">
        <v>12</v>
      </c>
      <c r="G179">
        <v>1</v>
      </c>
      <c r="H179">
        <v>272</v>
      </c>
      <c r="I179">
        <v>0.81194029850746197</v>
      </c>
      <c r="J179" s="25">
        <f t="shared" si="7"/>
        <v>0.81194029850746263</v>
      </c>
      <c r="K179">
        <v>3162</v>
      </c>
      <c r="L179">
        <v>0.999999999999999</v>
      </c>
      <c r="M179" s="16">
        <v>3.1615554852987602E-4</v>
      </c>
      <c r="N179" s="25">
        <f t="shared" si="6"/>
        <v>3.1615554852992833E-4</v>
      </c>
      <c r="O179">
        <v>0.99968384445146996</v>
      </c>
      <c r="P179" s="25">
        <f t="shared" si="8"/>
        <v>0.99968384445147007</v>
      </c>
      <c r="Q179">
        <v>63</v>
      </c>
      <c r="R179" t="s">
        <v>124</v>
      </c>
      <c r="S179" t="s">
        <v>124</v>
      </c>
      <c r="T179" t="s">
        <v>124</v>
      </c>
      <c r="U179" t="s">
        <v>124</v>
      </c>
      <c r="X179" s="19">
        <f>J179</f>
        <v>0.81194029850746263</v>
      </c>
      <c r="Y179" s="19">
        <f>N179</f>
        <v>3.1615554852992833E-4</v>
      </c>
      <c r="Z179" s="26">
        <f>(L179+Q179)/(L179+Q179+H179+K179)</f>
        <v>1.8296169239565466E-2</v>
      </c>
    </row>
    <row r="180" spans="1:26" x14ac:dyDescent="0.35">
      <c r="A180" t="s">
        <v>122</v>
      </c>
      <c r="B180" t="s">
        <v>122</v>
      </c>
      <c r="C180" t="s">
        <v>123</v>
      </c>
      <c r="D180" t="s">
        <v>100</v>
      </c>
      <c r="E180" t="s">
        <v>99</v>
      </c>
      <c r="F180" t="s">
        <v>12</v>
      </c>
      <c r="G180">
        <v>1</v>
      </c>
      <c r="H180">
        <v>272</v>
      </c>
      <c r="I180">
        <v>0.81194029850746197</v>
      </c>
      <c r="J180" s="25">
        <f t="shared" si="7"/>
        <v>0.81194029850746263</v>
      </c>
      <c r="K180">
        <v>3162</v>
      </c>
      <c r="L180">
        <v>0.999999999999999</v>
      </c>
      <c r="M180" s="16">
        <v>3.1615554852987602E-4</v>
      </c>
      <c r="N180" s="25">
        <f t="shared" si="6"/>
        <v>3.1615554852992833E-4</v>
      </c>
      <c r="O180">
        <v>0.99968384445146996</v>
      </c>
      <c r="P180" s="25">
        <f t="shared" si="8"/>
        <v>0.99968384445147007</v>
      </c>
      <c r="Q180">
        <v>63</v>
      </c>
      <c r="R180" t="s">
        <v>124</v>
      </c>
      <c r="S180" t="s">
        <v>124</v>
      </c>
      <c r="T180" t="s">
        <v>124</v>
      </c>
      <c r="U180" t="s">
        <v>124</v>
      </c>
      <c r="X180" s="19">
        <f>J180</f>
        <v>0.81194029850746263</v>
      </c>
      <c r="Y180" s="19">
        <f>N180</f>
        <v>3.1615554852992833E-4</v>
      </c>
      <c r="Z180" s="26">
        <f>(L180+Q180)/(L180+Q180+H180+K180)</f>
        <v>1.8296169239565466E-2</v>
      </c>
    </row>
    <row r="181" spans="1:26" x14ac:dyDescent="0.35">
      <c r="A181" t="s">
        <v>122</v>
      </c>
      <c r="B181" t="s">
        <v>122</v>
      </c>
      <c r="C181" t="s">
        <v>123</v>
      </c>
      <c r="D181" t="s">
        <v>100</v>
      </c>
      <c r="E181" t="s">
        <v>99</v>
      </c>
      <c r="F181" t="s">
        <v>12</v>
      </c>
      <c r="G181">
        <v>1</v>
      </c>
      <c r="H181">
        <v>272</v>
      </c>
      <c r="I181">
        <v>0.81194029850746197</v>
      </c>
      <c r="J181" s="25">
        <f t="shared" si="7"/>
        <v>0.81194029850746263</v>
      </c>
      <c r="K181">
        <v>3162</v>
      </c>
      <c r="L181">
        <v>0.999999999999999</v>
      </c>
      <c r="M181" s="16">
        <v>3.1615554852987602E-4</v>
      </c>
      <c r="N181" s="25">
        <f t="shared" si="6"/>
        <v>3.1615554852992833E-4</v>
      </c>
      <c r="O181">
        <v>0.99968384445146996</v>
      </c>
      <c r="P181" s="25">
        <f t="shared" si="8"/>
        <v>0.99968384445147007</v>
      </c>
      <c r="Q181">
        <v>63</v>
      </c>
      <c r="R181" t="s">
        <v>124</v>
      </c>
      <c r="S181" t="s">
        <v>124</v>
      </c>
      <c r="T181" t="s">
        <v>124</v>
      </c>
      <c r="U181" t="s">
        <v>124</v>
      </c>
      <c r="X181" s="19">
        <f>J181</f>
        <v>0.81194029850746263</v>
      </c>
      <c r="Y181" s="19">
        <f>N181</f>
        <v>3.1615554852992833E-4</v>
      </c>
      <c r="Z181" s="26">
        <f>(L181+Q181)/(L181+Q181+H181+K181)</f>
        <v>1.8296169239565466E-2</v>
      </c>
    </row>
    <row r="182" spans="1:26" x14ac:dyDescent="0.35">
      <c r="A182" t="s">
        <v>122</v>
      </c>
      <c r="B182" t="s">
        <v>122</v>
      </c>
      <c r="C182" t="s">
        <v>123</v>
      </c>
      <c r="D182" t="s">
        <v>100</v>
      </c>
      <c r="E182" t="s">
        <v>99</v>
      </c>
      <c r="F182" t="s">
        <v>12</v>
      </c>
      <c r="G182">
        <v>1</v>
      </c>
      <c r="H182">
        <v>272</v>
      </c>
      <c r="I182">
        <v>0.81194029850746197</v>
      </c>
      <c r="J182" s="25">
        <f t="shared" si="7"/>
        <v>0.81194029850746263</v>
      </c>
      <c r="K182">
        <v>3162</v>
      </c>
      <c r="L182">
        <v>0.999999999999999</v>
      </c>
      <c r="M182" s="16">
        <v>3.1615554852987602E-4</v>
      </c>
      <c r="N182" s="25">
        <f t="shared" si="6"/>
        <v>3.1615554852992833E-4</v>
      </c>
      <c r="O182">
        <v>0.99968384445146996</v>
      </c>
      <c r="P182" s="25">
        <f t="shared" si="8"/>
        <v>0.99968384445147007</v>
      </c>
      <c r="Q182">
        <v>63</v>
      </c>
      <c r="R182" t="s">
        <v>124</v>
      </c>
      <c r="S182" t="s">
        <v>124</v>
      </c>
      <c r="T182" t="s">
        <v>124</v>
      </c>
      <c r="U182" t="s">
        <v>124</v>
      </c>
      <c r="X182" s="19">
        <f>J182</f>
        <v>0.81194029850746263</v>
      </c>
      <c r="Y182" s="19">
        <f>N182</f>
        <v>3.1615554852992833E-4</v>
      </c>
      <c r="Z182" s="26">
        <f>(L182+Q182)/(L182+Q182+H182+K182)</f>
        <v>1.8296169239565466E-2</v>
      </c>
    </row>
    <row r="183" spans="1:26" x14ac:dyDescent="0.35">
      <c r="A183" t="s">
        <v>122</v>
      </c>
      <c r="B183" t="s">
        <v>122</v>
      </c>
      <c r="C183" t="s">
        <v>123</v>
      </c>
      <c r="D183" t="s">
        <v>100</v>
      </c>
      <c r="E183" t="s">
        <v>99</v>
      </c>
      <c r="F183" t="s">
        <v>12</v>
      </c>
      <c r="G183">
        <v>1</v>
      </c>
      <c r="H183">
        <v>272</v>
      </c>
      <c r="I183">
        <v>0.81194029850746197</v>
      </c>
      <c r="J183" s="25">
        <f t="shared" si="7"/>
        <v>0.81194029850746263</v>
      </c>
      <c r="K183">
        <v>3162</v>
      </c>
      <c r="L183">
        <v>0.999999999999999</v>
      </c>
      <c r="M183" s="16">
        <v>3.1615554852987602E-4</v>
      </c>
      <c r="N183" s="25">
        <f t="shared" si="6"/>
        <v>3.1615554852992833E-4</v>
      </c>
      <c r="O183">
        <v>0.99968384445146996</v>
      </c>
      <c r="P183" s="25">
        <f t="shared" si="8"/>
        <v>0.99968384445147007</v>
      </c>
      <c r="Q183">
        <v>63</v>
      </c>
      <c r="R183" t="s">
        <v>124</v>
      </c>
      <c r="S183" t="s">
        <v>124</v>
      </c>
      <c r="T183" t="s">
        <v>124</v>
      </c>
      <c r="U183" t="s">
        <v>124</v>
      </c>
      <c r="X183" s="19">
        <f>J183</f>
        <v>0.81194029850746263</v>
      </c>
      <c r="Y183" s="19">
        <f>N183</f>
        <v>3.1615554852992833E-4</v>
      </c>
      <c r="Z183" s="26">
        <f>(L183+Q183)/(L183+Q183+H183+K183)</f>
        <v>1.8296169239565466E-2</v>
      </c>
    </row>
    <row r="184" spans="1:26" x14ac:dyDescent="0.35">
      <c r="A184" t="s">
        <v>122</v>
      </c>
      <c r="B184" t="s">
        <v>122</v>
      </c>
      <c r="C184" t="s">
        <v>123</v>
      </c>
      <c r="D184" t="s">
        <v>100</v>
      </c>
      <c r="E184" t="s">
        <v>99</v>
      </c>
      <c r="F184" t="s">
        <v>12</v>
      </c>
      <c r="G184">
        <v>1</v>
      </c>
      <c r="H184">
        <v>272</v>
      </c>
      <c r="I184">
        <v>0.81194029850746197</v>
      </c>
      <c r="J184" s="25">
        <f t="shared" si="7"/>
        <v>0.81194029850746263</v>
      </c>
      <c r="K184">
        <v>3162</v>
      </c>
      <c r="L184">
        <v>0.999999999999999</v>
      </c>
      <c r="M184" s="16">
        <v>3.1615554852987602E-4</v>
      </c>
      <c r="N184" s="25">
        <f t="shared" si="6"/>
        <v>3.1615554852992833E-4</v>
      </c>
      <c r="O184">
        <v>0.99968384445146996</v>
      </c>
      <c r="P184" s="25">
        <f t="shared" si="8"/>
        <v>0.99968384445147007</v>
      </c>
      <c r="Q184">
        <v>63</v>
      </c>
      <c r="R184" t="s">
        <v>124</v>
      </c>
      <c r="S184" t="s">
        <v>124</v>
      </c>
      <c r="T184" t="s">
        <v>124</v>
      </c>
      <c r="U184" t="s">
        <v>124</v>
      </c>
      <c r="X184" s="19">
        <f>J184</f>
        <v>0.81194029850746263</v>
      </c>
      <c r="Y184" s="19">
        <f>N184</f>
        <v>3.1615554852992833E-4</v>
      </c>
      <c r="Z184" s="26">
        <f>(L184+Q184)/(L184+Q184+H184+K184)</f>
        <v>1.8296169239565466E-2</v>
      </c>
    </row>
    <row r="185" spans="1:26" x14ac:dyDescent="0.35">
      <c r="A185" t="s">
        <v>122</v>
      </c>
      <c r="B185" t="s">
        <v>122</v>
      </c>
      <c r="C185" t="s">
        <v>123</v>
      </c>
      <c r="D185" t="s">
        <v>100</v>
      </c>
      <c r="E185" t="s">
        <v>99</v>
      </c>
      <c r="F185" t="s">
        <v>12</v>
      </c>
      <c r="G185">
        <v>1</v>
      </c>
      <c r="H185">
        <v>272</v>
      </c>
      <c r="I185">
        <v>0.81194029850746197</v>
      </c>
      <c r="J185" s="25">
        <f t="shared" si="7"/>
        <v>0.81194029850746263</v>
      </c>
      <c r="K185">
        <v>3162</v>
      </c>
      <c r="L185">
        <v>0.999999999999999</v>
      </c>
      <c r="M185" s="16">
        <v>3.1615554852987602E-4</v>
      </c>
      <c r="N185" s="25">
        <f t="shared" si="6"/>
        <v>3.1615554852992833E-4</v>
      </c>
      <c r="O185">
        <v>0.99968384445146996</v>
      </c>
      <c r="P185" s="25">
        <f t="shared" si="8"/>
        <v>0.99968384445147007</v>
      </c>
      <c r="Q185">
        <v>63</v>
      </c>
      <c r="R185" t="s">
        <v>124</v>
      </c>
      <c r="S185" t="s">
        <v>124</v>
      </c>
      <c r="T185" t="s">
        <v>124</v>
      </c>
      <c r="U185" t="s">
        <v>124</v>
      </c>
      <c r="X185" s="19">
        <f>J185</f>
        <v>0.81194029850746263</v>
      </c>
      <c r="Y185" s="19">
        <f>N185</f>
        <v>3.1615554852992833E-4</v>
      </c>
      <c r="Z185" s="26">
        <f>(L185+Q185)/(L185+Q185+H185+K185)</f>
        <v>1.8296169239565466E-2</v>
      </c>
    </row>
    <row r="186" spans="1:26" x14ac:dyDescent="0.35">
      <c r="A186" t="s">
        <v>122</v>
      </c>
      <c r="B186" t="s">
        <v>122</v>
      </c>
      <c r="C186" t="s">
        <v>123</v>
      </c>
      <c r="D186" t="s">
        <v>100</v>
      </c>
      <c r="E186" t="s">
        <v>99</v>
      </c>
      <c r="F186" t="s">
        <v>12</v>
      </c>
      <c r="G186">
        <v>1</v>
      </c>
      <c r="H186">
        <v>272</v>
      </c>
      <c r="I186">
        <v>0.81194029850746197</v>
      </c>
      <c r="J186" s="25">
        <f t="shared" si="7"/>
        <v>0.81194029850746263</v>
      </c>
      <c r="K186">
        <v>3162</v>
      </c>
      <c r="L186">
        <v>0.999999999999999</v>
      </c>
      <c r="M186" s="16">
        <v>3.1615554852987602E-4</v>
      </c>
      <c r="N186" s="25">
        <f t="shared" si="6"/>
        <v>3.1615554852992833E-4</v>
      </c>
      <c r="O186">
        <v>0.99968384445146996</v>
      </c>
      <c r="P186" s="25">
        <f t="shared" si="8"/>
        <v>0.99968384445147007</v>
      </c>
      <c r="Q186">
        <v>63</v>
      </c>
      <c r="R186" t="s">
        <v>124</v>
      </c>
      <c r="S186" t="s">
        <v>124</v>
      </c>
      <c r="T186" t="s">
        <v>124</v>
      </c>
      <c r="U186" t="s">
        <v>124</v>
      </c>
      <c r="X186" s="19">
        <f>J186</f>
        <v>0.81194029850746263</v>
      </c>
      <c r="Y186" s="19">
        <f>N186</f>
        <v>3.1615554852992833E-4</v>
      </c>
      <c r="Z186" s="26">
        <f>(L186+Q186)/(L186+Q186+H186+K186)</f>
        <v>1.8296169239565466E-2</v>
      </c>
    </row>
    <row r="187" spans="1:26" x14ac:dyDescent="0.35">
      <c r="A187" t="s">
        <v>122</v>
      </c>
      <c r="B187" t="s">
        <v>122</v>
      </c>
      <c r="C187" t="s">
        <v>123</v>
      </c>
      <c r="D187" t="s">
        <v>100</v>
      </c>
      <c r="E187" t="s">
        <v>99</v>
      </c>
      <c r="F187" t="s">
        <v>12</v>
      </c>
      <c r="G187">
        <v>1</v>
      </c>
      <c r="H187">
        <v>272</v>
      </c>
      <c r="I187">
        <v>0.81194029850746197</v>
      </c>
      <c r="J187" s="25">
        <f t="shared" si="7"/>
        <v>0.81194029850746263</v>
      </c>
      <c r="K187">
        <v>3162</v>
      </c>
      <c r="L187">
        <v>0.999999999999999</v>
      </c>
      <c r="M187" s="16">
        <v>3.1615554852987602E-4</v>
      </c>
      <c r="N187" s="25">
        <f t="shared" si="6"/>
        <v>3.1615554852992833E-4</v>
      </c>
      <c r="O187">
        <v>0.99968384445146996</v>
      </c>
      <c r="P187" s="25">
        <f t="shared" si="8"/>
        <v>0.99968384445147007</v>
      </c>
      <c r="Q187">
        <v>63</v>
      </c>
      <c r="R187" t="s">
        <v>124</v>
      </c>
      <c r="S187" t="s">
        <v>124</v>
      </c>
      <c r="T187" t="s">
        <v>124</v>
      </c>
      <c r="U187" t="s">
        <v>124</v>
      </c>
      <c r="X187" s="19">
        <f>J187</f>
        <v>0.81194029850746263</v>
      </c>
      <c r="Y187" s="19">
        <f>N187</f>
        <v>3.1615554852992833E-4</v>
      </c>
      <c r="Z187" s="26">
        <f>(L187+Q187)/(L187+Q187+H187+K187)</f>
        <v>1.8296169239565466E-2</v>
      </c>
    </row>
    <row r="188" spans="1:26" x14ac:dyDescent="0.35">
      <c r="A188" t="s">
        <v>122</v>
      </c>
      <c r="B188" t="s">
        <v>122</v>
      </c>
      <c r="C188" t="s">
        <v>123</v>
      </c>
      <c r="D188" t="s">
        <v>100</v>
      </c>
      <c r="E188" t="s">
        <v>99</v>
      </c>
      <c r="F188" t="s">
        <v>12</v>
      </c>
      <c r="G188">
        <v>1</v>
      </c>
      <c r="H188">
        <v>272</v>
      </c>
      <c r="I188">
        <v>0.81194029850746197</v>
      </c>
      <c r="J188" s="25">
        <f t="shared" si="7"/>
        <v>0.81194029850746263</v>
      </c>
      <c r="K188">
        <v>3162</v>
      </c>
      <c r="L188">
        <v>0.999999999999999</v>
      </c>
      <c r="M188" s="16">
        <v>3.1615554852987602E-4</v>
      </c>
      <c r="N188" s="25">
        <f t="shared" si="6"/>
        <v>3.1615554852992833E-4</v>
      </c>
      <c r="O188">
        <v>0.99968384445146996</v>
      </c>
      <c r="P188" s="25">
        <f t="shared" si="8"/>
        <v>0.99968384445147007</v>
      </c>
      <c r="Q188">
        <v>63</v>
      </c>
      <c r="R188" t="s">
        <v>124</v>
      </c>
      <c r="S188" t="s">
        <v>124</v>
      </c>
      <c r="T188" t="s">
        <v>124</v>
      </c>
      <c r="U188" t="s">
        <v>124</v>
      </c>
      <c r="X188" s="19">
        <f>J188</f>
        <v>0.81194029850746263</v>
      </c>
      <c r="Y188" s="19">
        <f>N188</f>
        <v>3.1615554852992833E-4</v>
      </c>
      <c r="Z188" s="26">
        <f>(L188+Q188)/(L188+Q188+H188+K188)</f>
        <v>1.8296169239565466E-2</v>
      </c>
    </row>
    <row r="189" spans="1:26" x14ac:dyDescent="0.35">
      <c r="A189" t="s">
        <v>122</v>
      </c>
      <c r="B189" t="s">
        <v>122</v>
      </c>
      <c r="C189" t="s">
        <v>123</v>
      </c>
      <c r="D189" t="s">
        <v>100</v>
      </c>
      <c r="E189" t="s">
        <v>99</v>
      </c>
      <c r="F189" t="s">
        <v>12</v>
      </c>
      <c r="G189">
        <v>1</v>
      </c>
      <c r="H189">
        <v>272</v>
      </c>
      <c r="I189">
        <v>0.81194029850746197</v>
      </c>
      <c r="J189" s="25">
        <f t="shared" si="7"/>
        <v>0.81194029850746263</v>
      </c>
      <c r="K189">
        <v>3162</v>
      </c>
      <c r="L189">
        <v>0.999999999999999</v>
      </c>
      <c r="M189" s="16">
        <v>3.1615554852987602E-4</v>
      </c>
      <c r="N189" s="25">
        <f t="shared" si="6"/>
        <v>3.1615554852992833E-4</v>
      </c>
      <c r="O189">
        <v>0.99968384445146996</v>
      </c>
      <c r="P189" s="25">
        <f t="shared" si="8"/>
        <v>0.99968384445147007</v>
      </c>
      <c r="Q189">
        <v>63</v>
      </c>
      <c r="R189" t="s">
        <v>124</v>
      </c>
      <c r="S189" t="s">
        <v>124</v>
      </c>
      <c r="T189" t="s">
        <v>124</v>
      </c>
      <c r="U189" t="s">
        <v>124</v>
      </c>
      <c r="X189" s="19">
        <f>J189</f>
        <v>0.81194029850746263</v>
      </c>
      <c r="Y189" s="19">
        <f>N189</f>
        <v>3.1615554852992833E-4</v>
      </c>
      <c r="Z189" s="26">
        <f>(L189+Q189)/(L189+Q189+H189+K189)</f>
        <v>1.8296169239565466E-2</v>
      </c>
    </row>
    <row r="190" spans="1:26" x14ac:dyDescent="0.35">
      <c r="A190" t="s">
        <v>122</v>
      </c>
      <c r="B190" t="s">
        <v>122</v>
      </c>
      <c r="C190" t="s">
        <v>123</v>
      </c>
      <c r="D190" t="s">
        <v>100</v>
      </c>
      <c r="E190" t="s">
        <v>99</v>
      </c>
      <c r="F190" t="s">
        <v>12</v>
      </c>
      <c r="G190">
        <v>1</v>
      </c>
      <c r="H190">
        <v>272</v>
      </c>
      <c r="I190">
        <v>0.81194029850746197</v>
      </c>
      <c r="J190" s="25">
        <f t="shared" si="7"/>
        <v>0.81194029850746263</v>
      </c>
      <c r="K190">
        <v>3162</v>
      </c>
      <c r="L190">
        <v>0.999999999999999</v>
      </c>
      <c r="M190" s="16">
        <v>3.1615554852987602E-4</v>
      </c>
      <c r="N190" s="25">
        <f t="shared" si="6"/>
        <v>3.1615554852992833E-4</v>
      </c>
      <c r="O190">
        <v>0.99968384445146996</v>
      </c>
      <c r="P190" s="25">
        <f t="shared" si="8"/>
        <v>0.99968384445147007</v>
      </c>
      <c r="Q190">
        <v>63</v>
      </c>
      <c r="R190" t="s">
        <v>124</v>
      </c>
      <c r="S190" t="s">
        <v>124</v>
      </c>
      <c r="T190" t="s">
        <v>124</v>
      </c>
      <c r="U190" t="s">
        <v>124</v>
      </c>
      <c r="X190" s="19">
        <f>J190</f>
        <v>0.81194029850746263</v>
      </c>
      <c r="Y190" s="19">
        <f>N190</f>
        <v>3.1615554852992833E-4</v>
      </c>
      <c r="Z190" s="26">
        <f>(L190+Q190)/(L190+Q190+H190+K190)</f>
        <v>1.8296169239565466E-2</v>
      </c>
    </row>
    <row r="191" spans="1:26" x14ac:dyDescent="0.35">
      <c r="A191" t="s">
        <v>122</v>
      </c>
      <c r="B191" t="s">
        <v>122</v>
      </c>
      <c r="C191" t="s">
        <v>123</v>
      </c>
      <c r="D191" t="s">
        <v>100</v>
      </c>
      <c r="E191" t="s">
        <v>99</v>
      </c>
      <c r="F191" t="s">
        <v>12</v>
      </c>
      <c r="G191">
        <v>1</v>
      </c>
      <c r="H191">
        <v>272</v>
      </c>
      <c r="I191">
        <v>0.81194029850746197</v>
      </c>
      <c r="J191" s="25">
        <f t="shared" si="7"/>
        <v>0.81194029850746263</v>
      </c>
      <c r="K191">
        <v>3162</v>
      </c>
      <c r="L191">
        <v>0.999999999999999</v>
      </c>
      <c r="M191" s="16">
        <v>3.1615554852987602E-4</v>
      </c>
      <c r="N191" s="25">
        <f t="shared" si="6"/>
        <v>3.1615554852992833E-4</v>
      </c>
      <c r="O191">
        <v>0.99968384445146996</v>
      </c>
      <c r="P191" s="25">
        <f t="shared" si="8"/>
        <v>0.99968384445147007</v>
      </c>
      <c r="Q191">
        <v>63</v>
      </c>
      <c r="R191" t="s">
        <v>124</v>
      </c>
      <c r="S191" t="s">
        <v>124</v>
      </c>
      <c r="T191" t="s">
        <v>124</v>
      </c>
      <c r="U191" t="s">
        <v>124</v>
      </c>
      <c r="X191" s="19">
        <f>J191</f>
        <v>0.81194029850746263</v>
      </c>
      <c r="Y191" s="19">
        <f>N191</f>
        <v>3.1615554852992833E-4</v>
      </c>
      <c r="Z191" s="26">
        <f>(L191+Q191)/(L191+Q191+H191+K191)</f>
        <v>1.8296169239565466E-2</v>
      </c>
    </row>
    <row r="192" spans="1:26" x14ac:dyDescent="0.35">
      <c r="A192" t="s">
        <v>122</v>
      </c>
      <c r="B192" t="s">
        <v>122</v>
      </c>
      <c r="C192" t="s">
        <v>123</v>
      </c>
      <c r="D192" t="s">
        <v>100</v>
      </c>
      <c r="E192" t="s">
        <v>99</v>
      </c>
      <c r="F192" t="s">
        <v>12</v>
      </c>
      <c r="G192">
        <v>1</v>
      </c>
      <c r="H192">
        <v>272</v>
      </c>
      <c r="I192">
        <v>0.81194029850746197</v>
      </c>
      <c r="J192" s="25">
        <f t="shared" si="7"/>
        <v>0.81194029850746263</v>
      </c>
      <c r="K192">
        <v>3162</v>
      </c>
      <c r="L192">
        <v>0.999999999999999</v>
      </c>
      <c r="M192" s="16">
        <v>3.1615554852987602E-4</v>
      </c>
      <c r="N192" s="25">
        <f t="shared" si="6"/>
        <v>3.1615554852992833E-4</v>
      </c>
      <c r="O192">
        <v>0.99968384445146996</v>
      </c>
      <c r="P192" s="25">
        <f t="shared" si="8"/>
        <v>0.99968384445147007</v>
      </c>
      <c r="Q192">
        <v>63</v>
      </c>
      <c r="R192" t="s">
        <v>124</v>
      </c>
      <c r="S192" t="s">
        <v>124</v>
      </c>
      <c r="T192" t="s">
        <v>124</v>
      </c>
      <c r="U192" t="s">
        <v>124</v>
      </c>
      <c r="X192" s="19">
        <f>J192</f>
        <v>0.81194029850746263</v>
      </c>
      <c r="Y192" s="19">
        <f>N192</f>
        <v>3.1615554852992833E-4</v>
      </c>
      <c r="Z192" s="26">
        <f>(L192+Q192)/(L192+Q192+H192+K192)</f>
        <v>1.8296169239565466E-2</v>
      </c>
    </row>
    <row r="193" spans="1:26" x14ac:dyDescent="0.35">
      <c r="A193" t="s">
        <v>122</v>
      </c>
      <c r="B193" t="s">
        <v>122</v>
      </c>
      <c r="C193" t="s">
        <v>123</v>
      </c>
      <c r="D193" t="s">
        <v>100</v>
      </c>
      <c r="E193" t="s">
        <v>99</v>
      </c>
      <c r="F193" t="s">
        <v>12</v>
      </c>
      <c r="G193">
        <v>1</v>
      </c>
      <c r="H193">
        <v>272</v>
      </c>
      <c r="I193">
        <v>0.81194029850746197</v>
      </c>
      <c r="J193" s="25">
        <f t="shared" si="7"/>
        <v>0.81194029850746263</v>
      </c>
      <c r="K193">
        <v>3162</v>
      </c>
      <c r="L193">
        <v>0.999999999999999</v>
      </c>
      <c r="M193" s="16">
        <v>3.1615554852987602E-4</v>
      </c>
      <c r="N193" s="25">
        <f t="shared" si="6"/>
        <v>3.1615554852992833E-4</v>
      </c>
      <c r="O193">
        <v>0.99968384445146996</v>
      </c>
      <c r="P193" s="25">
        <f t="shared" si="8"/>
        <v>0.99968384445147007</v>
      </c>
      <c r="Q193">
        <v>63</v>
      </c>
      <c r="R193" t="s">
        <v>124</v>
      </c>
      <c r="S193" t="s">
        <v>124</v>
      </c>
      <c r="T193" t="s">
        <v>124</v>
      </c>
      <c r="U193" t="s">
        <v>124</v>
      </c>
      <c r="X193" s="19">
        <f>J193</f>
        <v>0.81194029850746263</v>
      </c>
      <c r="Y193" s="19">
        <f>N193</f>
        <v>3.1615554852992833E-4</v>
      </c>
      <c r="Z193" s="26">
        <f>(L193+Q193)/(L193+Q193+H193+K193)</f>
        <v>1.8296169239565466E-2</v>
      </c>
    </row>
    <row r="194" spans="1:26" x14ac:dyDescent="0.35">
      <c r="A194" t="s">
        <v>122</v>
      </c>
      <c r="B194" t="s">
        <v>122</v>
      </c>
      <c r="C194" t="s">
        <v>123</v>
      </c>
      <c r="D194" t="s">
        <v>100</v>
      </c>
      <c r="E194" t="s">
        <v>99</v>
      </c>
      <c r="F194" t="s">
        <v>12</v>
      </c>
      <c r="G194">
        <v>1</v>
      </c>
      <c r="H194">
        <v>272</v>
      </c>
      <c r="I194">
        <v>0.81194029850746197</v>
      </c>
      <c r="J194" s="25">
        <f t="shared" si="7"/>
        <v>0.81194029850746263</v>
      </c>
      <c r="K194">
        <v>3162</v>
      </c>
      <c r="L194">
        <v>0.999999999999999</v>
      </c>
      <c r="M194" s="16">
        <v>3.1615554852987602E-4</v>
      </c>
      <c r="N194" s="25">
        <f t="shared" ref="N194:N257" si="9">1-P194</f>
        <v>3.1615554852992833E-4</v>
      </c>
      <c r="O194">
        <v>0.99968384445146996</v>
      </c>
      <c r="P194" s="25">
        <f t="shared" si="8"/>
        <v>0.99968384445147007</v>
      </c>
      <c r="Q194">
        <v>63</v>
      </c>
      <c r="R194" t="s">
        <v>124</v>
      </c>
      <c r="S194" t="s">
        <v>124</v>
      </c>
      <c r="T194" t="s">
        <v>124</v>
      </c>
      <c r="U194" t="s">
        <v>124</v>
      </c>
      <c r="X194" s="19">
        <f>J194</f>
        <v>0.81194029850746263</v>
      </c>
      <c r="Y194" s="19">
        <f>N194</f>
        <v>3.1615554852992833E-4</v>
      </c>
      <c r="Z194" s="26">
        <f>(L194+Q194)/(L194+Q194+H194+K194)</f>
        <v>1.8296169239565466E-2</v>
      </c>
    </row>
    <row r="195" spans="1:26" x14ac:dyDescent="0.35">
      <c r="A195" t="s">
        <v>122</v>
      </c>
      <c r="B195" t="s">
        <v>122</v>
      </c>
      <c r="C195" t="s">
        <v>123</v>
      </c>
      <c r="D195" t="s">
        <v>100</v>
      </c>
      <c r="E195" t="s">
        <v>99</v>
      </c>
      <c r="F195" t="s">
        <v>12</v>
      </c>
      <c r="G195">
        <v>1</v>
      </c>
      <c r="H195">
        <v>272</v>
      </c>
      <c r="I195">
        <v>0.81194029850746197</v>
      </c>
      <c r="J195" s="25">
        <f t="shared" ref="J195:J258" si="10">H195/(H195+Q195)</f>
        <v>0.81194029850746263</v>
      </c>
      <c r="K195">
        <v>3162</v>
      </c>
      <c r="L195">
        <v>0.999999999999999</v>
      </c>
      <c r="M195" s="16">
        <v>3.1615554852987602E-4</v>
      </c>
      <c r="N195" s="25">
        <f t="shared" si="9"/>
        <v>3.1615554852992833E-4</v>
      </c>
      <c r="O195">
        <v>0.99968384445146996</v>
      </c>
      <c r="P195" s="25">
        <f t="shared" ref="P195:P258" si="11">K195/(K195+L195)</f>
        <v>0.99968384445147007</v>
      </c>
      <c r="Q195">
        <v>63</v>
      </c>
      <c r="R195" t="s">
        <v>124</v>
      </c>
      <c r="S195" t="s">
        <v>124</v>
      </c>
      <c r="T195" t="s">
        <v>124</v>
      </c>
      <c r="U195" t="s">
        <v>124</v>
      </c>
      <c r="X195" s="19">
        <f>J195</f>
        <v>0.81194029850746263</v>
      </c>
      <c r="Y195" s="19">
        <f>N195</f>
        <v>3.1615554852992833E-4</v>
      </c>
      <c r="Z195" s="26">
        <f>(L195+Q195)/(L195+Q195+H195+K195)</f>
        <v>1.8296169239565466E-2</v>
      </c>
    </row>
    <row r="196" spans="1:26" x14ac:dyDescent="0.35">
      <c r="A196" t="s">
        <v>122</v>
      </c>
      <c r="B196" t="s">
        <v>122</v>
      </c>
      <c r="C196" t="s">
        <v>123</v>
      </c>
      <c r="D196" t="s">
        <v>100</v>
      </c>
      <c r="E196" t="s">
        <v>99</v>
      </c>
      <c r="F196" t="s">
        <v>12</v>
      </c>
      <c r="G196">
        <v>1</v>
      </c>
      <c r="H196">
        <v>272</v>
      </c>
      <c r="I196">
        <v>0.81194029850746197</v>
      </c>
      <c r="J196" s="25">
        <f t="shared" si="10"/>
        <v>0.81194029850746263</v>
      </c>
      <c r="K196">
        <v>3162</v>
      </c>
      <c r="L196">
        <v>0.999999999999999</v>
      </c>
      <c r="M196" s="16">
        <v>3.1615554852987602E-4</v>
      </c>
      <c r="N196" s="25">
        <f t="shared" si="9"/>
        <v>3.1615554852992833E-4</v>
      </c>
      <c r="O196">
        <v>0.99968384445146996</v>
      </c>
      <c r="P196" s="25">
        <f t="shared" si="11"/>
        <v>0.99968384445147007</v>
      </c>
      <c r="Q196">
        <v>63</v>
      </c>
      <c r="R196" t="s">
        <v>124</v>
      </c>
      <c r="S196" t="s">
        <v>124</v>
      </c>
      <c r="T196" t="s">
        <v>124</v>
      </c>
      <c r="U196" t="s">
        <v>124</v>
      </c>
      <c r="X196" s="19">
        <f>J196</f>
        <v>0.81194029850746263</v>
      </c>
      <c r="Y196" s="19">
        <f>N196</f>
        <v>3.1615554852992833E-4</v>
      </c>
      <c r="Z196" s="26">
        <f>(L196+Q196)/(L196+Q196+H196+K196)</f>
        <v>1.8296169239565466E-2</v>
      </c>
    </row>
    <row r="197" spans="1:26" x14ac:dyDescent="0.35">
      <c r="A197" t="s">
        <v>122</v>
      </c>
      <c r="B197" t="s">
        <v>122</v>
      </c>
      <c r="C197" t="s">
        <v>123</v>
      </c>
      <c r="D197" t="s">
        <v>100</v>
      </c>
      <c r="E197" t="s">
        <v>99</v>
      </c>
      <c r="F197" t="s">
        <v>12</v>
      </c>
      <c r="G197">
        <v>1</v>
      </c>
      <c r="H197">
        <v>272</v>
      </c>
      <c r="I197">
        <v>0.81194029850746197</v>
      </c>
      <c r="J197" s="25">
        <f t="shared" si="10"/>
        <v>0.81194029850746263</v>
      </c>
      <c r="K197">
        <v>3162</v>
      </c>
      <c r="L197">
        <v>0.999999999999999</v>
      </c>
      <c r="M197" s="16">
        <v>3.1615554852987602E-4</v>
      </c>
      <c r="N197" s="25">
        <f t="shared" si="9"/>
        <v>3.1615554852992833E-4</v>
      </c>
      <c r="O197">
        <v>0.99968384445146996</v>
      </c>
      <c r="P197" s="25">
        <f t="shared" si="11"/>
        <v>0.99968384445147007</v>
      </c>
      <c r="Q197">
        <v>63</v>
      </c>
      <c r="R197" t="s">
        <v>124</v>
      </c>
      <c r="S197" t="s">
        <v>124</v>
      </c>
      <c r="T197" t="s">
        <v>124</v>
      </c>
      <c r="U197" t="s">
        <v>124</v>
      </c>
      <c r="X197" s="19">
        <f>J197</f>
        <v>0.81194029850746263</v>
      </c>
      <c r="Y197" s="19">
        <f>N197</f>
        <v>3.1615554852992833E-4</v>
      </c>
      <c r="Z197" s="26">
        <f>(L197+Q197)/(L197+Q197+H197+K197)</f>
        <v>1.8296169239565466E-2</v>
      </c>
    </row>
    <row r="198" spans="1:26" x14ac:dyDescent="0.35">
      <c r="A198" t="s">
        <v>122</v>
      </c>
      <c r="B198" t="s">
        <v>122</v>
      </c>
      <c r="C198" t="s">
        <v>123</v>
      </c>
      <c r="D198" t="s">
        <v>100</v>
      </c>
      <c r="E198" t="s">
        <v>99</v>
      </c>
      <c r="F198" t="s">
        <v>12</v>
      </c>
      <c r="G198">
        <v>1</v>
      </c>
      <c r="H198">
        <v>272</v>
      </c>
      <c r="I198">
        <v>0.81194029850746197</v>
      </c>
      <c r="J198" s="25">
        <f t="shared" si="10"/>
        <v>0.81194029850746263</v>
      </c>
      <c r="K198">
        <v>3162</v>
      </c>
      <c r="L198">
        <v>0.999999999999999</v>
      </c>
      <c r="M198" s="16">
        <v>3.1615554852987602E-4</v>
      </c>
      <c r="N198" s="25">
        <f t="shared" si="9"/>
        <v>3.1615554852992833E-4</v>
      </c>
      <c r="O198">
        <v>0.99968384445146996</v>
      </c>
      <c r="P198" s="25">
        <f t="shared" si="11"/>
        <v>0.99968384445147007</v>
      </c>
      <c r="Q198">
        <v>63</v>
      </c>
      <c r="R198" t="s">
        <v>124</v>
      </c>
      <c r="S198" t="s">
        <v>124</v>
      </c>
      <c r="T198" t="s">
        <v>124</v>
      </c>
      <c r="U198" t="s">
        <v>124</v>
      </c>
      <c r="X198" s="19">
        <f>J198</f>
        <v>0.81194029850746263</v>
      </c>
      <c r="Y198" s="19">
        <f>N198</f>
        <v>3.1615554852992833E-4</v>
      </c>
      <c r="Z198" s="26">
        <f>(L198+Q198)/(L198+Q198+H198+K198)</f>
        <v>1.8296169239565466E-2</v>
      </c>
    </row>
    <row r="199" spans="1:26" x14ac:dyDescent="0.35">
      <c r="A199" t="s">
        <v>122</v>
      </c>
      <c r="B199" t="s">
        <v>122</v>
      </c>
      <c r="C199" t="s">
        <v>123</v>
      </c>
      <c r="D199" t="s">
        <v>100</v>
      </c>
      <c r="E199" t="s">
        <v>99</v>
      </c>
      <c r="F199" t="s">
        <v>12</v>
      </c>
      <c r="G199">
        <v>1</v>
      </c>
      <c r="H199">
        <v>272</v>
      </c>
      <c r="I199">
        <v>0.81194029850746197</v>
      </c>
      <c r="J199" s="25">
        <f t="shared" si="10"/>
        <v>0.81194029850746263</v>
      </c>
      <c r="K199">
        <v>3162</v>
      </c>
      <c r="L199">
        <v>0.999999999999999</v>
      </c>
      <c r="M199" s="16">
        <v>3.1615554852987602E-4</v>
      </c>
      <c r="N199" s="25">
        <f t="shared" si="9"/>
        <v>3.1615554852992833E-4</v>
      </c>
      <c r="O199">
        <v>0.99968384445146996</v>
      </c>
      <c r="P199" s="25">
        <f t="shared" si="11"/>
        <v>0.99968384445147007</v>
      </c>
      <c r="Q199">
        <v>63</v>
      </c>
      <c r="R199" t="s">
        <v>124</v>
      </c>
      <c r="S199" t="s">
        <v>124</v>
      </c>
      <c r="T199" t="s">
        <v>124</v>
      </c>
      <c r="U199" t="s">
        <v>124</v>
      </c>
      <c r="X199" s="19">
        <f>J199</f>
        <v>0.81194029850746263</v>
      </c>
      <c r="Y199" s="19">
        <f>N199</f>
        <v>3.1615554852992833E-4</v>
      </c>
      <c r="Z199" s="26">
        <f>(L199+Q199)/(L199+Q199+H199+K199)</f>
        <v>1.8296169239565466E-2</v>
      </c>
    </row>
    <row r="200" spans="1:26" x14ac:dyDescent="0.35">
      <c r="A200" t="s">
        <v>122</v>
      </c>
      <c r="B200" t="s">
        <v>122</v>
      </c>
      <c r="C200" t="s">
        <v>123</v>
      </c>
      <c r="D200" t="s">
        <v>100</v>
      </c>
      <c r="E200" t="s">
        <v>99</v>
      </c>
      <c r="F200" t="s">
        <v>12</v>
      </c>
      <c r="G200">
        <v>1</v>
      </c>
      <c r="H200">
        <v>272</v>
      </c>
      <c r="I200">
        <v>0.81194029850746197</v>
      </c>
      <c r="J200" s="25">
        <f t="shared" si="10"/>
        <v>0.81194029850746263</v>
      </c>
      <c r="K200">
        <v>3162</v>
      </c>
      <c r="L200">
        <v>0.999999999999999</v>
      </c>
      <c r="M200" s="16">
        <v>3.1615554852987602E-4</v>
      </c>
      <c r="N200" s="25">
        <f t="shared" si="9"/>
        <v>3.1615554852992833E-4</v>
      </c>
      <c r="O200">
        <v>0.99968384445146996</v>
      </c>
      <c r="P200" s="25">
        <f t="shared" si="11"/>
        <v>0.99968384445147007</v>
      </c>
      <c r="Q200">
        <v>63</v>
      </c>
      <c r="R200" t="s">
        <v>124</v>
      </c>
      <c r="S200" t="s">
        <v>124</v>
      </c>
      <c r="T200" t="s">
        <v>124</v>
      </c>
      <c r="U200" t="s">
        <v>124</v>
      </c>
      <c r="X200" s="19">
        <f>J200</f>
        <v>0.81194029850746263</v>
      </c>
      <c r="Y200" s="19">
        <f>N200</f>
        <v>3.1615554852992833E-4</v>
      </c>
      <c r="Z200" s="26">
        <f>(L200+Q200)/(L200+Q200+H200+K200)</f>
        <v>1.8296169239565466E-2</v>
      </c>
    </row>
    <row r="201" spans="1:26" x14ac:dyDescent="0.35">
      <c r="A201" t="s">
        <v>122</v>
      </c>
      <c r="B201" t="s">
        <v>122</v>
      </c>
      <c r="C201" t="s">
        <v>123</v>
      </c>
      <c r="D201" t="s">
        <v>100</v>
      </c>
      <c r="E201" t="s">
        <v>99</v>
      </c>
      <c r="F201" t="s">
        <v>12</v>
      </c>
      <c r="G201">
        <v>1</v>
      </c>
      <c r="H201">
        <v>272</v>
      </c>
      <c r="I201">
        <v>0.81194029850746197</v>
      </c>
      <c r="J201" s="25">
        <f t="shared" si="10"/>
        <v>0.81194029850746263</v>
      </c>
      <c r="K201">
        <v>3162</v>
      </c>
      <c r="L201">
        <v>0.999999999999999</v>
      </c>
      <c r="M201" s="16">
        <v>3.1615554852987602E-4</v>
      </c>
      <c r="N201" s="25">
        <f t="shared" si="9"/>
        <v>3.1615554852992833E-4</v>
      </c>
      <c r="O201">
        <v>0.99968384445146996</v>
      </c>
      <c r="P201" s="25">
        <f t="shared" si="11"/>
        <v>0.99968384445147007</v>
      </c>
      <c r="Q201">
        <v>63</v>
      </c>
      <c r="R201" t="s">
        <v>124</v>
      </c>
      <c r="S201" t="s">
        <v>124</v>
      </c>
      <c r="T201" t="s">
        <v>124</v>
      </c>
      <c r="U201" t="s">
        <v>124</v>
      </c>
      <c r="X201" s="19">
        <f>J201</f>
        <v>0.81194029850746263</v>
      </c>
      <c r="Y201" s="19">
        <f>N201</f>
        <v>3.1615554852992833E-4</v>
      </c>
      <c r="Z201" s="26">
        <f>(L201+Q201)/(L201+Q201+H201+K201)</f>
        <v>1.8296169239565466E-2</v>
      </c>
    </row>
    <row r="202" spans="1:26" x14ac:dyDescent="0.35">
      <c r="A202" t="s">
        <v>122</v>
      </c>
      <c r="B202" t="s">
        <v>122</v>
      </c>
      <c r="C202" t="s">
        <v>123</v>
      </c>
      <c r="D202" t="s">
        <v>100</v>
      </c>
      <c r="E202" t="s">
        <v>99</v>
      </c>
      <c r="F202" t="s">
        <v>12</v>
      </c>
      <c r="G202">
        <v>1</v>
      </c>
      <c r="H202">
        <v>272</v>
      </c>
      <c r="I202">
        <v>0.81194029850746197</v>
      </c>
      <c r="J202" s="25">
        <f t="shared" si="10"/>
        <v>0.81194029850746263</v>
      </c>
      <c r="K202">
        <v>3162</v>
      </c>
      <c r="L202">
        <v>0.999999999999999</v>
      </c>
      <c r="M202" s="16">
        <v>3.1615554852987602E-4</v>
      </c>
      <c r="N202" s="25">
        <f t="shared" si="9"/>
        <v>3.1615554852992833E-4</v>
      </c>
      <c r="O202">
        <v>0.99968384445146996</v>
      </c>
      <c r="P202" s="25">
        <f t="shared" si="11"/>
        <v>0.99968384445147007</v>
      </c>
      <c r="Q202">
        <v>63</v>
      </c>
      <c r="R202" t="s">
        <v>124</v>
      </c>
      <c r="S202" t="s">
        <v>124</v>
      </c>
      <c r="T202" t="s">
        <v>124</v>
      </c>
      <c r="U202" t="s">
        <v>124</v>
      </c>
      <c r="X202" s="19">
        <f>J202</f>
        <v>0.81194029850746263</v>
      </c>
      <c r="Y202" s="19">
        <f>N202</f>
        <v>3.1615554852992833E-4</v>
      </c>
      <c r="Z202" s="26">
        <f>(L202+Q202)/(L202+Q202+H202+K202)</f>
        <v>1.8296169239565466E-2</v>
      </c>
    </row>
    <row r="203" spans="1:26" x14ac:dyDescent="0.35">
      <c r="A203" t="s">
        <v>122</v>
      </c>
      <c r="B203" t="s">
        <v>122</v>
      </c>
      <c r="C203" t="s">
        <v>123</v>
      </c>
      <c r="D203" t="s">
        <v>100</v>
      </c>
      <c r="E203" t="s">
        <v>99</v>
      </c>
      <c r="F203" t="s">
        <v>12</v>
      </c>
      <c r="G203">
        <v>1</v>
      </c>
      <c r="H203">
        <v>272</v>
      </c>
      <c r="I203">
        <v>0.81194029850746197</v>
      </c>
      <c r="J203" s="25">
        <f t="shared" si="10"/>
        <v>0.81194029850746263</v>
      </c>
      <c r="K203">
        <v>3162</v>
      </c>
      <c r="L203">
        <v>0.999999999999999</v>
      </c>
      <c r="M203" s="16">
        <v>3.1615554852987602E-4</v>
      </c>
      <c r="N203" s="25">
        <f t="shared" si="9"/>
        <v>3.1615554852992833E-4</v>
      </c>
      <c r="O203">
        <v>0.99968384445146996</v>
      </c>
      <c r="P203" s="25">
        <f t="shared" si="11"/>
        <v>0.99968384445147007</v>
      </c>
      <c r="Q203">
        <v>63</v>
      </c>
      <c r="R203" t="s">
        <v>124</v>
      </c>
      <c r="S203" t="s">
        <v>124</v>
      </c>
      <c r="T203" t="s">
        <v>124</v>
      </c>
      <c r="U203" t="s">
        <v>124</v>
      </c>
      <c r="X203" s="19">
        <f>J203</f>
        <v>0.81194029850746263</v>
      </c>
      <c r="Y203" s="19">
        <f>N203</f>
        <v>3.1615554852992833E-4</v>
      </c>
      <c r="Z203" s="26">
        <f>(L203+Q203)/(L203+Q203+H203+K203)</f>
        <v>1.8296169239565466E-2</v>
      </c>
    </row>
    <row r="204" spans="1:26" x14ac:dyDescent="0.35">
      <c r="A204" t="s">
        <v>122</v>
      </c>
      <c r="B204" t="s">
        <v>122</v>
      </c>
      <c r="C204" t="s">
        <v>123</v>
      </c>
      <c r="D204" t="s">
        <v>100</v>
      </c>
      <c r="E204" t="s">
        <v>99</v>
      </c>
      <c r="F204" t="s">
        <v>12</v>
      </c>
      <c r="G204">
        <v>1</v>
      </c>
      <c r="H204">
        <v>272</v>
      </c>
      <c r="I204">
        <v>0.81194029850746197</v>
      </c>
      <c r="J204" s="25">
        <f t="shared" si="10"/>
        <v>0.81194029850746263</v>
      </c>
      <c r="K204">
        <v>3162</v>
      </c>
      <c r="L204">
        <v>0.999999999999999</v>
      </c>
      <c r="M204" s="16">
        <v>3.1615554852987602E-4</v>
      </c>
      <c r="N204" s="25">
        <f t="shared" si="9"/>
        <v>3.1615554852992833E-4</v>
      </c>
      <c r="O204">
        <v>0.99968384445146996</v>
      </c>
      <c r="P204" s="25">
        <f t="shared" si="11"/>
        <v>0.99968384445147007</v>
      </c>
      <c r="Q204">
        <v>63</v>
      </c>
      <c r="R204" t="s">
        <v>124</v>
      </c>
      <c r="S204" t="s">
        <v>124</v>
      </c>
      <c r="T204" t="s">
        <v>124</v>
      </c>
      <c r="U204" t="s">
        <v>124</v>
      </c>
      <c r="X204" s="19">
        <f>J204</f>
        <v>0.81194029850746263</v>
      </c>
      <c r="Y204" s="19">
        <f>N204</f>
        <v>3.1615554852992833E-4</v>
      </c>
      <c r="Z204" s="26">
        <f>(L204+Q204)/(L204+Q204+H204+K204)</f>
        <v>1.8296169239565466E-2</v>
      </c>
    </row>
    <row r="205" spans="1:26" x14ac:dyDescent="0.35">
      <c r="A205" t="s">
        <v>122</v>
      </c>
      <c r="B205" t="s">
        <v>122</v>
      </c>
      <c r="C205" t="s">
        <v>123</v>
      </c>
      <c r="D205" t="s">
        <v>100</v>
      </c>
      <c r="E205" t="s">
        <v>99</v>
      </c>
      <c r="F205" t="s">
        <v>12</v>
      </c>
      <c r="G205">
        <v>1</v>
      </c>
      <c r="H205">
        <v>272</v>
      </c>
      <c r="I205">
        <v>0.81194029850746197</v>
      </c>
      <c r="J205" s="25">
        <f t="shared" si="10"/>
        <v>0.81194029850746263</v>
      </c>
      <c r="K205">
        <v>3162</v>
      </c>
      <c r="L205">
        <v>0.999999999999999</v>
      </c>
      <c r="M205" s="16">
        <v>3.1615554852987602E-4</v>
      </c>
      <c r="N205" s="25">
        <f t="shared" si="9"/>
        <v>3.1615554852992833E-4</v>
      </c>
      <c r="O205">
        <v>0.99968384445146996</v>
      </c>
      <c r="P205" s="25">
        <f t="shared" si="11"/>
        <v>0.99968384445147007</v>
      </c>
      <c r="Q205">
        <v>63</v>
      </c>
      <c r="R205" t="s">
        <v>124</v>
      </c>
      <c r="S205" t="s">
        <v>124</v>
      </c>
      <c r="T205" t="s">
        <v>124</v>
      </c>
      <c r="U205" t="s">
        <v>124</v>
      </c>
      <c r="X205" s="19">
        <f>J205</f>
        <v>0.81194029850746263</v>
      </c>
      <c r="Y205" s="19">
        <f>N205</f>
        <v>3.1615554852992833E-4</v>
      </c>
      <c r="Z205" s="26">
        <f>(L205+Q205)/(L205+Q205+H205+K205)</f>
        <v>1.8296169239565466E-2</v>
      </c>
    </row>
    <row r="206" spans="1:26" x14ac:dyDescent="0.35">
      <c r="A206" t="s">
        <v>122</v>
      </c>
      <c r="B206" t="s">
        <v>122</v>
      </c>
      <c r="C206" t="s">
        <v>123</v>
      </c>
      <c r="D206" t="s">
        <v>100</v>
      </c>
      <c r="E206" t="s">
        <v>99</v>
      </c>
      <c r="F206" t="s">
        <v>12</v>
      </c>
      <c r="G206">
        <v>1</v>
      </c>
      <c r="H206">
        <v>272</v>
      </c>
      <c r="I206">
        <v>0.81194029850746197</v>
      </c>
      <c r="J206" s="25">
        <f t="shared" si="10"/>
        <v>0.81194029850746263</v>
      </c>
      <c r="K206">
        <v>3162</v>
      </c>
      <c r="L206">
        <v>0.999999999999999</v>
      </c>
      <c r="M206" s="16">
        <v>3.1615554852987602E-4</v>
      </c>
      <c r="N206" s="25">
        <f t="shared" si="9"/>
        <v>3.1615554852992833E-4</v>
      </c>
      <c r="O206">
        <v>0.99968384445146996</v>
      </c>
      <c r="P206" s="25">
        <f t="shared" si="11"/>
        <v>0.99968384445147007</v>
      </c>
      <c r="Q206">
        <v>63</v>
      </c>
      <c r="R206" t="s">
        <v>124</v>
      </c>
      <c r="S206" t="s">
        <v>124</v>
      </c>
      <c r="T206" t="s">
        <v>124</v>
      </c>
      <c r="U206" t="s">
        <v>124</v>
      </c>
      <c r="X206" s="19">
        <f>J206</f>
        <v>0.81194029850746263</v>
      </c>
      <c r="Y206" s="19">
        <f>N206</f>
        <v>3.1615554852992833E-4</v>
      </c>
      <c r="Z206" s="26">
        <f>(L206+Q206)/(L206+Q206+H206+K206)</f>
        <v>1.8296169239565466E-2</v>
      </c>
    </row>
    <row r="207" spans="1:26" x14ac:dyDescent="0.35">
      <c r="A207" t="s">
        <v>122</v>
      </c>
      <c r="B207" t="s">
        <v>122</v>
      </c>
      <c r="C207" t="s">
        <v>123</v>
      </c>
      <c r="D207" t="s">
        <v>100</v>
      </c>
      <c r="E207" t="s">
        <v>99</v>
      </c>
      <c r="F207" t="s">
        <v>12</v>
      </c>
      <c r="G207">
        <v>1</v>
      </c>
      <c r="H207">
        <v>272</v>
      </c>
      <c r="I207">
        <v>0.81194029850746197</v>
      </c>
      <c r="J207" s="25">
        <f t="shared" si="10"/>
        <v>0.81194029850746263</v>
      </c>
      <c r="K207">
        <v>3162</v>
      </c>
      <c r="L207">
        <v>0.999999999999999</v>
      </c>
      <c r="M207" s="16">
        <v>3.1615554852987602E-4</v>
      </c>
      <c r="N207" s="25">
        <f t="shared" si="9"/>
        <v>3.1615554852992833E-4</v>
      </c>
      <c r="O207">
        <v>0.99968384445146996</v>
      </c>
      <c r="P207" s="25">
        <f t="shared" si="11"/>
        <v>0.99968384445147007</v>
      </c>
      <c r="Q207">
        <v>63</v>
      </c>
      <c r="R207" t="s">
        <v>124</v>
      </c>
      <c r="S207" t="s">
        <v>124</v>
      </c>
      <c r="T207" t="s">
        <v>124</v>
      </c>
      <c r="U207" t="s">
        <v>124</v>
      </c>
      <c r="X207" s="19">
        <f>J207</f>
        <v>0.81194029850746263</v>
      </c>
      <c r="Y207" s="19">
        <f>N207</f>
        <v>3.1615554852992833E-4</v>
      </c>
      <c r="Z207" s="26">
        <f>(L207+Q207)/(L207+Q207+H207+K207)</f>
        <v>1.8296169239565466E-2</v>
      </c>
    </row>
    <row r="208" spans="1:26" x14ac:dyDescent="0.35">
      <c r="A208" t="s">
        <v>122</v>
      </c>
      <c r="B208" t="s">
        <v>122</v>
      </c>
      <c r="C208" t="s">
        <v>123</v>
      </c>
      <c r="D208" t="s">
        <v>100</v>
      </c>
      <c r="E208" t="s">
        <v>99</v>
      </c>
      <c r="F208" t="s">
        <v>12</v>
      </c>
      <c r="G208">
        <v>1</v>
      </c>
      <c r="H208">
        <v>272</v>
      </c>
      <c r="I208">
        <v>0.81194029850746197</v>
      </c>
      <c r="J208" s="25">
        <f t="shared" si="10"/>
        <v>0.81194029850746263</v>
      </c>
      <c r="K208">
        <v>3162</v>
      </c>
      <c r="L208">
        <v>0.999999999999999</v>
      </c>
      <c r="M208" s="16">
        <v>3.1615554852987602E-4</v>
      </c>
      <c r="N208" s="25">
        <f t="shared" si="9"/>
        <v>3.1615554852992833E-4</v>
      </c>
      <c r="O208">
        <v>0.99968384445146996</v>
      </c>
      <c r="P208" s="25">
        <f t="shared" si="11"/>
        <v>0.99968384445147007</v>
      </c>
      <c r="Q208">
        <v>63</v>
      </c>
      <c r="R208" t="s">
        <v>124</v>
      </c>
      <c r="S208" t="s">
        <v>124</v>
      </c>
      <c r="T208" t="s">
        <v>124</v>
      </c>
      <c r="U208" t="s">
        <v>124</v>
      </c>
      <c r="X208" s="19">
        <f>J208</f>
        <v>0.81194029850746263</v>
      </c>
      <c r="Y208" s="19">
        <f>N208</f>
        <v>3.1615554852992833E-4</v>
      </c>
      <c r="Z208" s="26">
        <f>(L208+Q208)/(L208+Q208+H208+K208)</f>
        <v>1.8296169239565466E-2</v>
      </c>
    </row>
    <row r="209" spans="1:26" x14ac:dyDescent="0.35">
      <c r="A209" t="s">
        <v>122</v>
      </c>
      <c r="B209" t="s">
        <v>122</v>
      </c>
      <c r="C209" t="s">
        <v>123</v>
      </c>
      <c r="D209" t="s">
        <v>100</v>
      </c>
      <c r="E209" t="s">
        <v>99</v>
      </c>
      <c r="F209" t="s">
        <v>12</v>
      </c>
      <c r="G209">
        <v>1</v>
      </c>
      <c r="H209">
        <v>272</v>
      </c>
      <c r="I209">
        <v>0.81194029850746197</v>
      </c>
      <c r="J209" s="25">
        <f t="shared" si="10"/>
        <v>0.81194029850746263</v>
      </c>
      <c r="K209">
        <v>3162</v>
      </c>
      <c r="L209">
        <v>0.999999999999999</v>
      </c>
      <c r="M209" s="16">
        <v>3.1615554852987602E-4</v>
      </c>
      <c r="N209" s="25">
        <f t="shared" si="9"/>
        <v>3.1615554852992833E-4</v>
      </c>
      <c r="O209">
        <v>0.99968384445146996</v>
      </c>
      <c r="P209" s="25">
        <f t="shared" si="11"/>
        <v>0.99968384445147007</v>
      </c>
      <c r="Q209">
        <v>63</v>
      </c>
      <c r="R209" t="s">
        <v>124</v>
      </c>
      <c r="S209" t="s">
        <v>124</v>
      </c>
      <c r="T209" t="s">
        <v>124</v>
      </c>
      <c r="U209" t="s">
        <v>124</v>
      </c>
      <c r="X209" s="19">
        <f>J209</f>
        <v>0.81194029850746263</v>
      </c>
      <c r="Y209" s="19">
        <f>N209</f>
        <v>3.1615554852992833E-4</v>
      </c>
      <c r="Z209" s="26">
        <f>(L209+Q209)/(L209+Q209+H209+K209)</f>
        <v>1.8296169239565466E-2</v>
      </c>
    </row>
    <row r="210" spans="1:26" x14ac:dyDescent="0.35">
      <c r="A210" t="s">
        <v>122</v>
      </c>
      <c r="B210" t="s">
        <v>122</v>
      </c>
      <c r="C210" t="s">
        <v>123</v>
      </c>
      <c r="D210" t="s">
        <v>100</v>
      </c>
      <c r="E210" t="s">
        <v>99</v>
      </c>
      <c r="F210" t="s">
        <v>12</v>
      </c>
      <c r="G210">
        <v>1</v>
      </c>
      <c r="H210">
        <v>272</v>
      </c>
      <c r="I210">
        <v>0.81194029850746197</v>
      </c>
      <c r="J210" s="25">
        <f t="shared" si="10"/>
        <v>0.81194029850746263</v>
      </c>
      <c r="K210">
        <v>3162</v>
      </c>
      <c r="L210">
        <v>0.999999999999999</v>
      </c>
      <c r="M210" s="16">
        <v>3.1615554852987602E-4</v>
      </c>
      <c r="N210" s="25">
        <f t="shared" si="9"/>
        <v>3.1615554852992833E-4</v>
      </c>
      <c r="O210">
        <v>0.99968384445146996</v>
      </c>
      <c r="P210" s="25">
        <f t="shared" si="11"/>
        <v>0.99968384445147007</v>
      </c>
      <c r="Q210">
        <v>63</v>
      </c>
      <c r="R210" t="s">
        <v>124</v>
      </c>
      <c r="S210" t="s">
        <v>124</v>
      </c>
      <c r="T210" t="s">
        <v>124</v>
      </c>
      <c r="U210" t="s">
        <v>124</v>
      </c>
      <c r="X210" s="19">
        <f>J210</f>
        <v>0.81194029850746263</v>
      </c>
      <c r="Y210" s="19">
        <f>N210</f>
        <v>3.1615554852992833E-4</v>
      </c>
      <c r="Z210" s="26">
        <f>(L210+Q210)/(L210+Q210+H210+K210)</f>
        <v>1.8296169239565466E-2</v>
      </c>
    </row>
    <row r="211" spans="1:26" x14ac:dyDescent="0.35">
      <c r="A211" t="s">
        <v>122</v>
      </c>
      <c r="B211" t="s">
        <v>122</v>
      </c>
      <c r="C211" t="s">
        <v>123</v>
      </c>
      <c r="D211" t="s">
        <v>100</v>
      </c>
      <c r="E211" t="s">
        <v>99</v>
      </c>
      <c r="F211" t="s">
        <v>12</v>
      </c>
      <c r="G211">
        <v>1</v>
      </c>
      <c r="H211">
        <v>272</v>
      </c>
      <c r="I211">
        <v>0.81194029850746197</v>
      </c>
      <c r="J211" s="25">
        <f t="shared" si="10"/>
        <v>0.81194029850746263</v>
      </c>
      <c r="K211">
        <v>3162</v>
      </c>
      <c r="L211">
        <v>0.999999999999999</v>
      </c>
      <c r="M211" s="16">
        <v>3.1615554852987602E-4</v>
      </c>
      <c r="N211" s="25">
        <f t="shared" si="9"/>
        <v>3.1615554852992833E-4</v>
      </c>
      <c r="O211">
        <v>0.99968384445146996</v>
      </c>
      <c r="P211" s="25">
        <f t="shared" si="11"/>
        <v>0.99968384445147007</v>
      </c>
      <c r="Q211">
        <v>63</v>
      </c>
      <c r="R211" t="s">
        <v>124</v>
      </c>
      <c r="S211" t="s">
        <v>124</v>
      </c>
      <c r="T211" t="s">
        <v>124</v>
      </c>
      <c r="U211" t="s">
        <v>124</v>
      </c>
      <c r="X211" s="19">
        <f>J211</f>
        <v>0.81194029850746263</v>
      </c>
      <c r="Y211" s="19">
        <f>N211</f>
        <v>3.1615554852992833E-4</v>
      </c>
      <c r="Z211" s="26">
        <f>(L211+Q211)/(L211+Q211+H211+K211)</f>
        <v>1.8296169239565466E-2</v>
      </c>
    </row>
    <row r="212" spans="1:26" x14ac:dyDescent="0.35">
      <c r="A212" t="s">
        <v>122</v>
      </c>
      <c r="B212" t="s">
        <v>122</v>
      </c>
      <c r="C212" t="s">
        <v>123</v>
      </c>
      <c r="D212" t="s">
        <v>100</v>
      </c>
      <c r="E212" t="s">
        <v>99</v>
      </c>
      <c r="F212" t="s">
        <v>12</v>
      </c>
      <c r="G212">
        <v>1</v>
      </c>
      <c r="H212">
        <v>272</v>
      </c>
      <c r="I212">
        <v>0.81194029850746197</v>
      </c>
      <c r="J212" s="25">
        <f t="shared" si="10"/>
        <v>0.81194029850746263</v>
      </c>
      <c r="K212">
        <v>3162</v>
      </c>
      <c r="L212">
        <v>0.999999999999999</v>
      </c>
      <c r="M212" s="16">
        <v>3.1615554852987602E-4</v>
      </c>
      <c r="N212" s="25">
        <f t="shared" si="9"/>
        <v>3.1615554852992833E-4</v>
      </c>
      <c r="O212">
        <v>0.99968384445146996</v>
      </c>
      <c r="P212" s="25">
        <f t="shared" si="11"/>
        <v>0.99968384445147007</v>
      </c>
      <c r="Q212">
        <v>63</v>
      </c>
      <c r="R212" t="s">
        <v>124</v>
      </c>
      <c r="S212" t="s">
        <v>124</v>
      </c>
      <c r="T212" t="s">
        <v>124</v>
      </c>
      <c r="U212" t="s">
        <v>124</v>
      </c>
      <c r="X212" s="19">
        <f>J212</f>
        <v>0.81194029850746263</v>
      </c>
      <c r="Y212" s="19">
        <f>N212</f>
        <v>3.1615554852992833E-4</v>
      </c>
      <c r="Z212" s="26">
        <f>(L212+Q212)/(L212+Q212+H212+K212)</f>
        <v>1.8296169239565466E-2</v>
      </c>
    </row>
    <row r="213" spans="1:26" x14ac:dyDescent="0.35">
      <c r="A213" t="s">
        <v>122</v>
      </c>
      <c r="B213" t="s">
        <v>122</v>
      </c>
      <c r="C213" t="s">
        <v>123</v>
      </c>
      <c r="D213" t="s">
        <v>100</v>
      </c>
      <c r="E213" t="s">
        <v>99</v>
      </c>
      <c r="F213" t="s">
        <v>12</v>
      </c>
      <c r="G213">
        <v>1</v>
      </c>
      <c r="H213">
        <v>272</v>
      </c>
      <c r="I213">
        <v>0.81194029850746197</v>
      </c>
      <c r="J213" s="25">
        <f t="shared" si="10"/>
        <v>0.81194029850746263</v>
      </c>
      <c r="K213">
        <v>3162</v>
      </c>
      <c r="L213">
        <v>0.999999999999999</v>
      </c>
      <c r="M213" s="16">
        <v>3.1615554852987602E-4</v>
      </c>
      <c r="N213" s="25">
        <f t="shared" si="9"/>
        <v>3.1615554852992833E-4</v>
      </c>
      <c r="O213">
        <v>0.99968384445146996</v>
      </c>
      <c r="P213" s="25">
        <f t="shared" si="11"/>
        <v>0.99968384445147007</v>
      </c>
      <c r="Q213">
        <v>63</v>
      </c>
      <c r="R213" t="s">
        <v>124</v>
      </c>
      <c r="S213" t="s">
        <v>124</v>
      </c>
      <c r="T213" t="s">
        <v>124</v>
      </c>
      <c r="U213" t="s">
        <v>124</v>
      </c>
      <c r="X213" s="19">
        <f>J213</f>
        <v>0.81194029850746263</v>
      </c>
      <c r="Y213" s="19">
        <f>N213</f>
        <v>3.1615554852992833E-4</v>
      </c>
      <c r="Z213" s="26">
        <f>(L213+Q213)/(L213+Q213+H213+K213)</f>
        <v>1.8296169239565466E-2</v>
      </c>
    </row>
    <row r="214" spans="1:26" x14ac:dyDescent="0.35">
      <c r="A214" t="s">
        <v>122</v>
      </c>
      <c r="B214" t="s">
        <v>122</v>
      </c>
      <c r="C214" t="s">
        <v>123</v>
      </c>
      <c r="D214" t="s">
        <v>100</v>
      </c>
      <c r="E214" t="s">
        <v>99</v>
      </c>
      <c r="F214" t="s">
        <v>12</v>
      </c>
      <c r="G214">
        <v>1</v>
      </c>
      <c r="H214">
        <v>272</v>
      </c>
      <c r="I214">
        <v>0.81194029850746197</v>
      </c>
      <c r="J214" s="25">
        <f t="shared" si="10"/>
        <v>0.81194029850746263</v>
      </c>
      <c r="K214">
        <v>3162</v>
      </c>
      <c r="L214">
        <v>0.999999999999999</v>
      </c>
      <c r="M214" s="16">
        <v>3.1615554852987602E-4</v>
      </c>
      <c r="N214" s="25">
        <f t="shared" si="9"/>
        <v>3.1615554852992833E-4</v>
      </c>
      <c r="O214">
        <v>0.99968384445146996</v>
      </c>
      <c r="P214" s="25">
        <f t="shared" si="11"/>
        <v>0.99968384445147007</v>
      </c>
      <c r="Q214">
        <v>63</v>
      </c>
      <c r="R214" t="s">
        <v>124</v>
      </c>
      <c r="S214" t="s">
        <v>124</v>
      </c>
      <c r="T214" t="s">
        <v>124</v>
      </c>
      <c r="U214" t="s">
        <v>124</v>
      </c>
      <c r="X214" s="19">
        <f>J214</f>
        <v>0.81194029850746263</v>
      </c>
      <c r="Y214" s="19">
        <f>N214</f>
        <v>3.1615554852992833E-4</v>
      </c>
      <c r="Z214" s="26">
        <f>(L214+Q214)/(L214+Q214+H214+K214)</f>
        <v>1.8296169239565466E-2</v>
      </c>
    </row>
    <row r="215" spans="1:26" x14ac:dyDescent="0.35">
      <c r="A215" t="s">
        <v>122</v>
      </c>
      <c r="B215" t="s">
        <v>122</v>
      </c>
      <c r="C215" t="s">
        <v>123</v>
      </c>
      <c r="D215" t="s">
        <v>100</v>
      </c>
      <c r="E215" t="s">
        <v>99</v>
      </c>
      <c r="F215" t="s">
        <v>12</v>
      </c>
      <c r="G215">
        <v>1</v>
      </c>
      <c r="H215">
        <v>272</v>
      </c>
      <c r="I215">
        <v>0.81194029850746197</v>
      </c>
      <c r="J215" s="25">
        <f t="shared" si="10"/>
        <v>0.81194029850746263</v>
      </c>
      <c r="K215">
        <v>3162</v>
      </c>
      <c r="L215">
        <v>0.999999999999999</v>
      </c>
      <c r="M215" s="16">
        <v>3.1615554852987602E-4</v>
      </c>
      <c r="N215" s="25">
        <f t="shared" si="9"/>
        <v>3.1615554852992833E-4</v>
      </c>
      <c r="O215">
        <v>0.99968384445146996</v>
      </c>
      <c r="P215" s="25">
        <f t="shared" si="11"/>
        <v>0.99968384445147007</v>
      </c>
      <c r="Q215">
        <v>63</v>
      </c>
      <c r="R215" t="s">
        <v>124</v>
      </c>
      <c r="S215" t="s">
        <v>124</v>
      </c>
      <c r="T215" t="s">
        <v>124</v>
      </c>
      <c r="U215" t="s">
        <v>124</v>
      </c>
      <c r="X215" s="19">
        <f>J215</f>
        <v>0.81194029850746263</v>
      </c>
      <c r="Y215" s="19">
        <f>N215</f>
        <v>3.1615554852992833E-4</v>
      </c>
      <c r="Z215" s="26">
        <f>(L215+Q215)/(L215+Q215+H215+K215)</f>
        <v>1.8296169239565466E-2</v>
      </c>
    </row>
    <row r="216" spans="1:26" x14ac:dyDescent="0.35">
      <c r="A216" t="s">
        <v>122</v>
      </c>
      <c r="B216" t="s">
        <v>122</v>
      </c>
      <c r="C216" t="s">
        <v>123</v>
      </c>
      <c r="D216" t="s">
        <v>100</v>
      </c>
      <c r="E216" t="s">
        <v>99</v>
      </c>
      <c r="F216" t="s">
        <v>12</v>
      </c>
      <c r="G216">
        <v>1</v>
      </c>
      <c r="H216">
        <v>272</v>
      </c>
      <c r="I216">
        <v>0.81194029850746197</v>
      </c>
      <c r="J216" s="25">
        <f t="shared" si="10"/>
        <v>0.81194029850746263</v>
      </c>
      <c r="K216">
        <v>3162</v>
      </c>
      <c r="L216">
        <v>0.999999999999999</v>
      </c>
      <c r="M216" s="16">
        <v>3.1615554852987602E-4</v>
      </c>
      <c r="N216" s="25">
        <f t="shared" si="9"/>
        <v>3.1615554852992833E-4</v>
      </c>
      <c r="O216">
        <v>0.99968384445146996</v>
      </c>
      <c r="P216" s="25">
        <f t="shared" si="11"/>
        <v>0.99968384445147007</v>
      </c>
      <c r="Q216">
        <v>63</v>
      </c>
      <c r="R216" t="s">
        <v>124</v>
      </c>
      <c r="S216" t="s">
        <v>124</v>
      </c>
      <c r="T216" t="s">
        <v>124</v>
      </c>
      <c r="U216" t="s">
        <v>124</v>
      </c>
      <c r="X216" s="19">
        <f>J216</f>
        <v>0.81194029850746263</v>
      </c>
      <c r="Y216" s="19">
        <f>N216</f>
        <v>3.1615554852992833E-4</v>
      </c>
      <c r="Z216" s="26">
        <f>(L216+Q216)/(L216+Q216+H216+K216)</f>
        <v>1.8296169239565466E-2</v>
      </c>
    </row>
    <row r="217" spans="1:26" x14ac:dyDescent="0.35">
      <c r="A217" t="s">
        <v>122</v>
      </c>
      <c r="B217" t="s">
        <v>122</v>
      </c>
      <c r="C217" t="s">
        <v>123</v>
      </c>
      <c r="D217" t="s">
        <v>100</v>
      </c>
      <c r="E217" t="s">
        <v>99</v>
      </c>
      <c r="F217" t="s">
        <v>12</v>
      </c>
      <c r="G217">
        <v>1</v>
      </c>
      <c r="H217">
        <v>272</v>
      </c>
      <c r="I217">
        <v>0.81194029850746197</v>
      </c>
      <c r="J217" s="25">
        <f t="shared" si="10"/>
        <v>0.81194029850746263</v>
      </c>
      <c r="K217">
        <v>3162</v>
      </c>
      <c r="L217">
        <v>0.999999999999999</v>
      </c>
      <c r="M217" s="16">
        <v>3.1615554852987602E-4</v>
      </c>
      <c r="N217" s="25">
        <f t="shared" si="9"/>
        <v>3.1615554852992833E-4</v>
      </c>
      <c r="O217">
        <v>0.99968384445146996</v>
      </c>
      <c r="P217" s="25">
        <f t="shared" si="11"/>
        <v>0.99968384445147007</v>
      </c>
      <c r="Q217">
        <v>63</v>
      </c>
      <c r="R217" t="s">
        <v>124</v>
      </c>
      <c r="S217" t="s">
        <v>124</v>
      </c>
      <c r="T217" t="s">
        <v>124</v>
      </c>
      <c r="U217" t="s">
        <v>124</v>
      </c>
      <c r="X217" s="19">
        <f>J217</f>
        <v>0.81194029850746263</v>
      </c>
      <c r="Y217" s="19">
        <f>N217</f>
        <v>3.1615554852992833E-4</v>
      </c>
      <c r="Z217" s="26">
        <f>(L217+Q217)/(L217+Q217+H217+K217)</f>
        <v>1.8296169239565466E-2</v>
      </c>
    </row>
    <row r="218" spans="1:26" x14ac:dyDescent="0.35">
      <c r="A218" t="s">
        <v>122</v>
      </c>
      <c r="B218" t="s">
        <v>122</v>
      </c>
      <c r="C218" t="s">
        <v>123</v>
      </c>
      <c r="D218" t="s">
        <v>100</v>
      </c>
      <c r="E218" t="s">
        <v>99</v>
      </c>
      <c r="F218" t="s">
        <v>12</v>
      </c>
      <c r="G218">
        <v>1</v>
      </c>
      <c r="H218">
        <v>272</v>
      </c>
      <c r="I218">
        <v>0.81194029850746197</v>
      </c>
      <c r="J218" s="25">
        <f t="shared" si="10"/>
        <v>0.81194029850746263</v>
      </c>
      <c r="K218">
        <v>3162</v>
      </c>
      <c r="L218">
        <v>0.999999999999999</v>
      </c>
      <c r="M218" s="16">
        <v>3.1615554852987602E-4</v>
      </c>
      <c r="N218" s="25">
        <f t="shared" si="9"/>
        <v>3.1615554852992833E-4</v>
      </c>
      <c r="O218">
        <v>0.99968384445146996</v>
      </c>
      <c r="P218" s="25">
        <f t="shared" si="11"/>
        <v>0.99968384445147007</v>
      </c>
      <c r="Q218">
        <v>63</v>
      </c>
      <c r="R218" t="s">
        <v>124</v>
      </c>
      <c r="S218" t="s">
        <v>124</v>
      </c>
      <c r="T218" t="s">
        <v>124</v>
      </c>
      <c r="U218" t="s">
        <v>124</v>
      </c>
      <c r="X218" s="19">
        <f>J218</f>
        <v>0.81194029850746263</v>
      </c>
      <c r="Y218" s="19">
        <f>N218</f>
        <v>3.1615554852992833E-4</v>
      </c>
      <c r="Z218" s="26">
        <f>(L218+Q218)/(L218+Q218+H218+K218)</f>
        <v>1.8296169239565466E-2</v>
      </c>
    </row>
    <row r="219" spans="1:26" x14ac:dyDescent="0.35">
      <c r="A219" t="s">
        <v>122</v>
      </c>
      <c r="B219" t="s">
        <v>122</v>
      </c>
      <c r="C219" t="s">
        <v>123</v>
      </c>
      <c r="D219" t="s">
        <v>100</v>
      </c>
      <c r="E219" t="s">
        <v>99</v>
      </c>
      <c r="F219" t="s">
        <v>12</v>
      </c>
      <c r="G219">
        <v>1</v>
      </c>
      <c r="H219">
        <v>272</v>
      </c>
      <c r="I219">
        <v>0.81194029850746197</v>
      </c>
      <c r="J219" s="25">
        <f t="shared" si="10"/>
        <v>0.81194029850746263</v>
      </c>
      <c r="K219">
        <v>3162</v>
      </c>
      <c r="L219">
        <v>0.999999999999999</v>
      </c>
      <c r="M219" s="16">
        <v>3.1615554852987602E-4</v>
      </c>
      <c r="N219" s="25">
        <f t="shared" si="9"/>
        <v>3.1615554852992833E-4</v>
      </c>
      <c r="O219">
        <v>0.99968384445146996</v>
      </c>
      <c r="P219" s="25">
        <f t="shared" si="11"/>
        <v>0.99968384445147007</v>
      </c>
      <c r="Q219">
        <v>63</v>
      </c>
      <c r="R219" t="s">
        <v>124</v>
      </c>
      <c r="S219" t="s">
        <v>124</v>
      </c>
      <c r="T219" t="s">
        <v>124</v>
      </c>
      <c r="U219" t="s">
        <v>124</v>
      </c>
      <c r="X219" s="19">
        <f>J219</f>
        <v>0.81194029850746263</v>
      </c>
      <c r="Y219" s="19">
        <f>N219</f>
        <v>3.1615554852992833E-4</v>
      </c>
      <c r="Z219" s="26">
        <f>(L219+Q219)/(L219+Q219+H219+K219)</f>
        <v>1.8296169239565466E-2</v>
      </c>
    </row>
    <row r="220" spans="1:26" x14ac:dyDescent="0.35">
      <c r="A220" t="s">
        <v>122</v>
      </c>
      <c r="B220" t="s">
        <v>122</v>
      </c>
      <c r="C220" t="s">
        <v>123</v>
      </c>
      <c r="D220" t="s">
        <v>100</v>
      </c>
      <c r="E220" t="s">
        <v>99</v>
      </c>
      <c r="F220" t="s">
        <v>12</v>
      </c>
      <c r="G220">
        <v>1</v>
      </c>
      <c r="H220">
        <v>272</v>
      </c>
      <c r="I220">
        <v>0.81194029850746197</v>
      </c>
      <c r="J220" s="25">
        <f t="shared" si="10"/>
        <v>0.81194029850746263</v>
      </c>
      <c r="K220">
        <v>3162</v>
      </c>
      <c r="L220">
        <v>0.999999999999999</v>
      </c>
      <c r="M220" s="16">
        <v>3.1615554852987602E-4</v>
      </c>
      <c r="N220" s="25">
        <f t="shared" si="9"/>
        <v>3.1615554852992833E-4</v>
      </c>
      <c r="O220">
        <v>0.99968384445146996</v>
      </c>
      <c r="P220" s="25">
        <f t="shared" si="11"/>
        <v>0.99968384445147007</v>
      </c>
      <c r="Q220">
        <v>63</v>
      </c>
      <c r="R220" t="s">
        <v>124</v>
      </c>
      <c r="S220" t="s">
        <v>124</v>
      </c>
      <c r="T220" t="s">
        <v>124</v>
      </c>
      <c r="U220" t="s">
        <v>124</v>
      </c>
      <c r="X220" s="19">
        <f>J220</f>
        <v>0.81194029850746263</v>
      </c>
      <c r="Y220" s="19">
        <f>N220</f>
        <v>3.1615554852992833E-4</v>
      </c>
      <c r="Z220" s="26">
        <f>(L220+Q220)/(L220+Q220+H220+K220)</f>
        <v>1.8296169239565466E-2</v>
      </c>
    </row>
    <row r="221" spans="1:26" x14ac:dyDescent="0.35">
      <c r="A221" t="s">
        <v>122</v>
      </c>
      <c r="B221" t="s">
        <v>122</v>
      </c>
      <c r="C221" t="s">
        <v>123</v>
      </c>
      <c r="D221" t="s">
        <v>100</v>
      </c>
      <c r="E221" t="s">
        <v>99</v>
      </c>
      <c r="F221" t="s">
        <v>12</v>
      </c>
      <c r="G221">
        <v>1</v>
      </c>
      <c r="H221">
        <v>272</v>
      </c>
      <c r="I221">
        <v>0.81194029850746197</v>
      </c>
      <c r="J221" s="25">
        <f t="shared" si="10"/>
        <v>0.81194029850746263</v>
      </c>
      <c r="K221">
        <v>3162</v>
      </c>
      <c r="L221">
        <v>0.999999999999999</v>
      </c>
      <c r="M221" s="16">
        <v>3.1615554852987602E-4</v>
      </c>
      <c r="N221" s="25">
        <f t="shared" si="9"/>
        <v>3.1615554852992833E-4</v>
      </c>
      <c r="O221">
        <v>0.99968384445146996</v>
      </c>
      <c r="P221" s="25">
        <f t="shared" si="11"/>
        <v>0.99968384445147007</v>
      </c>
      <c r="Q221">
        <v>63</v>
      </c>
      <c r="R221" t="s">
        <v>124</v>
      </c>
      <c r="S221" t="s">
        <v>124</v>
      </c>
      <c r="T221" t="s">
        <v>124</v>
      </c>
      <c r="U221" t="s">
        <v>124</v>
      </c>
      <c r="X221" s="19">
        <f>J221</f>
        <v>0.81194029850746263</v>
      </c>
      <c r="Y221" s="19">
        <f>N221</f>
        <v>3.1615554852992833E-4</v>
      </c>
      <c r="Z221" s="26">
        <f>(L221+Q221)/(L221+Q221+H221+K221)</f>
        <v>1.8296169239565466E-2</v>
      </c>
    </row>
    <row r="222" spans="1:26" x14ac:dyDescent="0.35">
      <c r="A222" t="s">
        <v>122</v>
      </c>
      <c r="B222" t="s">
        <v>122</v>
      </c>
      <c r="C222" t="s">
        <v>123</v>
      </c>
      <c r="D222" t="s">
        <v>100</v>
      </c>
      <c r="E222" t="s">
        <v>99</v>
      </c>
      <c r="F222" t="s">
        <v>12</v>
      </c>
      <c r="G222">
        <v>1</v>
      </c>
      <c r="H222">
        <v>272</v>
      </c>
      <c r="I222">
        <v>0.81194029850746197</v>
      </c>
      <c r="J222" s="25">
        <f t="shared" si="10"/>
        <v>0.81194029850746263</v>
      </c>
      <c r="K222">
        <v>3162</v>
      </c>
      <c r="L222">
        <v>0.999999999999999</v>
      </c>
      <c r="M222" s="16">
        <v>3.1615554852987602E-4</v>
      </c>
      <c r="N222" s="25">
        <f t="shared" si="9"/>
        <v>3.1615554852992833E-4</v>
      </c>
      <c r="O222">
        <v>0.99968384445146996</v>
      </c>
      <c r="P222" s="25">
        <f t="shared" si="11"/>
        <v>0.99968384445147007</v>
      </c>
      <c r="Q222">
        <v>63</v>
      </c>
      <c r="R222" t="s">
        <v>124</v>
      </c>
      <c r="S222" t="s">
        <v>124</v>
      </c>
      <c r="T222" t="s">
        <v>124</v>
      </c>
      <c r="U222" t="s">
        <v>124</v>
      </c>
      <c r="X222" s="19">
        <f>J222</f>
        <v>0.81194029850746263</v>
      </c>
      <c r="Y222" s="19">
        <f>N222</f>
        <v>3.1615554852992833E-4</v>
      </c>
      <c r="Z222" s="26">
        <f>(L222+Q222)/(L222+Q222+H222+K222)</f>
        <v>1.8296169239565466E-2</v>
      </c>
    </row>
    <row r="223" spans="1:26" x14ac:dyDescent="0.35">
      <c r="A223" t="s">
        <v>122</v>
      </c>
      <c r="B223" t="s">
        <v>122</v>
      </c>
      <c r="C223" t="s">
        <v>123</v>
      </c>
      <c r="D223" t="s">
        <v>100</v>
      </c>
      <c r="E223" t="s">
        <v>99</v>
      </c>
      <c r="F223" t="s">
        <v>12</v>
      </c>
      <c r="G223">
        <v>1</v>
      </c>
      <c r="H223">
        <v>272</v>
      </c>
      <c r="I223">
        <v>0.81194029850746197</v>
      </c>
      <c r="J223" s="25">
        <f t="shared" si="10"/>
        <v>0.81194029850746263</v>
      </c>
      <c r="K223">
        <v>3162</v>
      </c>
      <c r="L223">
        <v>0.999999999999999</v>
      </c>
      <c r="M223" s="16">
        <v>3.1615554852987602E-4</v>
      </c>
      <c r="N223" s="25">
        <f t="shared" si="9"/>
        <v>3.1615554852992833E-4</v>
      </c>
      <c r="O223">
        <v>0.99968384445146996</v>
      </c>
      <c r="P223" s="25">
        <f t="shared" si="11"/>
        <v>0.99968384445147007</v>
      </c>
      <c r="Q223">
        <v>63</v>
      </c>
      <c r="R223" t="s">
        <v>124</v>
      </c>
      <c r="S223" t="s">
        <v>124</v>
      </c>
      <c r="T223" t="s">
        <v>124</v>
      </c>
      <c r="U223" t="s">
        <v>124</v>
      </c>
      <c r="X223" s="19">
        <f>J223</f>
        <v>0.81194029850746263</v>
      </c>
      <c r="Y223" s="19">
        <f>N223</f>
        <v>3.1615554852992833E-4</v>
      </c>
      <c r="Z223" s="26">
        <f>(L223+Q223)/(L223+Q223+H223+K223)</f>
        <v>1.8296169239565466E-2</v>
      </c>
    </row>
    <row r="224" spans="1:26" x14ac:dyDescent="0.35">
      <c r="A224" t="s">
        <v>122</v>
      </c>
      <c r="B224" t="s">
        <v>122</v>
      </c>
      <c r="C224" t="s">
        <v>123</v>
      </c>
      <c r="D224" t="s">
        <v>100</v>
      </c>
      <c r="E224" t="s">
        <v>99</v>
      </c>
      <c r="F224" t="s">
        <v>12</v>
      </c>
      <c r="G224">
        <v>1</v>
      </c>
      <c r="H224">
        <v>272</v>
      </c>
      <c r="I224">
        <v>0.81194029850746197</v>
      </c>
      <c r="J224" s="25">
        <f t="shared" si="10"/>
        <v>0.81194029850746263</v>
      </c>
      <c r="K224">
        <v>3162</v>
      </c>
      <c r="L224">
        <v>0.999999999999999</v>
      </c>
      <c r="M224" s="16">
        <v>3.1615554852987602E-4</v>
      </c>
      <c r="N224" s="25">
        <f t="shared" si="9"/>
        <v>3.1615554852992833E-4</v>
      </c>
      <c r="O224">
        <v>0.99968384445146996</v>
      </c>
      <c r="P224" s="25">
        <f t="shared" si="11"/>
        <v>0.99968384445147007</v>
      </c>
      <c r="Q224">
        <v>63</v>
      </c>
      <c r="R224" t="s">
        <v>124</v>
      </c>
      <c r="S224" t="s">
        <v>124</v>
      </c>
      <c r="T224" t="s">
        <v>124</v>
      </c>
      <c r="U224" t="s">
        <v>124</v>
      </c>
      <c r="X224" s="19">
        <f>J224</f>
        <v>0.81194029850746263</v>
      </c>
      <c r="Y224" s="19">
        <f>N224</f>
        <v>3.1615554852992833E-4</v>
      </c>
      <c r="Z224" s="26">
        <f>(L224+Q224)/(L224+Q224+H224+K224)</f>
        <v>1.8296169239565466E-2</v>
      </c>
    </row>
    <row r="225" spans="1:26" x14ac:dyDescent="0.35">
      <c r="A225" t="s">
        <v>122</v>
      </c>
      <c r="B225" t="s">
        <v>122</v>
      </c>
      <c r="C225" t="s">
        <v>123</v>
      </c>
      <c r="D225" t="s">
        <v>100</v>
      </c>
      <c r="E225" t="s">
        <v>99</v>
      </c>
      <c r="F225" t="s">
        <v>12</v>
      </c>
      <c r="G225">
        <v>1</v>
      </c>
      <c r="H225">
        <v>272</v>
      </c>
      <c r="I225">
        <v>0.81194029850746197</v>
      </c>
      <c r="J225" s="25">
        <f t="shared" si="10"/>
        <v>0.81194029850746263</v>
      </c>
      <c r="K225">
        <v>3162</v>
      </c>
      <c r="L225">
        <v>0.999999999999999</v>
      </c>
      <c r="M225" s="16">
        <v>3.1615554852987602E-4</v>
      </c>
      <c r="N225" s="25">
        <f t="shared" si="9"/>
        <v>3.1615554852992833E-4</v>
      </c>
      <c r="O225">
        <v>0.99968384445146996</v>
      </c>
      <c r="P225" s="25">
        <f t="shared" si="11"/>
        <v>0.99968384445147007</v>
      </c>
      <c r="Q225">
        <v>63</v>
      </c>
      <c r="R225" t="s">
        <v>124</v>
      </c>
      <c r="S225" t="s">
        <v>124</v>
      </c>
      <c r="T225" t="s">
        <v>124</v>
      </c>
      <c r="U225" t="s">
        <v>124</v>
      </c>
      <c r="X225" s="19">
        <f>J225</f>
        <v>0.81194029850746263</v>
      </c>
      <c r="Y225" s="19">
        <f>N225</f>
        <v>3.1615554852992833E-4</v>
      </c>
      <c r="Z225" s="26">
        <f>(L225+Q225)/(L225+Q225+H225+K225)</f>
        <v>1.8296169239565466E-2</v>
      </c>
    </row>
    <row r="226" spans="1:26" x14ac:dyDescent="0.35">
      <c r="A226" t="s">
        <v>122</v>
      </c>
      <c r="B226" t="s">
        <v>122</v>
      </c>
      <c r="C226" t="s">
        <v>123</v>
      </c>
      <c r="D226" t="s">
        <v>100</v>
      </c>
      <c r="E226" t="s">
        <v>99</v>
      </c>
      <c r="F226" t="s">
        <v>12</v>
      </c>
      <c r="G226">
        <v>1</v>
      </c>
      <c r="H226">
        <v>272</v>
      </c>
      <c r="I226">
        <v>0.81194029850746197</v>
      </c>
      <c r="J226" s="25">
        <f t="shared" si="10"/>
        <v>0.81194029850746263</v>
      </c>
      <c r="K226">
        <v>3162</v>
      </c>
      <c r="L226">
        <v>0.999999999999999</v>
      </c>
      <c r="M226" s="16">
        <v>3.1615554852987602E-4</v>
      </c>
      <c r="N226" s="25">
        <f t="shared" si="9"/>
        <v>3.1615554852992833E-4</v>
      </c>
      <c r="O226">
        <v>0.99968384445146996</v>
      </c>
      <c r="P226" s="25">
        <f t="shared" si="11"/>
        <v>0.99968384445147007</v>
      </c>
      <c r="Q226">
        <v>63</v>
      </c>
      <c r="R226" t="s">
        <v>124</v>
      </c>
      <c r="S226" t="s">
        <v>124</v>
      </c>
      <c r="T226" t="s">
        <v>124</v>
      </c>
      <c r="U226" t="s">
        <v>124</v>
      </c>
      <c r="X226" s="19">
        <f>J226</f>
        <v>0.81194029850746263</v>
      </c>
      <c r="Y226" s="19">
        <f>N226</f>
        <v>3.1615554852992833E-4</v>
      </c>
      <c r="Z226" s="26">
        <f>(L226+Q226)/(L226+Q226+H226+K226)</f>
        <v>1.8296169239565466E-2</v>
      </c>
    </row>
    <row r="227" spans="1:26" x14ac:dyDescent="0.35">
      <c r="A227" t="s">
        <v>122</v>
      </c>
      <c r="B227" t="s">
        <v>122</v>
      </c>
      <c r="C227" t="s">
        <v>123</v>
      </c>
      <c r="D227" t="s">
        <v>100</v>
      </c>
      <c r="E227" t="s">
        <v>99</v>
      </c>
      <c r="F227" t="s">
        <v>12</v>
      </c>
      <c r="G227">
        <v>1</v>
      </c>
      <c r="H227">
        <v>272</v>
      </c>
      <c r="I227">
        <v>0.81194029850746197</v>
      </c>
      <c r="J227" s="25">
        <f t="shared" si="10"/>
        <v>0.81194029850746263</v>
      </c>
      <c r="K227">
        <v>3162</v>
      </c>
      <c r="L227">
        <v>0.999999999999999</v>
      </c>
      <c r="M227" s="16">
        <v>3.1615554852987602E-4</v>
      </c>
      <c r="N227" s="25">
        <f t="shared" si="9"/>
        <v>3.1615554852992833E-4</v>
      </c>
      <c r="O227">
        <v>0.99968384445146996</v>
      </c>
      <c r="P227" s="25">
        <f t="shared" si="11"/>
        <v>0.99968384445147007</v>
      </c>
      <c r="Q227">
        <v>63</v>
      </c>
      <c r="R227" t="s">
        <v>124</v>
      </c>
      <c r="S227" t="s">
        <v>124</v>
      </c>
      <c r="T227" t="s">
        <v>124</v>
      </c>
      <c r="U227" t="s">
        <v>124</v>
      </c>
      <c r="X227" s="19">
        <f>J227</f>
        <v>0.81194029850746263</v>
      </c>
      <c r="Y227" s="19">
        <f>N227</f>
        <v>3.1615554852992833E-4</v>
      </c>
      <c r="Z227" s="26">
        <f>(L227+Q227)/(L227+Q227+H227+K227)</f>
        <v>1.8296169239565466E-2</v>
      </c>
    </row>
    <row r="228" spans="1:26" x14ac:dyDescent="0.35">
      <c r="A228" t="s">
        <v>122</v>
      </c>
      <c r="B228" t="s">
        <v>122</v>
      </c>
      <c r="C228" t="s">
        <v>123</v>
      </c>
      <c r="D228" t="s">
        <v>100</v>
      </c>
      <c r="E228" t="s">
        <v>99</v>
      </c>
      <c r="F228" t="s">
        <v>12</v>
      </c>
      <c r="G228">
        <v>1</v>
      </c>
      <c r="H228">
        <v>272</v>
      </c>
      <c r="I228">
        <v>0.81194029850746197</v>
      </c>
      <c r="J228" s="25">
        <f t="shared" si="10"/>
        <v>0.81194029850746263</v>
      </c>
      <c r="K228">
        <v>3162</v>
      </c>
      <c r="L228">
        <v>0.999999999999999</v>
      </c>
      <c r="M228" s="16">
        <v>3.1615554852987602E-4</v>
      </c>
      <c r="N228" s="25">
        <f t="shared" si="9"/>
        <v>3.1615554852992833E-4</v>
      </c>
      <c r="O228">
        <v>0.99968384445146996</v>
      </c>
      <c r="P228" s="25">
        <f t="shared" si="11"/>
        <v>0.99968384445147007</v>
      </c>
      <c r="Q228">
        <v>63</v>
      </c>
      <c r="R228" t="s">
        <v>124</v>
      </c>
      <c r="S228" t="s">
        <v>124</v>
      </c>
      <c r="T228" t="s">
        <v>124</v>
      </c>
      <c r="U228" t="s">
        <v>124</v>
      </c>
      <c r="X228" s="19">
        <f>J228</f>
        <v>0.81194029850746263</v>
      </c>
      <c r="Y228" s="19">
        <f>N228</f>
        <v>3.1615554852992833E-4</v>
      </c>
      <c r="Z228" s="26">
        <f>(L228+Q228)/(L228+Q228+H228+K228)</f>
        <v>1.8296169239565466E-2</v>
      </c>
    </row>
    <row r="229" spans="1:26" x14ac:dyDescent="0.35">
      <c r="A229" t="s">
        <v>122</v>
      </c>
      <c r="B229" t="s">
        <v>122</v>
      </c>
      <c r="C229" t="s">
        <v>123</v>
      </c>
      <c r="D229" t="s">
        <v>100</v>
      </c>
      <c r="E229" t="s">
        <v>99</v>
      </c>
      <c r="F229" t="s">
        <v>12</v>
      </c>
      <c r="G229">
        <v>1</v>
      </c>
      <c r="H229">
        <v>272</v>
      </c>
      <c r="I229">
        <v>0.81194029850746197</v>
      </c>
      <c r="J229" s="25">
        <f t="shared" si="10"/>
        <v>0.81194029850746263</v>
      </c>
      <c r="K229">
        <v>3162</v>
      </c>
      <c r="L229">
        <v>0.999999999999999</v>
      </c>
      <c r="M229" s="16">
        <v>3.1615554852987602E-4</v>
      </c>
      <c r="N229" s="25">
        <f t="shared" si="9"/>
        <v>3.1615554852992833E-4</v>
      </c>
      <c r="O229">
        <v>0.99968384445146996</v>
      </c>
      <c r="P229" s="25">
        <f t="shared" si="11"/>
        <v>0.99968384445147007</v>
      </c>
      <c r="Q229">
        <v>63</v>
      </c>
      <c r="R229" t="s">
        <v>124</v>
      </c>
      <c r="S229" t="s">
        <v>124</v>
      </c>
      <c r="T229" t="s">
        <v>124</v>
      </c>
      <c r="U229" t="s">
        <v>124</v>
      </c>
      <c r="X229" s="19">
        <f>J229</f>
        <v>0.81194029850746263</v>
      </c>
      <c r="Y229" s="19">
        <f>N229</f>
        <v>3.1615554852992833E-4</v>
      </c>
      <c r="Z229" s="26">
        <f>(L229+Q229)/(L229+Q229+H229+K229)</f>
        <v>1.8296169239565466E-2</v>
      </c>
    </row>
    <row r="230" spans="1:26" x14ac:dyDescent="0.35">
      <c r="A230" t="s">
        <v>122</v>
      </c>
      <c r="B230" t="s">
        <v>122</v>
      </c>
      <c r="C230" t="s">
        <v>123</v>
      </c>
      <c r="D230" t="s">
        <v>100</v>
      </c>
      <c r="E230" t="s">
        <v>99</v>
      </c>
      <c r="F230" t="s">
        <v>12</v>
      </c>
      <c r="G230">
        <v>1</v>
      </c>
      <c r="H230">
        <v>272</v>
      </c>
      <c r="I230">
        <v>0.81194029850746197</v>
      </c>
      <c r="J230" s="25">
        <f t="shared" si="10"/>
        <v>0.81194029850746263</v>
      </c>
      <c r="K230">
        <v>3162</v>
      </c>
      <c r="L230">
        <v>0.999999999999999</v>
      </c>
      <c r="M230" s="16">
        <v>3.1615554852987602E-4</v>
      </c>
      <c r="N230" s="25">
        <f t="shared" si="9"/>
        <v>3.1615554852992833E-4</v>
      </c>
      <c r="O230">
        <v>0.99968384445146996</v>
      </c>
      <c r="P230" s="25">
        <f t="shared" si="11"/>
        <v>0.99968384445147007</v>
      </c>
      <c r="Q230">
        <v>63</v>
      </c>
      <c r="R230" t="s">
        <v>124</v>
      </c>
      <c r="S230" t="s">
        <v>124</v>
      </c>
      <c r="T230" t="s">
        <v>124</v>
      </c>
      <c r="U230" t="s">
        <v>124</v>
      </c>
      <c r="X230" s="19">
        <f>J230</f>
        <v>0.81194029850746263</v>
      </c>
      <c r="Y230" s="19">
        <f>N230</f>
        <v>3.1615554852992833E-4</v>
      </c>
      <c r="Z230" s="26">
        <f>(L230+Q230)/(L230+Q230+H230+K230)</f>
        <v>1.8296169239565466E-2</v>
      </c>
    </row>
    <row r="231" spans="1:26" x14ac:dyDescent="0.35">
      <c r="A231" t="s">
        <v>122</v>
      </c>
      <c r="B231" t="s">
        <v>122</v>
      </c>
      <c r="C231" t="s">
        <v>123</v>
      </c>
      <c r="D231" t="s">
        <v>100</v>
      </c>
      <c r="E231" t="s">
        <v>99</v>
      </c>
      <c r="F231" t="s">
        <v>12</v>
      </c>
      <c r="G231">
        <v>1</v>
      </c>
      <c r="H231">
        <v>272</v>
      </c>
      <c r="I231">
        <v>0.81194029850746197</v>
      </c>
      <c r="J231" s="25">
        <f t="shared" si="10"/>
        <v>0.81194029850746263</v>
      </c>
      <c r="K231">
        <v>3162</v>
      </c>
      <c r="L231">
        <v>0.999999999999999</v>
      </c>
      <c r="M231" s="16">
        <v>3.1615554852987602E-4</v>
      </c>
      <c r="N231" s="25">
        <f t="shared" si="9"/>
        <v>3.1615554852992833E-4</v>
      </c>
      <c r="O231">
        <v>0.99968384445146996</v>
      </c>
      <c r="P231" s="25">
        <f t="shared" si="11"/>
        <v>0.99968384445147007</v>
      </c>
      <c r="Q231">
        <v>63</v>
      </c>
      <c r="R231" t="s">
        <v>124</v>
      </c>
      <c r="S231" t="s">
        <v>124</v>
      </c>
      <c r="T231" t="s">
        <v>124</v>
      </c>
      <c r="U231" t="s">
        <v>124</v>
      </c>
      <c r="X231" s="19">
        <f>J231</f>
        <v>0.81194029850746263</v>
      </c>
      <c r="Y231" s="19">
        <f>N231</f>
        <v>3.1615554852992833E-4</v>
      </c>
      <c r="Z231" s="26">
        <f>(L231+Q231)/(L231+Q231+H231+K231)</f>
        <v>1.8296169239565466E-2</v>
      </c>
    </row>
    <row r="232" spans="1:26" x14ac:dyDescent="0.35">
      <c r="A232" t="s">
        <v>122</v>
      </c>
      <c r="B232" t="s">
        <v>122</v>
      </c>
      <c r="C232" t="s">
        <v>123</v>
      </c>
      <c r="D232" t="s">
        <v>100</v>
      </c>
      <c r="E232" t="s">
        <v>99</v>
      </c>
      <c r="F232" t="s">
        <v>12</v>
      </c>
      <c r="G232">
        <v>1</v>
      </c>
      <c r="H232">
        <v>272</v>
      </c>
      <c r="I232">
        <v>0.81194029850746197</v>
      </c>
      <c r="J232" s="25">
        <f t="shared" si="10"/>
        <v>0.81194029850746263</v>
      </c>
      <c r="K232">
        <v>3162</v>
      </c>
      <c r="L232">
        <v>0.999999999999999</v>
      </c>
      <c r="M232" s="16">
        <v>3.1615554852987602E-4</v>
      </c>
      <c r="N232" s="25">
        <f t="shared" si="9"/>
        <v>3.1615554852992833E-4</v>
      </c>
      <c r="O232">
        <v>0.99968384445146996</v>
      </c>
      <c r="P232" s="25">
        <f t="shared" si="11"/>
        <v>0.99968384445147007</v>
      </c>
      <c r="Q232">
        <v>63</v>
      </c>
      <c r="R232" t="s">
        <v>124</v>
      </c>
      <c r="S232" t="s">
        <v>124</v>
      </c>
      <c r="T232" t="s">
        <v>124</v>
      </c>
      <c r="U232" t="s">
        <v>124</v>
      </c>
      <c r="X232" s="19">
        <f>J232</f>
        <v>0.81194029850746263</v>
      </c>
      <c r="Y232" s="19">
        <f>N232</f>
        <v>3.1615554852992833E-4</v>
      </c>
      <c r="Z232" s="26">
        <f>(L232+Q232)/(L232+Q232+H232+K232)</f>
        <v>1.8296169239565466E-2</v>
      </c>
    </row>
    <row r="233" spans="1:26" x14ac:dyDescent="0.35">
      <c r="A233" t="s">
        <v>122</v>
      </c>
      <c r="B233" t="s">
        <v>122</v>
      </c>
      <c r="C233" t="s">
        <v>123</v>
      </c>
      <c r="D233" t="s">
        <v>100</v>
      </c>
      <c r="E233" t="s">
        <v>99</v>
      </c>
      <c r="F233" t="s">
        <v>12</v>
      </c>
      <c r="G233">
        <v>1</v>
      </c>
      <c r="H233">
        <v>272</v>
      </c>
      <c r="I233">
        <v>0.81194029850746197</v>
      </c>
      <c r="J233" s="25">
        <f t="shared" si="10"/>
        <v>0.81194029850746263</v>
      </c>
      <c r="K233">
        <v>3162</v>
      </c>
      <c r="L233">
        <v>0.999999999999999</v>
      </c>
      <c r="M233" s="16">
        <v>3.1615554852987602E-4</v>
      </c>
      <c r="N233" s="25">
        <f t="shared" si="9"/>
        <v>3.1615554852992833E-4</v>
      </c>
      <c r="O233">
        <v>0.99968384445146996</v>
      </c>
      <c r="P233" s="25">
        <f t="shared" si="11"/>
        <v>0.99968384445147007</v>
      </c>
      <c r="Q233">
        <v>63</v>
      </c>
      <c r="R233" t="s">
        <v>124</v>
      </c>
      <c r="S233" t="s">
        <v>124</v>
      </c>
      <c r="T233" t="s">
        <v>124</v>
      </c>
      <c r="U233" t="s">
        <v>124</v>
      </c>
      <c r="X233" s="19">
        <f>J233</f>
        <v>0.81194029850746263</v>
      </c>
      <c r="Y233" s="19">
        <f>N233</f>
        <v>3.1615554852992833E-4</v>
      </c>
      <c r="Z233" s="26">
        <f>(L233+Q233)/(L233+Q233+H233+K233)</f>
        <v>1.8296169239565466E-2</v>
      </c>
    </row>
    <row r="234" spans="1:26" x14ac:dyDescent="0.35">
      <c r="A234" t="s">
        <v>122</v>
      </c>
      <c r="B234" t="s">
        <v>122</v>
      </c>
      <c r="C234" t="s">
        <v>123</v>
      </c>
      <c r="D234" t="s">
        <v>100</v>
      </c>
      <c r="E234" t="s">
        <v>99</v>
      </c>
      <c r="F234" t="s">
        <v>12</v>
      </c>
      <c r="G234">
        <v>1</v>
      </c>
      <c r="H234">
        <v>272</v>
      </c>
      <c r="I234">
        <v>0.81194029850746197</v>
      </c>
      <c r="J234" s="25">
        <f t="shared" si="10"/>
        <v>0.81194029850746263</v>
      </c>
      <c r="K234">
        <v>3162</v>
      </c>
      <c r="L234">
        <v>0.999999999999999</v>
      </c>
      <c r="M234" s="16">
        <v>3.1615554852987602E-4</v>
      </c>
      <c r="N234" s="25">
        <f t="shared" si="9"/>
        <v>3.1615554852992833E-4</v>
      </c>
      <c r="O234">
        <v>0.99968384445146996</v>
      </c>
      <c r="P234" s="25">
        <f t="shared" si="11"/>
        <v>0.99968384445147007</v>
      </c>
      <c r="Q234">
        <v>63</v>
      </c>
      <c r="R234" t="s">
        <v>124</v>
      </c>
      <c r="S234" t="s">
        <v>124</v>
      </c>
      <c r="T234" t="s">
        <v>124</v>
      </c>
      <c r="U234" t="s">
        <v>124</v>
      </c>
      <c r="X234" s="19">
        <f>J234</f>
        <v>0.81194029850746263</v>
      </c>
      <c r="Y234" s="19">
        <f>N234</f>
        <v>3.1615554852992833E-4</v>
      </c>
      <c r="Z234" s="26">
        <f>(L234+Q234)/(L234+Q234+H234+K234)</f>
        <v>1.8296169239565466E-2</v>
      </c>
    </row>
    <row r="235" spans="1:26" x14ac:dyDescent="0.35">
      <c r="A235" t="s">
        <v>122</v>
      </c>
      <c r="B235" t="s">
        <v>122</v>
      </c>
      <c r="C235" t="s">
        <v>123</v>
      </c>
      <c r="D235" t="s">
        <v>100</v>
      </c>
      <c r="E235" t="s">
        <v>99</v>
      </c>
      <c r="F235" t="s">
        <v>12</v>
      </c>
      <c r="G235">
        <v>1</v>
      </c>
      <c r="H235">
        <v>272</v>
      </c>
      <c r="I235">
        <v>0.81194029850746197</v>
      </c>
      <c r="J235" s="25">
        <f t="shared" si="10"/>
        <v>0.81194029850746263</v>
      </c>
      <c r="K235">
        <v>3162</v>
      </c>
      <c r="L235">
        <v>0.999999999999999</v>
      </c>
      <c r="M235" s="16">
        <v>3.1615554852987602E-4</v>
      </c>
      <c r="N235" s="25">
        <f t="shared" si="9"/>
        <v>3.1615554852992833E-4</v>
      </c>
      <c r="O235">
        <v>0.99968384445146996</v>
      </c>
      <c r="P235" s="25">
        <f t="shared" si="11"/>
        <v>0.99968384445147007</v>
      </c>
      <c r="Q235">
        <v>63</v>
      </c>
      <c r="R235" t="s">
        <v>124</v>
      </c>
      <c r="S235" t="s">
        <v>124</v>
      </c>
      <c r="T235" t="s">
        <v>124</v>
      </c>
      <c r="U235" t="s">
        <v>124</v>
      </c>
      <c r="X235" s="19">
        <f>J235</f>
        <v>0.81194029850746263</v>
      </c>
      <c r="Y235" s="19">
        <f>N235</f>
        <v>3.1615554852992833E-4</v>
      </c>
      <c r="Z235" s="26">
        <f>(L235+Q235)/(L235+Q235+H235+K235)</f>
        <v>1.8296169239565466E-2</v>
      </c>
    </row>
    <row r="236" spans="1:26" x14ac:dyDescent="0.35">
      <c r="A236" t="s">
        <v>122</v>
      </c>
      <c r="B236" t="s">
        <v>122</v>
      </c>
      <c r="C236" t="s">
        <v>123</v>
      </c>
      <c r="D236" t="s">
        <v>100</v>
      </c>
      <c r="E236" t="s">
        <v>99</v>
      </c>
      <c r="F236" t="s">
        <v>12</v>
      </c>
      <c r="G236">
        <v>1</v>
      </c>
      <c r="H236">
        <v>272</v>
      </c>
      <c r="I236">
        <v>0.81194029850746197</v>
      </c>
      <c r="J236" s="25">
        <f t="shared" si="10"/>
        <v>0.81194029850746263</v>
      </c>
      <c r="K236">
        <v>3162</v>
      </c>
      <c r="L236">
        <v>0.999999999999999</v>
      </c>
      <c r="M236" s="16">
        <v>3.1615554852987602E-4</v>
      </c>
      <c r="N236" s="25">
        <f t="shared" si="9"/>
        <v>3.1615554852992833E-4</v>
      </c>
      <c r="O236">
        <v>0.99968384445146996</v>
      </c>
      <c r="P236" s="25">
        <f t="shared" si="11"/>
        <v>0.99968384445147007</v>
      </c>
      <c r="Q236">
        <v>63</v>
      </c>
      <c r="R236" t="s">
        <v>124</v>
      </c>
      <c r="S236" t="s">
        <v>124</v>
      </c>
      <c r="T236" t="s">
        <v>124</v>
      </c>
      <c r="U236" t="s">
        <v>124</v>
      </c>
      <c r="X236" s="19">
        <f>J236</f>
        <v>0.81194029850746263</v>
      </c>
      <c r="Y236" s="19">
        <f>N236</f>
        <v>3.1615554852992833E-4</v>
      </c>
      <c r="Z236" s="26">
        <f>(L236+Q236)/(L236+Q236+H236+K236)</f>
        <v>1.8296169239565466E-2</v>
      </c>
    </row>
    <row r="237" spans="1:26" x14ac:dyDescent="0.35">
      <c r="A237" t="s">
        <v>122</v>
      </c>
      <c r="B237" t="s">
        <v>122</v>
      </c>
      <c r="C237" t="s">
        <v>123</v>
      </c>
      <c r="D237" t="s">
        <v>100</v>
      </c>
      <c r="E237" t="s">
        <v>99</v>
      </c>
      <c r="F237" t="s">
        <v>12</v>
      </c>
      <c r="G237">
        <v>1</v>
      </c>
      <c r="H237">
        <v>272</v>
      </c>
      <c r="I237">
        <v>0.81194029850746197</v>
      </c>
      <c r="J237" s="25">
        <f t="shared" si="10"/>
        <v>0.81194029850746263</v>
      </c>
      <c r="K237">
        <v>3162</v>
      </c>
      <c r="L237">
        <v>0.999999999999999</v>
      </c>
      <c r="M237" s="16">
        <v>3.1615554852987602E-4</v>
      </c>
      <c r="N237" s="25">
        <f t="shared" si="9"/>
        <v>3.1615554852992833E-4</v>
      </c>
      <c r="O237">
        <v>0.99968384445146996</v>
      </c>
      <c r="P237" s="25">
        <f t="shared" si="11"/>
        <v>0.99968384445147007</v>
      </c>
      <c r="Q237">
        <v>63</v>
      </c>
      <c r="R237" t="s">
        <v>124</v>
      </c>
      <c r="S237" t="s">
        <v>124</v>
      </c>
      <c r="T237" t="s">
        <v>124</v>
      </c>
      <c r="U237" t="s">
        <v>124</v>
      </c>
      <c r="X237" s="19">
        <f>J237</f>
        <v>0.81194029850746263</v>
      </c>
      <c r="Y237" s="19">
        <f>N237</f>
        <v>3.1615554852992833E-4</v>
      </c>
      <c r="Z237" s="26">
        <f>(L237+Q237)/(L237+Q237+H237+K237)</f>
        <v>1.8296169239565466E-2</v>
      </c>
    </row>
    <row r="238" spans="1:26" x14ac:dyDescent="0.35">
      <c r="A238" t="s">
        <v>122</v>
      </c>
      <c r="B238" t="s">
        <v>122</v>
      </c>
      <c r="C238" t="s">
        <v>123</v>
      </c>
      <c r="D238" t="s">
        <v>100</v>
      </c>
      <c r="E238" t="s">
        <v>99</v>
      </c>
      <c r="F238" t="s">
        <v>12</v>
      </c>
      <c r="G238">
        <v>1</v>
      </c>
      <c r="H238">
        <v>272</v>
      </c>
      <c r="I238">
        <v>0.81194029850746197</v>
      </c>
      <c r="J238" s="25">
        <f t="shared" si="10"/>
        <v>0.81194029850746263</v>
      </c>
      <c r="K238">
        <v>3162</v>
      </c>
      <c r="L238">
        <v>0.999999999999999</v>
      </c>
      <c r="M238" s="16">
        <v>3.1615554852987602E-4</v>
      </c>
      <c r="N238" s="25">
        <f t="shared" si="9"/>
        <v>3.1615554852992833E-4</v>
      </c>
      <c r="O238">
        <v>0.99968384445146996</v>
      </c>
      <c r="P238" s="25">
        <f t="shared" si="11"/>
        <v>0.99968384445147007</v>
      </c>
      <c r="Q238">
        <v>63</v>
      </c>
      <c r="R238" t="s">
        <v>124</v>
      </c>
      <c r="S238" t="s">
        <v>124</v>
      </c>
      <c r="T238" t="s">
        <v>124</v>
      </c>
      <c r="U238" t="s">
        <v>124</v>
      </c>
      <c r="X238" s="19">
        <f>J238</f>
        <v>0.81194029850746263</v>
      </c>
      <c r="Y238" s="19">
        <f>N238</f>
        <v>3.1615554852992833E-4</v>
      </c>
      <c r="Z238" s="26">
        <f>(L238+Q238)/(L238+Q238+H238+K238)</f>
        <v>1.8296169239565466E-2</v>
      </c>
    </row>
    <row r="239" spans="1:26" x14ac:dyDescent="0.35">
      <c r="A239" t="s">
        <v>122</v>
      </c>
      <c r="B239" t="s">
        <v>122</v>
      </c>
      <c r="C239" t="s">
        <v>123</v>
      </c>
      <c r="D239" t="s">
        <v>100</v>
      </c>
      <c r="E239" t="s">
        <v>99</v>
      </c>
      <c r="F239" t="s">
        <v>12</v>
      </c>
      <c r="G239">
        <v>1</v>
      </c>
      <c r="H239">
        <v>272</v>
      </c>
      <c r="I239">
        <v>0.81194029850746197</v>
      </c>
      <c r="J239" s="25">
        <f t="shared" si="10"/>
        <v>0.81194029850746263</v>
      </c>
      <c r="K239">
        <v>3162</v>
      </c>
      <c r="L239">
        <v>0.999999999999999</v>
      </c>
      <c r="M239" s="16">
        <v>3.1615554852987602E-4</v>
      </c>
      <c r="N239" s="25">
        <f t="shared" si="9"/>
        <v>3.1615554852992833E-4</v>
      </c>
      <c r="O239">
        <v>0.99968384445146996</v>
      </c>
      <c r="P239" s="25">
        <f t="shared" si="11"/>
        <v>0.99968384445147007</v>
      </c>
      <c r="Q239">
        <v>63</v>
      </c>
      <c r="R239" t="s">
        <v>124</v>
      </c>
      <c r="S239" t="s">
        <v>124</v>
      </c>
      <c r="T239" t="s">
        <v>124</v>
      </c>
      <c r="U239" t="s">
        <v>124</v>
      </c>
      <c r="X239" s="19">
        <f>J239</f>
        <v>0.81194029850746263</v>
      </c>
      <c r="Y239" s="19">
        <f>N239</f>
        <v>3.1615554852992833E-4</v>
      </c>
      <c r="Z239" s="26">
        <f>(L239+Q239)/(L239+Q239+H239+K239)</f>
        <v>1.8296169239565466E-2</v>
      </c>
    </row>
    <row r="240" spans="1:26" x14ac:dyDescent="0.35">
      <c r="A240" t="s">
        <v>122</v>
      </c>
      <c r="B240" t="s">
        <v>122</v>
      </c>
      <c r="C240" t="s">
        <v>123</v>
      </c>
      <c r="D240" t="s">
        <v>100</v>
      </c>
      <c r="E240" t="s">
        <v>99</v>
      </c>
      <c r="F240" t="s">
        <v>12</v>
      </c>
      <c r="G240">
        <v>1</v>
      </c>
      <c r="H240">
        <v>272</v>
      </c>
      <c r="I240">
        <v>0.81194029850746197</v>
      </c>
      <c r="J240" s="25">
        <f t="shared" si="10"/>
        <v>0.81194029850746263</v>
      </c>
      <c r="K240">
        <v>3162</v>
      </c>
      <c r="L240">
        <v>0.999999999999999</v>
      </c>
      <c r="M240" s="16">
        <v>3.1615554852987602E-4</v>
      </c>
      <c r="N240" s="25">
        <f t="shared" si="9"/>
        <v>3.1615554852992833E-4</v>
      </c>
      <c r="O240">
        <v>0.99968384445146996</v>
      </c>
      <c r="P240" s="25">
        <f t="shared" si="11"/>
        <v>0.99968384445147007</v>
      </c>
      <c r="Q240">
        <v>63</v>
      </c>
      <c r="R240" t="s">
        <v>124</v>
      </c>
      <c r="S240" t="s">
        <v>124</v>
      </c>
      <c r="T240" t="s">
        <v>124</v>
      </c>
      <c r="U240" t="s">
        <v>124</v>
      </c>
      <c r="X240" s="19">
        <f>J240</f>
        <v>0.81194029850746263</v>
      </c>
      <c r="Y240" s="19">
        <f>N240</f>
        <v>3.1615554852992833E-4</v>
      </c>
      <c r="Z240" s="26">
        <f>(L240+Q240)/(L240+Q240+H240+K240)</f>
        <v>1.8296169239565466E-2</v>
      </c>
    </row>
    <row r="241" spans="1:26" x14ac:dyDescent="0.35">
      <c r="A241" t="s">
        <v>122</v>
      </c>
      <c r="B241" t="s">
        <v>122</v>
      </c>
      <c r="C241" t="s">
        <v>123</v>
      </c>
      <c r="D241" t="s">
        <v>100</v>
      </c>
      <c r="E241" t="s">
        <v>99</v>
      </c>
      <c r="F241" t="s">
        <v>12</v>
      </c>
      <c r="G241">
        <v>1</v>
      </c>
      <c r="H241">
        <v>272</v>
      </c>
      <c r="I241">
        <v>0.81194029850746197</v>
      </c>
      <c r="J241" s="25">
        <f t="shared" si="10"/>
        <v>0.81194029850746263</v>
      </c>
      <c r="K241">
        <v>3162</v>
      </c>
      <c r="L241">
        <v>0.999999999999999</v>
      </c>
      <c r="M241" s="16">
        <v>3.1615554852987602E-4</v>
      </c>
      <c r="N241" s="25">
        <f t="shared" si="9"/>
        <v>3.1615554852992833E-4</v>
      </c>
      <c r="O241">
        <v>0.99968384445146996</v>
      </c>
      <c r="P241" s="25">
        <f t="shared" si="11"/>
        <v>0.99968384445147007</v>
      </c>
      <c r="Q241">
        <v>63</v>
      </c>
      <c r="R241" t="s">
        <v>124</v>
      </c>
      <c r="S241" t="s">
        <v>124</v>
      </c>
      <c r="T241" t="s">
        <v>124</v>
      </c>
      <c r="U241" t="s">
        <v>124</v>
      </c>
      <c r="X241" s="19">
        <f>J241</f>
        <v>0.81194029850746263</v>
      </c>
      <c r="Y241" s="19">
        <f>N241</f>
        <v>3.1615554852992833E-4</v>
      </c>
      <c r="Z241" s="26">
        <f>(L241+Q241)/(L241+Q241+H241+K241)</f>
        <v>1.8296169239565466E-2</v>
      </c>
    </row>
    <row r="242" spans="1:26" x14ac:dyDescent="0.35">
      <c r="A242" t="s">
        <v>122</v>
      </c>
      <c r="B242" t="s">
        <v>122</v>
      </c>
      <c r="C242" t="s">
        <v>123</v>
      </c>
      <c r="D242" t="s">
        <v>100</v>
      </c>
      <c r="E242" t="s">
        <v>99</v>
      </c>
      <c r="F242" t="s">
        <v>12</v>
      </c>
      <c r="G242">
        <v>1</v>
      </c>
      <c r="H242">
        <v>272</v>
      </c>
      <c r="I242">
        <v>0.81194029850746197</v>
      </c>
      <c r="J242" s="25">
        <f t="shared" si="10"/>
        <v>0.81194029850746263</v>
      </c>
      <c r="K242">
        <v>3162</v>
      </c>
      <c r="L242">
        <v>0.999999999999999</v>
      </c>
      <c r="M242" s="16">
        <v>3.1615554852987602E-4</v>
      </c>
      <c r="N242" s="25">
        <f t="shared" si="9"/>
        <v>3.1615554852992833E-4</v>
      </c>
      <c r="O242">
        <v>0.99968384445146996</v>
      </c>
      <c r="P242" s="25">
        <f t="shared" si="11"/>
        <v>0.99968384445147007</v>
      </c>
      <c r="Q242">
        <v>63</v>
      </c>
      <c r="R242" t="s">
        <v>124</v>
      </c>
      <c r="S242" t="s">
        <v>124</v>
      </c>
      <c r="T242" t="s">
        <v>124</v>
      </c>
      <c r="U242" t="s">
        <v>124</v>
      </c>
      <c r="X242" s="19">
        <f>J242</f>
        <v>0.81194029850746263</v>
      </c>
      <c r="Y242" s="19">
        <f>N242</f>
        <v>3.1615554852992833E-4</v>
      </c>
      <c r="Z242" s="26">
        <f>(L242+Q242)/(L242+Q242+H242+K242)</f>
        <v>1.8296169239565466E-2</v>
      </c>
    </row>
    <row r="243" spans="1:26" x14ac:dyDescent="0.35">
      <c r="A243" t="s">
        <v>122</v>
      </c>
      <c r="B243" t="s">
        <v>122</v>
      </c>
      <c r="C243" t="s">
        <v>123</v>
      </c>
      <c r="D243" t="s">
        <v>100</v>
      </c>
      <c r="E243" t="s">
        <v>99</v>
      </c>
      <c r="F243" t="s">
        <v>12</v>
      </c>
      <c r="G243">
        <v>1</v>
      </c>
      <c r="H243">
        <v>272</v>
      </c>
      <c r="I243">
        <v>0.81194029850746197</v>
      </c>
      <c r="J243" s="25">
        <f t="shared" si="10"/>
        <v>0.81194029850746263</v>
      </c>
      <c r="K243">
        <v>3162</v>
      </c>
      <c r="L243">
        <v>0.999999999999999</v>
      </c>
      <c r="M243" s="16">
        <v>3.1615554852987602E-4</v>
      </c>
      <c r="N243" s="25">
        <f t="shared" si="9"/>
        <v>3.1615554852992833E-4</v>
      </c>
      <c r="O243">
        <v>0.99968384445146996</v>
      </c>
      <c r="P243" s="25">
        <f t="shared" si="11"/>
        <v>0.99968384445147007</v>
      </c>
      <c r="Q243">
        <v>63</v>
      </c>
      <c r="R243" t="s">
        <v>124</v>
      </c>
      <c r="S243" t="s">
        <v>124</v>
      </c>
      <c r="T243" t="s">
        <v>124</v>
      </c>
      <c r="U243" t="s">
        <v>124</v>
      </c>
      <c r="X243" s="19">
        <f>J243</f>
        <v>0.81194029850746263</v>
      </c>
      <c r="Y243" s="19">
        <f>N243</f>
        <v>3.1615554852992833E-4</v>
      </c>
      <c r="Z243" s="26">
        <f>(L243+Q243)/(L243+Q243+H243+K243)</f>
        <v>1.8296169239565466E-2</v>
      </c>
    </row>
    <row r="244" spans="1:26" x14ac:dyDescent="0.35">
      <c r="A244" t="s">
        <v>122</v>
      </c>
      <c r="B244" t="s">
        <v>122</v>
      </c>
      <c r="C244" t="s">
        <v>123</v>
      </c>
      <c r="D244" t="s">
        <v>100</v>
      </c>
      <c r="E244" t="s">
        <v>99</v>
      </c>
      <c r="F244" t="s">
        <v>12</v>
      </c>
      <c r="G244">
        <v>1</v>
      </c>
      <c r="H244">
        <v>272</v>
      </c>
      <c r="I244">
        <v>0.81194029850746197</v>
      </c>
      <c r="J244" s="25">
        <f t="shared" si="10"/>
        <v>0.81194029850746263</v>
      </c>
      <c r="K244">
        <v>3162</v>
      </c>
      <c r="L244">
        <v>0.999999999999999</v>
      </c>
      <c r="M244" s="16">
        <v>3.1615554852987602E-4</v>
      </c>
      <c r="N244" s="25">
        <f t="shared" si="9"/>
        <v>3.1615554852992833E-4</v>
      </c>
      <c r="O244">
        <v>0.99968384445146996</v>
      </c>
      <c r="P244" s="25">
        <f t="shared" si="11"/>
        <v>0.99968384445147007</v>
      </c>
      <c r="Q244">
        <v>63</v>
      </c>
      <c r="R244" t="s">
        <v>124</v>
      </c>
      <c r="S244" t="s">
        <v>124</v>
      </c>
      <c r="T244" t="s">
        <v>124</v>
      </c>
      <c r="U244" t="s">
        <v>124</v>
      </c>
      <c r="X244" s="19">
        <f>J244</f>
        <v>0.81194029850746263</v>
      </c>
      <c r="Y244" s="19">
        <f>N244</f>
        <v>3.1615554852992833E-4</v>
      </c>
      <c r="Z244" s="26">
        <f>(L244+Q244)/(L244+Q244+H244+K244)</f>
        <v>1.8296169239565466E-2</v>
      </c>
    </row>
    <row r="245" spans="1:26" x14ac:dyDescent="0.35">
      <c r="A245" t="s">
        <v>122</v>
      </c>
      <c r="B245" t="s">
        <v>122</v>
      </c>
      <c r="C245" t="s">
        <v>123</v>
      </c>
      <c r="D245" t="s">
        <v>100</v>
      </c>
      <c r="E245" t="s">
        <v>99</v>
      </c>
      <c r="F245" t="s">
        <v>12</v>
      </c>
      <c r="G245">
        <v>1</v>
      </c>
      <c r="H245">
        <v>272</v>
      </c>
      <c r="I245">
        <v>0.81194029850746197</v>
      </c>
      <c r="J245" s="25">
        <f t="shared" si="10"/>
        <v>0.81194029850746263</v>
      </c>
      <c r="K245">
        <v>3162</v>
      </c>
      <c r="L245">
        <v>0.999999999999999</v>
      </c>
      <c r="M245" s="16">
        <v>3.1615554852987602E-4</v>
      </c>
      <c r="N245" s="25">
        <f t="shared" si="9"/>
        <v>3.1615554852992833E-4</v>
      </c>
      <c r="O245">
        <v>0.99968384445146996</v>
      </c>
      <c r="P245" s="25">
        <f t="shared" si="11"/>
        <v>0.99968384445147007</v>
      </c>
      <c r="Q245">
        <v>63</v>
      </c>
      <c r="R245" t="s">
        <v>124</v>
      </c>
      <c r="S245" t="s">
        <v>124</v>
      </c>
      <c r="T245" t="s">
        <v>124</v>
      </c>
      <c r="U245" t="s">
        <v>124</v>
      </c>
      <c r="X245" s="19">
        <f>J245</f>
        <v>0.81194029850746263</v>
      </c>
      <c r="Y245" s="19">
        <f>N245</f>
        <v>3.1615554852992833E-4</v>
      </c>
      <c r="Z245" s="26">
        <f>(L245+Q245)/(L245+Q245+H245+K245)</f>
        <v>1.8296169239565466E-2</v>
      </c>
    </row>
    <row r="246" spans="1:26" x14ac:dyDescent="0.35">
      <c r="A246" t="s">
        <v>122</v>
      </c>
      <c r="B246" t="s">
        <v>122</v>
      </c>
      <c r="C246" t="s">
        <v>123</v>
      </c>
      <c r="D246" t="s">
        <v>100</v>
      </c>
      <c r="E246" t="s">
        <v>99</v>
      </c>
      <c r="F246" t="s">
        <v>12</v>
      </c>
      <c r="G246">
        <v>1</v>
      </c>
      <c r="H246">
        <v>297</v>
      </c>
      <c r="I246">
        <v>0.88656716417910397</v>
      </c>
      <c r="J246" s="25">
        <f t="shared" si="10"/>
        <v>0.88656716417910453</v>
      </c>
      <c r="K246">
        <v>3154</v>
      </c>
      <c r="L246">
        <v>9</v>
      </c>
      <c r="M246">
        <v>2.8453999367688901E-3</v>
      </c>
      <c r="N246" s="25">
        <f t="shared" si="9"/>
        <v>2.8453999367689109E-3</v>
      </c>
      <c r="O246">
        <v>0.99715460006323098</v>
      </c>
      <c r="P246" s="25">
        <f t="shared" si="11"/>
        <v>0.99715460006323109</v>
      </c>
      <c r="Q246">
        <v>38</v>
      </c>
      <c r="R246" t="s">
        <v>124</v>
      </c>
      <c r="S246" t="s">
        <v>124</v>
      </c>
      <c r="T246" t="s">
        <v>124</v>
      </c>
      <c r="U246" t="s">
        <v>124</v>
      </c>
      <c r="X246" s="19">
        <f>J246</f>
        <v>0.88656716417910453</v>
      </c>
      <c r="Y246" s="19">
        <f>N246</f>
        <v>2.8453999367689109E-3</v>
      </c>
      <c r="Z246" s="26">
        <f>(L246+Q246)/(L246+Q246+H246+K246)</f>
        <v>1.3436249285305889E-2</v>
      </c>
    </row>
    <row r="247" spans="1:26" x14ac:dyDescent="0.35">
      <c r="A247" t="s">
        <v>122</v>
      </c>
      <c r="B247" t="s">
        <v>122</v>
      </c>
      <c r="C247" t="s">
        <v>123</v>
      </c>
      <c r="D247" t="s">
        <v>100</v>
      </c>
      <c r="E247" t="s">
        <v>99</v>
      </c>
      <c r="F247" t="s">
        <v>12</v>
      </c>
      <c r="G247">
        <v>1</v>
      </c>
      <c r="H247">
        <v>297</v>
      </c>
      <c r="I247">
        <v>0.88656716417910397</v>
      </c>
      <c r="J247" s="25">
        <f t="shared" si="10"/>
        <v>0.88656716417910453</v>
      </c>
      <c r="K247">
        <v>3154</v>
      </c>
      <c r="L247">
        <v>9</v>
      </c>
      <c r="M247">
        <v>2.8453999367688901E-3</v>
      </c>
      <c r="N247" s="25">
        <f t="shared" si="9"/>
        <v>2.8453999367689109E-3</v>
      </c>
      <c r="O247">
        <v>0.99715460006323098</v>
      </c>
      <c r="P247" s="25">
        <f t="shared" si="11"/>
        <v>0.99715460006323109</v>
      </c>
      <c r="Q247">
        <v>38</v>
      </c>
      <c r="R247" t="s">
        <v>124</v>
      </c>
      <c r="S247" t="s">
        <v>124</v>
      </c>
      <c r="T247" t="s">
        <v>124</v>
      </c>
      <c r="U247" t="s">
        <v>124</v>
      </c>
      <c r="X247" s="19">
        <f>J247</f>
        <v>0.88656716417910453</v>
      </c>
      <c r="Y247" s="19">
        <f>N247</f>
        <v>2.8453999367689109E-3</v>
      </c>
      <c r="Z247" s="26">
        <f>(L247+Q247)/(L247+Q247+H247+K247)</f>
        <v>1.3436249285305889E-2</v>
      </c>
    </row>
    <row r="248" spans="1:26" x14ac:dyDescent="0.35">
      <c r="A248" t="s">
        <v>122</v>
      </c>
      <c r="B248" t="s">
        <v>122</v>
      </c>
      <c r="C248" t="s">
        <v>123</v>
      </c>
      <c r="D248" t="s">
        <v>100</v>
      </c>
      <c r="E248" t="s">
        <v>99</v>
      </c>
      <c r="F248" t="s">
        <v>12</v>
      </c>
      <c r="G248">
        <v>1</v>
      </c>
      <c r="H248">
        <v>297</v>
      </c>
      <c r="I248">
        <v>0.88656716417910397</v>
      </c>
      <c r="J248" s="25">
        <f t="shared" si="10"/>
        <v>0.88656716417910453</v>
      </c>
      <c r="K248">
        <v>3154</v>
      </c>
      <c r="L248">
        <v>9</v>
      </c>
      <c r="M248">
        <v>2.8453999367688901E-3</v>
      </c>
      <c r="N248" s="25">
        <f t="shared" si="9"/>
        <v>2.8453999367689109E-3</v>
      </c>
      <c r="O248">
        <v>0.99715460006323098</v>
      </c>
      <c r="P248" s="25">
        <f t="shared" si="11"/>
        <v>0.99715460006323109</v>
      </c>
      <c r="Q248">
        <v>38</v>
      </c>
      <c r="R248" t="s">
        <v>124</v>
      </c>
      <c r="S248" t="s">
        <v>124</v>
      </c>
      <c r="T248" t="s">
        <v>124</v>
      </c>
      <c r="U248" t="s">
        <v>124</v>
      </c>
      <c r="X248" s="19">
        <f>J248</f>
        <v>0.88656716417910453</v>
      </c>
      <c r="Y248" s="19">
        <f>N248</f>
        <v>2.8453999367689109E-3</v>
      </c>
      <c r="Z248" s="26">
        <f>(L248+Q248)/(L248+Q248+H248+K248)</f>
        <v>1.3436249285305889E-2</v>
      </c>
    </row>
    <row r="249" spans="1:26" x14ac:dyDescent="0.35">
      <c r="A249" t="s">
        <v>122</v>
      </c>
      <c r="B249" t="s">
        <v>122</v>
      </c>
      <c r="C249" t="s">
        <v>123</v>
      </c>
      <c r="D249" t="s">
        <v>100</v>
      </c>
      <c r="E249" t="s">
        <v>99</v>
      </c>
      <c r="F249" t="s">
        <v>12</v>
      </c>
      <c r="G249">
        <v>1</v>
      </c>
      <c r="H249">
        <v>297</v>
      </c>
      <c r="I249">
        <v>0.88656716417910397</v>
      </c>
      <c r="J249" s="25">
        <f t="shared" si="10"/>
        <v>0.88656716417910453</v>
      </c>
      <c r="K249">
        <v>3154</v>
      </c>
      <c r="L249">
        <v>9</v>
      </c>
      <c r="M249">
        <v>2.8453999367688901E-3</v>
      </c>
      <c r="N249" s="25">
        <f t="shared" si="9"/>
        <v>2.8453999367689109E-3</v>
      </c>
      <c r="O249">
        <v>0.99715460006323098</v>
      </c>
      <c r="P249" s="25">
        <f t="shared" si="11"/>
        <v>0.99715460006323109</v>
      </c>
      <c r="Q249">
        <v>38</v>
      </c>
      <c r="R249" t="s">
        <v>124</v>
      </c>
      <c r="S249" t="s">
        <v>124</v>
      </c>
      <c r="T249" t="s">
        <v>124</v>
      </c>
      <c r="U249" t="s">
        <v>124</v>
      </c>
      <c r="X249" s="19">
        <f>J249</f>
        <v>0.88656716417910453</v>
      </c>
      <c r="Y249" s="19">
        <f>N249</f>
        <v>2.8453999367689109E-3</v>
      </c>
      <c r="Z249" s="26">
        <f>(L249+Q249)/(L249+Q249+H249+K249)</f>
        <v>1.3436249285305889E-2</v>
      </c>
    </row>
    <row r="250" spans="1:26" x14ac:dyDescent="0.35">
      <c r="A250" t="s">
        <v>122</v>
      </c>
      <c r="B250" t="s">
        <v>122</v>
      </c>
      <c r="C250" t="s">
        <v>123</v>
      </c>
      <c r="D250" t="s">
        <v>100</v>
      </c>
      <c r="E250" t="s">
        <v>99</v>
      </c>
      <c r="F250" t="s">
        <v>12</v>
      </c>
      <c r="G250">
        <v>1</v>
      </c>
      <c r="H250">
        <v>297</v>
      </c>
      <c r="I250">
        <v>0.88656716417910397</v>
      </c>
      <c r="J250" s="25">
        <f t="shared" si="10"/>
        <v>0.88656716417910453</v>
      </c>
      <c r="K250">
        <v>3154</v>
      </c>
      <c r="L250">
        <v>9</v>
      </c>
      <c r="M250">
        <v>2.8453999367688901E-3</v>
      </c>
      <c r="N250" s="25">
        <f t="shared" si="9"/>
        <v>2.8453999367689109E-3</v>
      </c>
      <c r="O250">
        <v>0.99715460006323098</v>
      </c>
      <c r="P250" s="25">
        <f t="shared" si="11"/>
        <v>0.99715460006323109</v>
      </c>
      <c r="Q250">
        <v>38</v>
      </c>
      <c r="R250" t="s">
        <v>124</v>
      </c>
      <c r="S250" t="s">
        <v>124</v>
      </c>
      <c r="T250" t="s">
        <v>124</v>
      </c>
      <c r="U250" t="s">
        <v>124</v>
      </c>
      <c r="X250" s="19">
        <f>J250</f>
        <v>0.88656716417910453</v>
      </c>
      <c r="Y250" s="19">
        <f>N250</f>
        <v>2.8453999367689109E-3</v>
      </c>
      <c r="Z250" s="26">
        <f>(L250+Q250)/(L250+Q250+H250+K250)</f>
        <v>1.3436249285305889E-2</v>
      </c>
    </row>
    <row r="251" spans="1:26" x14ac:dyDescent="0.35">
      <c r="A251" t="s">
        <v>122</v>
      </c>
      <c r="B251" t="s">
        <v>122</v>
      </c>
      <c r="C251" t="s">
        <v>123</v>
      </c>
      <c r="D251" t="s">
        <v>100</v>
      </c>
      <c r="E251" t="s">
        <v>99</v>
      </c>
      <c r="F251" t="s">
        <v>12</v>
      </c>
      <c r="G251">
        <v>1</v>
      </c>
      <c r="H251">
        <v>297</v>
      </c>
      <c r="I251">
        <v>0.88656716417910397</v>
      </c>
      <c r="J251" s="25">
        <f t="shared" si="10"/>
        <v>0.88656716417910453</v>
      </c>
      <c r="K251">
        <v>3154</v>
      </c>
      <c r="L251">
        <v>9</v>
      </c>
      <c r="M251">
        <v>2.8453999367688901E-3</v>
      </c>
      <c r="N251" s="25">
        <f t="shared" si="9"/>
        <v>2.8453999367689109E-3</v>
      </c>
      <c r="O251">
        <v>0.99715460006323098</v>
      </c>
      <c r="P251" s="25">
        <f t="shared" si="11"/>
        <v>0.99715460006323109</v>
      </c>
      <c r="Q251">
        <v>38</v>
      </c>
      <c r="R251" t="s">
        <v>124</v>
      </c>
      <c r="S251" t="s">
        <v>124</v>
      </c>
      <c r="T251" t="s">
        <v>124</v>
      </c>
      <c r="U251" t="s">
        <v>124</v>
      </c>
      <c r="X251" s="19">
        <f>J251</f>
        <v>0.88656716417910453</v>
      </c>
      <c r="Y251" s="19">
        <f>N251</f>
        <v>2.8453999367689109E-3</v>
      </c>
      <c r="Z251" s="26">
        <f>(L251+Q251)/(L251+Q251+H251+K251)</f>
        <v>1.3436249285305889E-2</v>
      </c>
    </row>
    <row r="252" spans="1:26" x14ac:dyDescent="0.35">
      <c r="A252" t="s">
        <v>122</v>
      </c>
      <c r="B252" t="s">
        <v>122</v>
      </c>
      <c r="C252" t="s">
        <v>123</v>
      </c>
      <c r="D252" t="s">
        <v>100</v>
      </c>
      <c r="E252" t="s">
        <v>99</v>
      </c>
      <c r="F252" t="s">
        <v>12</v>
      </c>
      <c r="G252">
        <v>1</v>
      </c>
      <c r="H252">
        <v>297</v>
      </c>
      <c r="I252">
        <v>0.88656716417910397</v>
      </c>
      <c r="J252" s="25">
        <f t="shared" si="10"/>
        <v>0.88656716417910453</v>
      </c>
      <c r="K252">
        <v>3154</v>
      </c>
      <c r="L252">
        <v>9</v>
      </c>
      <c r="M252">
        <v>2.8453999367688901E-3</v>
      </c>
      <c r="N252" s="25">
        <f t="shared" si="9"/>
        <v>2.8453999367689109E-3</v>
      </c>
      <c r="O252">
        <v>0.99715460006323098</v>
      </c>
      <c r="P252" s="25">
        <f t="shared" si="11"/>
        <v>0.99715460006323109</v>
      </c>
      <c r="Q252">
        <v>38</v>
      </c>
      <c r="R252" t="s">
        <v>124</v>
      </c>
      <c r="S252" t="s">
        <v>124</v>
      </c>
      <c r="T252" t="s">
        <v>124</v>
      </c>
      <c r="U252" t="s">
        <v>124</v>
      </c>
      <c r="X252" s="19">
        <f>J252</f>
        <v>0.88656716417910453</v>
      </c>
      <c r="Y252" s="19">
        <f>N252</f>
        <v>2.8453999367689109E-3</v>
      </c>
      <c r="Z252" s="26">
        <f>(L252+Q252)/(L252+Q252+H252+K252)</f>
        <v>1.3436249285305889E-2</v>
      </c>
    </row>
    <row r="253" spans="1:26" x14ac:dyDescent="0.35">
      <c r="A253" t="s">
        <v>122</v>
      </c>
      <c r="B253" t="s">
        <v>122</v>
      </c>
      <c r="C253" t="s">
        <v>123</v>
      </c>
      <c r="D253" t="s">
        <v>100</v>
      </c>
      <c r="E253" t="s">
        <v>99</v>
      </c>
      <c r="F253" t="s">
        <v>12</v>
      </c>
      <c r="G253">
        <v>1</v>
      </c>
      <c r="H253">
        <v>297</v>
      </c>
      <c r="I253">
        <v>0.88656716417910397</v>
      </c>
      <c r="J253" s="25">
        <f t="shared" si="10"/>
        <v>0.88656716417910453</v>
      </c>
      <c r="K253">
        <v>3154</v>
      </c>
      <c r="L253">
        <v>9</v>
      </c>
      <c r="M253">
        <v>2.8453999367688901E-3</v>
      </c>
      <c r="N253" s="25">
        <f t="shared" si="9"/>
        <v>2.8453999367689109E-3</v>
      </c>
      <c r="O253">
        <v>0.99715460006323098</v>
      </c>
      <c r="P253" s="25">
        <f t="shared" si="11"/>
        <v>0.99715460006323109</v>
      </c>
      <c r="Q253">
        <v>38</v>
      </c>
      <c r="R253" t="s">
        <v>124</v>
      </c>
      <c r="S253" t="s">
        <v>124</v>
      </c>
      <c r="T253" t="s">
        <v>124</v>
      </c>
      <c r="U253" t="s">
        <v>124</v>
      </c>
      <c r="X253" s="19">
        <f>J253</f>
        <v>0.88656716417910453</v>
      </c>
      <c r="Y253" s="19">
        <f>N253</f>
        <v>2.8453999367689109E-3</v>
      </c>
      <c r="Z253" s="26">
        <f>(L253+Q253)/(L253+Q253+H253+K253)</f>
        <v>1.3436249285305889E-2</v>
      </c>
    </row>
    <row r="254" spans="1:26" x14ac:dyDescent="0.35">
      <c r="A254" t="s">
        <v>122</v>
      </c>
      <c r="B254" t="s">
        <v>122</v>
      </c>
      <c r="C254" t="s">
        <v>123</v>
      </c>
      <c r="D254" t="s">
        <v>100</v>
      </c>
      <c r="E254" t="s">
        <v>99</v>
      </c>
      <c r="F254" t="s">
        <v>12</v>
      </c>
      <c r="G254">
        <v>1</v>
      </c>
      <c r="H254">
        <v>297</v>
      </c>
      <c r="I254">
        <v>0.88656716417910397</v>
      </c>
      <c r="J254" s="25">
        <f t="shared" si="10"/>
        <v>0.88656716417910453</v>
      </c>
      <c r="K254">
        <v>3154</v>
      </c>
      <c r="L254">
        <v>9</v>
      </c>
      <c r="M254">
        <v>2.8453999367688901E-3</v>
      </c>
      <c r="N254" s="25">
        <f t="shared" si="9"/>
        <v>2.8453999367689109E-3</v>
      </c>
      <c r="O254">
        <v>0.99715460006323098</v>
      </c>
      <c r="P254" s="25">
        <f t="shared" si="11"/>
        <v>0.99715460006323109</v>
      </c>
      <c r="Q254">
        <v>38</v>
      </c>
      <c r="R254" t="s">
        <v>124</v>
      </c>
      <c r="S254" t="s">
        <v>124</v>
      </c>
      <c r="T254" t="s">
        <v>124</v>
      </c>
      <c r="U254" t="s">
        <v>124</v>
      </c>
      <c r="X254" s="19">
        <f>J254</f>
        <v>0.88656716417910453</v>
      </c>
      <c r="Y254" s="19">
        <f>N254</f>
        <v>2.8453999367689109E-3</v>
      </c>
      <c r="Z254" s="26">
        <f>(L254+Q254)/(L254+Q254+H254+K254)</f>
        <v>1.3436249285305889E-2</v>
      </c>
    </row>
    <row r="255" spans="1:26" x14ac:dyDescent="0.35">
      <c r="A255" t="s">
        <v>122</v>
      </c>
      <c r="B255" t="s">
        <v>122</v>
      </c>
      <c r="C255" t="s">
        <v>123</v>
      </c>
      <c r="D255" t="s">
        <v>100</v>
      </c>
      <c r="E255" t="s">
        <v>99</v>
      </c>
      <c r="F255" t="s">
        <v>12</v>
      </c>
      <c r="G255">
        <v>1</v>
      </c>
      <c r="H255">
        <v>297</v>
      </c>
      <c r="I255">
        <v>0.88656716417910397</v>
      </c>
      <c r="J255" s="25">
        <f t="shared" si="10"/>
        <v>0.88656716417910453</v>
      </c>
      <c r="K255">
        <v>3154</v>
      </c>
      <c r="L255">
        <v>9</v>
      </c>
      <c r="M255">
        <v>2.8453999367688901E-3</v>
      </c>
      <c r="N255" s="25">
        <f t="shared" si="9"/>
        <v>2.8453999367689109E-3</v>
      </c>
      <c r="O255">
        <v>0.99715460006323098</v>
      </c>
      <c r="P255" s="25">
        <f t="shared" si="11"/>
        <v>0.99715460006323109</v>
      </c>
      <c r="Q255">
        <v>38</v>
      </c>
      <c r="R255" t="s">
        <v>124</v>
      </c>
      <c r="S255" t="s">
        <v>124</v>
      </c>
      <c r="T255" t="s">
        <v>124</v>
      </c>
      <c r="U255" t="s">
        <v>124</v>
      </c>
      <c r="X255" s="19">
        <f>J255</f>
        <v>0.88656716417910453</v>
      </c>
      <c r="Y255" s="19">
        <f>N255</f>
        <v>2.8453999367689109E-3</v>
      </c>
      <c r="Z255" s="26">
        <f>(L255+Q255)/(L255+Q255+H255+K255)</f>
        <v>1.3436249285305889E-2</v>
      </c>
    </row>
    <row r="256" spans="1:26" x14ac:dyDescent="0.35">
      <c r="A256" t="s">
        <v>122</v>
      </c>
      <c r="B256" t="s">
        <v>122</v>
      </c>
      <c r="C256" t="s">
        <v>123</v>
      </c>
      <c r="D256" t="s">
        <v>100</v>
      </c>
      <c r="E256" t="s">
        <v>99</v>
      </c>
      <c r="F256" t="s">
        <v>12</v>
      </c>
      <c r="G256">
        <v>1</v>
      </c>
      <c r="H256">
        <v>297</v>
      </c>
      <c r="I256">
        <v>0.88656716417910397</v>
      </c>
      <c r="J256" s="25">
        <f t="shared" si="10"/>
        <v>0.88656716417910453</v>
      </c>
      <c r="K256">
        <v>3154</v>
      </c>
      <c r="L256">
        <v>9</v>
      </c>
      <c r="M256">
        <v>2.8453999367688901E-3</v>
      </c>
      <c r="N256" s="25">
        <f t="shared" si="9"/>
        <v>2.8453999367689109E-3</v>
      </c>
      <c r="O256">
        <v>0.99715460006323098</v>
      </c>
      <c r="P256" s="25">
        <f t="shared" si="11"/>
        <v>0.99715460006323109</v>
      </c>
      <c r="Q256">
        <v>38</v>
      </c>
      <c r="R256" t="s">
        <v>124</v>
      </c>
      <c r="S256" t="s">
        <v>124</v>
      </c>
      <c r="T256" t="s">
        <v>124</v>
      </c>
      <c r="U256" t="s">
        <v>124</v>
      </c>
      <c r="X256" s="19">
        <f>J256</f>
        <v>0.88656716417910453</v>
      </c>
      <c r="Y256" s="19">
        <f>N256</f>
        <v>2.8453999367689109E-3</v>
      </c>
      <c r="Z256" s="26">
        <f>(L256+Q256)/(L256+Q256+H256+K256)</f>
        <v>1.3436249285305889E-2</v>
      </c>
    </row>
    <row r="257" spans="1:26" x14ac:dyDescent="0.35">
      <c r="A257" t="s">
        <v>122</v>
      </c>
      <c r="B257" t="s">
        <v>122</v>
      </c>
      <c r="C257" t="s">
        <v>123</v>
      </c>
      <c r="D257" t="s">
        <v>100</v>
      </c>
      <c r="E257" t="s">
        <v>99</v>
      </c>
      <c r="F257" t="s">
        <v>12</v>
      </c>
      <c r="G257">
        <v>1</v>
      </c>
      <c r="H257">
        <v>297</v>
      </c>
      <c r="I257">
        <v>0.88656716417910397</v>
      </c>
      <c r="J257" s="25">
        <f t="shared" si="10"/>
        <v>0.88656716417910453</v>
      </c>
      <c r="K257">
        <v>3154</v>
      </c>
      <c r="L257">
        <v>9</v>
      </c>
      <c r="M257">
        <v>2.8453999367688901E-3</v>
      </c>
      <c r="N257" s="25">
        <f t="shared" si="9"/>
        <v>2.8453999367689109E-3</v>
      </c>
      <c r="O257">
        <v>0.99715460006323098</v>
      </c>
      <c r="P257" s="25">
        <f t="shared" si="11"/>
        <v>0.99715460006323109</v>
      </c>
      <c r="Q257">
        <v>38</v>
      </c>
      <c r="R257" t="s">
        <v>124</v>
      </c>
      <c r="S257" t="s">
        <v>124</v>
      </c>
      <c r="T257" t="s">
        <v>124</v>
      </c>
      <c r="U257" t="s">
        <v>124</v>
      </c>
      <c r="X257" s="19">
        <f>J257</f>
        <v>0.88656716417910453</v>
      </c>
      <c r="Y257" s="19">
        <f>N257</f>
        <v>2.8453999367689109E-3</v>
      </c>
      <c r="Z257" s="26">
        <f>(L257+Q257)/(L257+Q257+H257+K257)</f>
        <v>1.3436249285305889E-2</v>
      </c>
    </row>
    <row r="258" spans="1:26" x14ac:dyDescent="0.35">
      <c r="A258" t="s">
        <v>122</v>
      </c>
      <c r="B258" t="s">
        <v>122</v>
      </c>
      <c r="C258" t="s">
        <v>123</v>
      </c>
      <c r="D258" t="s">
        <v>100</v>
      </c>
      <c r="E258" t="s">
        <v>99</v>
      </c>
      <c r="F258" t="s">
        <v>12</v>
      </c>
      <c r="G258">
        <v>1</v>
      </c>
      <c r="H258">
        <v>297</v>
      </c>
      <c r="I258">
        <v>0.88656716417910397</v>
      </c>
      <c r="J258" s="25">
        <f t="shared" si="10"/>
        <v>0.88656716417910453</v>
      </c>
      <c r="K258">
        <v>3154</v>
      </c>
      <c r="L258">
        <v>9</v>
      </c>
      <c r="M258">
        <v>2.8453999367688901E-3</v>
      </c>
      <c r="N258" s="25">
        <f t="shared" ref="N258:N321" si="12">1-P258</f>
        <v>2.8453999367689109E-3</v>
      </c>
      <c r="O258">
        <v>0.99715460006323098</v>
      </c>
      <c r="P258" s="25">
        <f t="shared" si="11"/>
        <v>0.99715460006323109</v>
      </c>
      <c r="Q258">
        <v>38</v>
      </c>
      <c r="R258" t="s">
        <v>124</v>
      </c>
      <c r="S258" t="s">
        <v>124</v>
      </c>
      <c r="T258" t="s">
        <v>124</v>
      </c>
      <c r="U258" t="s">
        <v>124</v>
      </c>
      <c r="X258" s="19">
        <f>J258</f>
        <v>0.88656716417910453</v>
      </c>
      <c r="Y258" s="19">
        <f>N258</f>
        <v>2.8453999367689109E-3</v>
      </c>
      <c r="Z258" s="26">
        <f>(L258+Q258)/(L258+Q258+H258+K258)</f>
        <v>1.3436249285305889E-2</v>
      </c>
    </row>
    <row r="259" spans="1:26" x14ac:dyDescent="0.35">
      <c r="A259" t="s">
        <v>122</v>
      </c>
      <c r="B259" t="s">
        <v>122</v>
      </c>
      <c r="C259" t="s">
        <v>123</v>
      </c>
      <c r="D259" t="s">
        <v>100</v>
      </c>
      <c r="E259" t="s">
        <v>99</v>
      </c>
      <c r="F259" t="s">
        <v>12</v>
      </c>
      <c r="G259">
        <v>1</v>
      </c>
      <c r="H259">
        <v>297</v>
      </c>
      <c r="I259">
        <v>0.88656716417910397</v>
      </c>
      <c r="J259" s="25">
        <f t="shared" ref="J259:J322" si="13">H259/(H259+Q259)</f>
        <v>0.88656716417910453</v>
      </c>
      <c r="K259">
        <v>3154</v>
      </c>
      <c r="L259">
        <v>9</v>
      </c>
      <c r="M259">
        <v>2.8453999367688901E-3</v>
      </c>
      <c r="N259" s="25">
        <f t="shared" si="12"/>
        <v>2.8453999367689109E-3</v>
      </c>
      <c r="O259">
        <v>0.99715460006323098</v>
      </c>
      <c r="P259" s="25">
        <f t="shared" ref="P259:P322" si="14">K259/(K259+L259)</f>
        <v>0.99715460006323109</v>
      </c>
      <c r="Q259">
        <v>38</v>
      </c>
      <c r="R259" t="s">
        <v>124</v>
      </c>
      <c r="S259" t="s">
        <v>124</v>
      </c>
      <c r="T259" t="s">
        <v>124</v>
      </c>
      <c r="U259" t="s">
        <v>124</v>
      </c>
      <c r="X259" s="19">
        <f>J259</f>
        <v>0.88656716417910453</v>
      </c>
      <c r="Y259" s="19">
        <f>N259</f>
        <v>2.8453999367689109E-3</v>
      </c>
      <c r="Z259" s="26">
        <f>(L259+Q259)/(L259+Q259+H259+K259)</f>
        <v>1.3436249285305889E-2</v>
      </c>
    </row>
    <row r="260" spans="1:26" x14ac:dyDescent="0.35">
      <c r="A260" t="s">
        <v>122</v>
      </c>
      <c r="B260" t="s">
        <v>122</v>
      </c>
      <c r="C260" t="s">
        <v>123</v>
      </c>
      <c r="D260" t="s">
        <v>100</v>
      </c>
      <c r="E260" t="s">
        <v>99</v>
      </c>
      <c r="F260" t="s">
        <v>12</v>
      </c>
      <c r="G260">
        <v>1</v>
      </c>
      <c r="H260">
        <v>297</v>
      </c>
      <c r="I260">
        <v>0.88656716417910397</v>
      </c>
      <c r="J260" s="25">
        <f t="shared" si="13"/>
        <v>0.88656716417910453</v>
      </c>
      <c r="K260">
        <v>3154</v>
      </c>
      <c r="L260">
        <v>9</v>
      </c>
      <c r="M260">
        <v>2.8453999367688901E-3</v>
      </c>
      <c r="N260" s="25">
        <f t="shared" si="12"/>
        <v>2.8453999367689109E-3</v>
      </c>
      <c r="O260">
        <v>0.99715460006323098</v>
      </c>
      <c r="P260" s="25">
        <f t="shared" si="14"/>
        <v>0.99715460006323109</v>
      </c>
      <c r="Q260">
        <v>38</v>
      </c>
      <c r="R260" t="s">
        <v>124</v>
      </c>
      <c r="S260" t="s">
        <v>124</v>
      </c>
      <c r="T260" t="s">
        <v>124</v>
      </c>
      <c r="U260" t="s">
        <v>124</v>
      </c>
      <c r="X260" s="19">
        <f>J260</f>
        <v>0.88656716417910453</v>
      </c>
      <c r="Y260" s="19">
        <f>N260</f>
        <v>2.8453999367689109E-3</v>
      </c>
      <c r="Z260" s="26">
        <f>(L260+Q260)/(L260+Q260+H260+K260)</f>
        <v>1.3436249285305889E-2</v>
      </c>
    </row>
    <row r="261" spans="1:26" x14ac:dyDescent="0.35">
      <c r="A261" t="s">
        <v>122</v>
      </c>
      <c r="B261" t="s">
        <v>122</v>
      </c>
      <c r="C261" t="s">
        <v>123</v>
      </c>
      <c r="D261" t="s">
        <v>100</v>
      </c>
      <c r="E261" t="s">
        <v>99</v>
      </c>
      <c r="F261" t="s">
        <v>12</v>
      </c>
      <c r="G261">
        <v>1</v>
      </c>
      <c r="H261">
        <v>297</v>
      </c>
      <c r="I261">
        <v>0.88656716417910397</v>
      </c>
      <c r="J261" s="25">
        <f t="shared" si="13"/>
        <v>0.88656716417910453</v>
      </c>
      <c r="K261">
        <v>3154</v>
      </c>
      <c r="L261">
        <v>9</v>
      </c>
      <c r="M261">
        <v>2.8453999367688901E-3</v>
      </c>
      <c r="N261" s="25">
        <f t="shared" si="12"/>
        <v>2.8453999367689109E-3</v>
      </c>
      <c r="O261">
        <v>0.99715460006323098</v>
      </c>
      <c r="P261" s="25">
        <f t="shared" si="14"/>
        <v>0.99715460006323109</v>
      </c>
      <c r="Q261">
        <v>38</v>
      </c>
      <c r="R261" t="s">
        <v>124</v>
      </c>
      <c r="S261" t="s">
        <v>124</v>
      </c>
      <c r="T261" t="s">
        <v>124</v>
      </c>
      <c r="U261" t="s">
        <v>124</v>
      </c>
      <c r="X261" s="19">
        <f>J261</f>
        <v>0.88656716417910453</v>
      </c>
      <c r="Y261" s="19">
        <f>N261</f>
        <v>2.8453999367689109E-3</v>
      </c>
      <c r="Z261" s="26">
        <f>(L261+Q261)/(L261+Q261+H261+K261)</f>
        <v>1.3436249285305889E-2</v>
      </c>
    </row>
    <row r="262" spans="1:26" x14ac:dyDescent="0.35">
      <c r="A262" t="s">
        <v>122</v>
      </c>
      <c r="B262" t="s">
        <v>122</v>
      </c>
      <c r="C262" t="s">
        <v>123</v>
      </c>
      <c r="D262" t="s">
        <v>100</v>
      </c>
      <c r="E262" t="s">
        <v>99</v>
      </c>
      <c r="F262" t="s">
        <v>12</v>
      </c>
      <c r="G262">
        <v>1</v>
      </c>
      <c r="H262">
        <v>297</v>
      </c>
      <c r="I262">
        <v>0.88656716417910397</v>
      </c>
      <c r="J262" s="25">
        <f t="shared" si="13"/>
        <v>0.88656716417910453</v>
      </c>
      <c r="K262">
        <v>3154</v>
      </c>
      <c r="L262">
        <v>9</v>
      </c>
      <c r="M262">
        <v>2.8453999367688901E-3</v>
      </c>
      <c r="N262" s="25">
        <f t="shared" si="12"/>
        <v>2.8453999367689109E-3</v>
      </c>
      <c r="O262">
        <v>0.99715460006323098</v>
      </c>
      <c r="P262" s="25">
        <f t="shared" si="14"/>
        <v>0.99715460006323109</v>
      </c>
      <c r="Q262">
        <v>38</v>
      </c>
      <c r="R262" t="s">
        <v>124</v>
      </c>
      <c r="S262" t="s">
        <v>124</v>
      </c>
      <c r="T262" t="s">
        <v>124</v>
      </c>
      <c r="U262" t="s">
        <v>124</v>
      </c>
      <c r="X262" s="19">
        <f>J262</f>
        <v>0.88656716417910453</v>
      </c>
      <c r="Y262" s="19">
        <f>N262</f>
        <v>2.8453999367689109E-3</v>
      </c>
      <c r="Z262" s="26">
        <f>(L262+Q262)/(L262+Q262+H262+K262)</f>
        <v>1.3436249285305889E-2</v>
      </c>
    </row>
    <row r="263" spans="1:26" x14ac:dyDescent="0.35">
      <c r="A263" t="s">
        <v>122</v>
      </c>
      <c r="B263" t="s">
        <v>122</v>
      </c>
      <c r="C263" t="s">
        <v>123</v>
      </c>
      <c r="D263" t="s">
        <v>100</v>
      </c>
      <c r="E263" t="s">
        <v>99</v>
      </c>
      <c r="F263" t="s">
        <v>12</v>
      </c>
      <c r="G263">
        <v>1</v>
      </c>
      <c r="H263">
        <v>297</v>
      </c>
      <c r="I263">
        <v>0.88656716417910397</v>
      </c>
      <c r="J263" s="25">
        <f t="shared" si="13"/>
        <v>0.88656716417910453</v>
      </c>
      <c r="K263">
        <v>3154</v>
      </c>
      <c r="L263">
        <v>9</v>
      </c>
      <c r="M263">
        <v>2.8453999367688901E-3</v>
      </c>
      <c r="N263" s="25">
        <f t="shared" si="12"/>
        <v>2.8453999367689109E-3</v>
      </c>
      <c r="O263">
        <v>0.99715460006323098</v>
      </c>
      <c r="P263" s="25">
        <f t="shared" si="14"/>
        <v>0.99715460006323109</v>
      </c>
      <c r="Q263">
        <v>38</v>
      </c>
      <c r="R263" t="s">
        <v>124</v>
      </c>
      <c r="S263" t="s">
        <v>124</v>
      </c>
      <c r="T263" t="s">
        <v>124</v>
      </c>
      <c r="U263" t="s">
        <v>124</v>
      </c>
      <c r="X263" s="19">
        <f>J263</f>
        <v>0.88656716417910453</v>
      </c>
      <c r="Y263" s="19">
        <f>N263</f>
        <v>2.8453999367689109E-3</v>
      </c>
      <c r="Z263" s="26">
        <f>(L263+Q263)/(L263+Q263+H263+K263)</f>
        <v>1.3436249285305889E-2</v>
      </c>
    </row>
    <row r="264" spans="1:26" x14ac:dyDescent="0.35">
      <c r="A264" t="s">
        <v>122</v>
      </c>
      <c r="B264" t="s">
        <v>122</v>
      </c>
      <c r="C264" t="s">
        <v>123</v>
      </c>
      <c r="D264" t="s">
        <v>100</v>
      </c>
      <c r="E264" t="s">
        <v>99</v>
      </c>
      <c r="F264" t="s">
        <v>12</v>
      </c>
      <c r="G264">
        <v>1</v>
      </c>
      <c r="H264">
        <v>297</v>
      </c>
      <c r="I264">
        <v>0.88656716417910397</v>
      </c>
      <c r="J264" s="25">
        <f t="shared" si="13"/>
        <v>0.88656716417910453</v>
      </c>
      <c r="K264">
        <v>3154</v>
      </c>
      <c r="L264">
        <v>9</v>
      </c>
      <c r="M264">
        <v>2.8453999367688901E-3</v>
      </c>
      <c r="N264" s="25">
        <f t="shared" si="12"/>
        <v>2.8453999367689109E-3</v>
      </c>
      <c r="O264">
        <v>0.99715460006323098</v>
      </c>
      <c r="P264" s="25">
        <f t="shared" si="14"/>
        <v>0.99715460006323109</v>
      </c>
      <c r="Q264">
        <v>38</v>
      </c>
      <c r="R264" t="s">
        <v>124</v>
      </c>
      <c r="S264" t="s">
        <v>124</v>
      </c>
      <c r="T264" t="s">
        <v>124</v>
      </c>
      <c r="U264" t="s">
        <v>124</v>
      </c>
      <c r="X264" s="19">
        <f>J264</f>
        <v>0.88656716417910453</v>
      </c>
      <c r="Y264" s="19">
        <f>N264</f>
        <v>2.8453999367689109E-3</v>
      </c>
      <c r="Z264" s="26">
        <f>(L264+Q264)/(L264+Q264+H264+K264)</f>
        <v>1.3436249285305889E-2</v>
      </c>
    </row>
    <row r="265" spans="1:26" x14ac:dyDescent="0.35">
      <c r="A265" t="s">
        <v>122</v>
      </c>
      <c r="B265" t="s">
        <v>122</v>
      </c>
      <c r="C265" t="s">
        <v>123</v>
      </c>
      <c r="D265" t="s">
        <v>100</v>
      </c>
      <c r="E265" t="s">
        <v>99</v>
      </c>
      <c r="F265" t="s">
        <v>12</v>
      </c>
      <c r="G265">
        <v>1</v>
      </c>
      <c r="H265">
        <v>297</v>
      </c>
      <c r="I265">
        <v>0.88656716417910397</v>
      </c>
      <c r="J265" s="25">
        <f t="shared" si="13"/>
        <v>0.88656716417910453</v>
      </c>
      <c r="K265">
        <v>3154</v>
      </c>
      <c r="L265">
        <v>9</v>
      </c>
      <c r="M265">
        <v>2.8453999367688901E-3</v>
      </c>
      <c r="N265" s="25">
        <f t="shared" si="12"/>
        <v>2.8453999367689109E-3</v>
      </c>
      <c r="O265">
        <v>0.99715460006323098</v>
      </c>
      <c r="P265" s="25">
        <f t="shared" si="14"/>
        <v>0.99715460006323109</v>
      </c>
      <c r="Q265">
        <v>38</v>
      </c>
      <c r="R265" t="s">
        <v>124</v>
      </c>
      <c r="S265" t="s">
        <v>124</v>
      </c>
      <c r="T265" t="s">
        <v>124</v>
      </c>
      <c r="U265" t="s">
        <v>124</v>
      </c>
      <c r="X265" s="19">
        <f>J265</f>
        <v>0.88656716417910453</v>
      </c>
      <c r="Y265" s="19">
        <f>N265</f>
        <v>2.8453999367689109E-3</v>
      </c>
      <c r="Z265" s="26">
        <f>(L265+Q265)/(L265+Q265+H265+K265)</f>
        <v>1.3436249285305889E-2</v>
      </c>
    </row>
    <row r="266" spans="1:26" x14ac:dyDescent="0.35">
      <c r="A266" t="s">
        <v>122</v>
      </c>
      <c r="B266" t="s">
        <v>122</v>
      </c>
      <c r="C266" t="s">
        <v>123</v>
      </c>
      <c r="D266" t="s">
        <v>100</v>
      </c>
      <c r="E266" t="s">
        <v>99</v>
      </c>
      <c r="F266" t="s">
        <v>12</v>
      </c>
      <c r="G266">
        <v>1</v>
      </c>
      <c r="H266">
        <v>297</v>
      </c>
      <c r="I266">
        <v>0.88656716417910397</v>
      </c>
      <c r="J266" s="25">
        <f t="shared" si="13"/>
        <v>0.88656716417910453</v>
      </c>
      <c r="K266">
        <v>3154</v>
      </c>
      <c r="L266">
        <v>9</v>
      </c>
      <c r="M266">
        <v>2.8453999367688901E-3</v>
      </c>
      <c r="N266" s="25">
        <f t="shared" si="12"/>
        <v>2.8453999367689109E-3</v>
      </c>
      <c r="O266">
        <v>0.99715460006323098</v>
      </c>
      <c r="P266" s="25">
        <f t="shared" si="14"/>
        <v>0.99715460006323109</v>
      </c>
      <c r="Q266">
        <v>38</v>
      </c>
      <c r="R266" t="s">
        <v>124</v>
      </c>
      <c r="S266" t="s">
        <v>124</v>
      </c>
      <c r="T266" t="s">
        <v>124</v>
      </c>
      <c r="U266" t="s">
        <v>124</v>
      </c>
      <c r="X266" s="19">
        <f>J266</f>
        <v>0.88656716417910453</v>
      </c>
      <c r="Y266" s="19">
        <f>N266</f>
        <v>2.8453999367689109E-3</v>
      </c>
      <c r="Z266" s="26">
        <f>(L266+Q266)/(L266+Q266+H266+K266)</f>
        <v>1.3436249285305889E-2</v>
      </c>
    </row>
    <row r="267" spans="1:26" x14ac:dyDescent="0.35">
      <c r="A267" t="s">
        <v>122</v>
      </c>
      <c r="B267" t="s">
        <v>122</v>
      </c>
      <c r="C267" t="s">
        <v>123</v>
      </c>
      <c r="D267" t="s">
        <v>100</v>
      </c>
      <c r="E267" t="s">
        <v>99</v>
      </c>
      <c r="F267" t="s">
        <v>12</v>
      </c>
      <c r="G267">
        <v>1</v>
      </c>
      <c r="H267">
        <v>297</v>
      </c>
      <c r="I267">
        <v>0.88656716417910397</v>
      </c>
      <c r="J267" s="25">
        <f t="shared" si="13"/>
        <v>0.88656716417910453</v>
      </c>
      <c r="K267">
        <v>3154</v>
      </c>
      <c r="L267">
        <v>9</v>
      </c>
      <c r="M267">
        <v>2.8453999367688901E-3</v>
      </c>
      <c r="N267" s="25">
        <f t="shared" si="12"/>
        <v>2.8453999367689109E-3</v>
      </c>
      <c r="O267">
        <v>0.99715460006323098</v>
      </c>
      <c r="P267" s="25">
        <f t="shared" si="14"/>
        <v>0.99715460006323109</v>
      </c>
      <c r="Q267">
        <v>38</v>
      </c>
      <c r="R267" t="s">
        <v>124</v>
      </c>
      <c r="S267" t="s">
        <v>124</v>
      </c>
      <c r="T267" t="s">
        <v>124</v>
      </c>
      <c r="U267" t="s">
        <v>124</v>
      </c>
      <c r="X267" s="19">
        <f>J267</f>
        <v>0.88656716417910453</v>
      </c>
      <c r="Y267" s="19">
        <f>N267</f>
        <v>2.8453999367689109E-3</v>
      </c>
      <c r="Z267" s="26">
        <f>(L267+Q267)/(L267+Q267+H267+K267)</f>
        <v>1.3436249285305889E-2</v>
      </c>
    </row>
    <row r="268" spans="1:26" x14ac:dyDescent="0.35">
      <c r="A268" t="s">
        <v>122</v>
      </c>
      <c r="B268" t="s">
        <v>122</v>
      </c>
      <c r="C268" t="s">
        <v>123</v>
      </c>
      <c r="D268" t="s">
        <v>100</v>
      </c>
      <c r="E268" t="s">
        <v>99</v>
      </c>
      <c r="F268" t="s">
        <v>12</v>
      </c>
      <c r="G268">
        <v>1</v>
      </c>
      <c r="H268">
        <v>297</v>
      </c>
      <c r="I268">
        <v>0.88656716417910397</v>
      </c>
      <c r="J268" s="25">
        <f t="shared" si="13"/>
        <v>0.88656716417910453</v>
      </c>
      <c r="K268">
        <v>3154</v>
      </c>
      <c r="L268">
        <v>9</v>
      </c>
      <c r="M268">
        <v>2.8453999367688901E-3</v>
      </c>
      <c r="N268" s="25">
        <f t="shared" si="12"/>
        <v>2.8453999367689109E-3</v>
      </c>
      <c r="O268">
        <v>0.99715460006323098</v>
      </c>
      <c r="P268" s="25">
        <f t="shared" si="14"/>
        <v>0.99715460006323109</v>
      </c>
      <c r="Q268">
        <v>38</v>
      </c>
      <c r="R268" t="s">
        <v>124</v>
      </c>
      <c r="S268" t="s">
        <v>124</v>
      </c>
      <c r="T268" t="s">
        <v>124</v>
      </c>
      <c r="U268" t="s">
        <v>124</v>
      </c>
      <c r="X268" s="19">
        <f>J268</f>
        <v>0.88656716417910453</v>
      </c>
      <c r="Y268" s="19">
        <f>N268</f>
        <v>2.8453999367689109E-3</v>
      </c>
      <c r="Z268" s="26">
        <f>(L268+Q268)/(L268+Q268+H268+K268)</f>
        <v>1.3436249285305889E-2</v>
      </c>
    </row>
    <row r="269" spans="1:26" x14ac:dyDescent="0.35">
      <c r="A269" t="s">
        <v>122</v>
      </c>
      <c r="B269" t="s">
        <v>122</v>
      </c>
      <c r="C269" t="s">
        <v>123</v>
      </c>
      <c r="D269" t="s">
        <v>100</v>
      </c>
      <c r="E269" t="s">
        <v>99</v>
      </c>
      <c r="F269" t="s">
        <v>12</v>
      </c>
      <c r="G269">
        <v>1</v>
      </c>
      <c r="H269">
        <v>297</v>
      </c>
      <c r="I269">
        <v>0.88656716417910397</v>
      </c>
      <c r="J269" s="25">
        <f t="shared" si="13"/>
        <v>0.88656716417910453</v>
      </c>
      <c r="K269">
        <v>3154</v>
      </c>
      <c r="L269">
        <v>9</v>
      </c>
      <c r="M269">
        <v>2.8453999367688901E-3</v>
      </c>
      <c r="N269" s="25">
        <f t="shared" si="12"/>
        <v>2.8453999367689109E-3</v>
      </c>
      <c r="O269">
        <v>0.99715460006323098</v>
      </c>
      <c r="P269" s="25">
        <f t="shared" si="14"/>
        <v>0.99715460006323109</v>
      </c>
      <c r="Q269">
        <v>38</v>
      </c>
      <c r="R269" t="s">
        <v>124</v>
      </c>
      <c r="S269" t="s">
        <v>124</v>
      </c>
      <c r="T269" t="s">
        <v>124</v>
      </c>
      <c r="U269" t="s">
        <v>124</v>
      </c>
      <c r="X269" s="19">
        <f>J269</f>
        <v>0.88656716417910453</v>
      </c>
      <c r="Y269" s="19">
        <f>N269</f>
        <v>2.8453999367689109E-3</v>
      </c>
      <c r="Z269" s="26">
        <f>(L269+Q269)/(L269+Q269+H269+K269)</f>
        <v>1.3436249285305889E-2</v>
      </c>
    </row>
    <row r="270" spans="1:26" x14ac:dyDescent="0.35">
      <c r="A270" t="s">
        <v>122</v>
      </c>
      <c r="B270" t="s">
        <v>122</v>
      </c>
      <c r="C270" t="s">
        <v>123</v>
      </c>
      <c r="D270" t="s">
        <v>100</v>
      </c>
      <c r="E270" t="s">
        <v>99</v>
      </c>
      <c r="F270" t="s">
        <v>12</v>
      </c>
      <c r="G270">
        <v>1</v>
      </c>
      <c r="H270">
        <v>297</v>
      </c>
      <c r="I270">
        <v>0.88656716417910397</v>
      </c>
      <c r="J270" s="25">
        <f t="shared" si="13"/>
        <v>0.88656716417910453</v>
      </c>
      <c r="K270">
        <v>3154</v>
      </c>
      <c r="L270">
        <v>9</v>
      </c>
      <c r="M270">
        <v>2.8453999367688901E-3</v>
      </c>
      <c r="N270" s="25">
        <f t="shared" si="12"/>
        <v>2.8453999367689109E-3</v>
      </c>
      <c r="O270">
        <v>0.99715460006323098</v>
      </c>
      <c r="P270" s="25">
        <f t="shared" si="14"/>
        <v>0.99715460006323109</v>
      </c>
      <c r="Q270">
        <v>38</v>
      </c>
      <c r="R270" t="s">
        <v>124</v>
      </c>
      <c r="S270" t="s">
        <v>124</v>
      </c>
      <c r="T270" t="s">
        <v>124</v>
      </c>
      <c r="U270" t="s">
        <v>124</v>
      </c>
      <c r="X270" s="19">
        <f>J270</f>
        <v>0.88656716417910453</v>
      </c>
      <c r="Y270" s="19">
        <f>N270</f>
        <v>2.8453999367689109E-3</v>
      </c>
      <c r="Z270" s="26">
        <f>(L270+Q270)/(L270+Q270+H270+K270)</f>
        <v>1.3436249285305889E-2</v>
      </c>
    </row>
    <row r="271" spans="1:26" x14ac:dyDescent="0.35">
      <c r="A271" t="s">
        <v>122</v>
      </c>
      <c r="B271" t="s">
        <v>122</v>
      </c>
      <c r="C271" t="s">
        <v>123</v>
      </c>
      <c r="D271" t="s">
        <v>100</v>
      </c>
      <c r="E271" t="s">
        <v>99</v>
      </c>
      <c r="F271" t="s">
        <v>12</v>
      </c>
      <c r="G271">
        <v>1</v>
      </c>
      <c r="H271">
        <v>297</v>
      </c>
      <c r="I271">
        <v>0.88656716417910397</v>
      </c>
      <c r="J271" s="25">
        <f t="shared" si="13"/>
        <v>0.88656716417910453</v>
      </c>
      <c r="K271">
        <v>3154</v>
      </c>
      <c r="L271">
        <v>9</v>
      </c>
      <c r="M271">
        <v>2.8453999367688901E-3</v>
      </c>
      <c r="N271" s="25">
        <f t="shared" si="12"/>
        <v>2.8453999367689109E-3</v>
      </c>
      <c r="O271">
        <v>0.99715460006323098</v>
      </c>
      <c r="P271" s="25">
        <f t="shared" si="14"/>
        <v>0.99715460006323109</v>
      </c>
      <c r="Q271">
        <v>38</v>
      </c>
      <c r="R271" t="s">
        <v>124</v>
      </c>
      <c r="S271" t="s">
        <v>124</v>
      </c>
      <c r="T271" t="s">
        <v>124</v>
      </c>
      <c r="U271" t="s">
        <v>124</v>
      </c>
      <c r="X271" s="19">
        <f>J271</f>
        <v>0.88656716417910453</v>
      </c>
      <c r="Y271" s="19">
        <f>N271</f>
        <v>2.8453999367689109E-3</v>
      </c>
      <c r="Z271" s="26">
        <f>(L271+Q271)/(L271+Q271+H271+K271)</f>
        <v>1.3436249285305889E-2</v>
      </c>
    </row>
    <row r="272" spans="1:26" x14ac:dyDescent="0.35">
      <c r="A272" t="s">
        <v>122</v>
      </c>
      <c r="B272" t="s">
        <v>122</v>
      </c>
      <c r="C272" t="s">
        <v>123</v>
      </c>
      <c r="D272" t="s">
        <v>100</v>
      </c>
      <c r="E272" t="s">
        <v>99</v>
      </c>
      <c r="F272" t="s">
        <v>12</v>
      </c>
      <c r="G272">
        <v>1</v>
      </c>
      <c r="H272">
        <v>297</v>
      </c>
      <c r="I272">
        <v>0.88656716417910397</v>
      </c>
      <c r="J272" s="25">
        <f t="shared" si="13"/>
        <v>0.88656716417910453</v>
      </c>
      <c r="K272">
        <v>3154</v>
      </c>
      <c r="L272">
        <v>9</v>
      </c>
      <c r="M272">
        <v>2.8453999367688901E-3</v>
      </c>
      <c r="N272" s="25">
        <f t="shared" si="12"/>
        <v>2.8453999367689109E-3</v>
      </c>
      <c r="O272">
        <v>0.99715460006323098</v>
      </c>
      <c r="P272" s="25">
        <f t="shared" si="14"/>
        <v>0.99715460006323109</v>
      </c>
      <c r="Q272">
        <v>38</v>
      </c>
      <c r="R272" t="s">
        <v>124</v>
      </c>
      <c r="S272" t="s">
        <v>124</v>
      </c>
      <c r="T272" t="s">
        <v>124</v>
      </c>
      <c r="U272" t="s">
        <v>124</v>
      </c>
      <c r="X272" s="19">
        <f>J272</f>
        <v>0.88656716417910453</v>
      </c>
      <c r="Y272" s="19">
        <f>N272</f>
        <v>2.8453999367689109E-3</v>
      </c>
      <c r="Z272" s="26">
        <f>(L272+Q272)/(L272+Q272+H272+K272)</f>
        <v>1.3436249285305889E-2</v>
      </c>
    </row>
    <row r="273" spans="1:26" x14ac:dyDescent="0.35">
      <c r="A273" t="s">
        <v>122</v>
      </c>
      <c r="B273" t="s">
        <v>122</v>
      </c>
      <c r="C273" t="s">
        <v>123</v>
      </c>
      <c r="D273" t="s">
        <v>100</v>
      </c>
      <c r="E273" t="s">
        <v>99</v>
      </c>
      <c r="F273" t="s">
        <v>12</v>
      </c>
      <c r="G273">
        <v>1</v>
      </c>
      <c r="H273">
        <v>297</v>
      </c>
      <c r="I273">
        <v>0.88656716417910397</v>
      </c>
      <c r="J273" s="25">
        <f t="shared" si="13"/>
        <v>0.88656716417910453</v>
      </c>
      <c r="K273">
        <v>3154</v>
      </c>
      <c r="L273">
        <v>9</v>
      </c>
      <c r="M273">
        <v>2.8453999367688901E-3</v>
      </c>
      <c r="N273" s="25">
        <f t="shared" si="12"/>
        <v>2.8453999367689109E-3</v>
      </c>
      <c r="O273">
        <v>0.99715460006323098</v>
      </c>
      <c r="P273" s="25">
        <f t="shared" si="14"/>
        <v>0.99715460006323109</v>
      </c>
      <c r="Q273">
        <v>38</v>
      </c>
      <c r="R273" t="s">
        <v>124</v>
      </c>
      <c r="S273" t="s">
        <v>124</v>
      </c>
      <c r="T273" t="s">
        <v>124</v>
      </c>
      <c r="U273" t="s">
        <v>124</v>
      </c>
      <c r="X273" s="19">
        <f>J273</f>
        <v>0.88656716417910453</v>
      </c>
      <c r="Y273" s="19">
        <f>N273</f>
        <v>2.8453999367689109E-3</v>
      </c>
      <c r="Z273" s="26">
        <f>(L273+Q273)/(L273+Q273+H273+K273)</f>
        <v>1.3436249285305889E-2</v>
      </c>
    </row>
    <row r="274" spans="1:26" x14ac:dyDescent="0.35">
      <c r="A274" t="s">
        <v>122</v>
      </c>
      <c r="B274" t="s">
        <v>122</v>
      </c>
      <c r="C274" t="s">
        <v>123</v>
      </c>
      <c r="D274" t="s">
        <v>100</v>
      </c>
      <c r="E274" t="s">
        <v>99</v>
      </c>
      <c r="F274" t="s">
        <v>12</v>
      </c>
      <c r="G274">
        <v>1</v>
      </c>
      <c r="H274">
        <v>297</v>
      </c>
      <c r="I274">
        <v>0.88656716417910397</v>
      </c>
      <c r="J274" s="25">
        <f t="shared" si="13"/>
        <v>0.88656716417910453</v>
      </c>
      <c r="K274">
        <v>3154</v>
      </c>
      <c r="L274">
        <v>9</v>
      </c>
      <c r="M274">
        <v>2.8453999367688901E-3</v>
      </c>
      <c r="N274" s="25">
        <f t="shared" si="12"/>
        <v>2.8453999367689109E-3</v>
      </c>
      <c r="O274">
        <v>0.99715460006323098</v>
      </c>
      <c r="P274" s="25">
        <f t="shared" si="14"/>
        <v>0.99715460006323109</v>
      </c>
      <c r="Q274">
        <v>38</v>
      </c>
      <c r="R274" t="s">
        <v>124</v>
      </c>
      <c r="S274" t="s">
        <v>124</v>
      </c>
      <c r="T274" t="s">
        <v>124</v>
      </c>
      <c r="U274" t="s">
        <v>124</v>
      </c>
      <c r="X274" s="19">
        <f>J274</f>
        <v>0.88656716417910453</v>
      </c>
      <c r="Y274" s="19">
        <f>N274</f>
        <v>2.8453999367689109E-3</v>
      </c>
      <c r="Z274" s="26">
        <f>(L274+Q274)/(L274+Q274+H274+K274)</f>
        <v>1.3436249285305889E-2</v>
      </c>
    </row>
    <row r="275" spans="1:26" x14ac:dyDescent="0.35">
      <c r="A275" t="s">
        <v>122</v>
      </c>
      <c r="B275" t="s">
        <v>122</v>
      </c>
      <c r="C275" t="s">
        <v>123</v>
      </c>
      <c r="D275" t="s">
        <v>100</v>
      </c>
      <c r="E275" t="s">
        <v>99</v>
      </c>
      <c r="F275" t="s">
        <v>12</v>
      </c>
      <c r="G275">
        <v>1</v>
      </c>
      <c r="H275">
        <v>297</v>
      </c>
      <c r="I275">
        <v>0.88656716417910397</v>
      </c>
      <c r="J275" s="25">
        <f t="shared" si="13"/>
        <v>0.88656716417910453</v>
      </c>
      <c r="K275">
        <v>3154</v>
      </c>
      <c r="L275">
        <v>9</v>
      </c>
      <c r="M275">
        <v>2.8453999367688901E-3</v>
      </c>
      <c r="N275" s="25">
        <f t="shared" si="12"/>
        <v>2.8453999367689109E-3</v>
      </c>
      <c r="O275">
        <v>0.99715460006323098</v>
      </c>
      <c r="P275" s="25">
        <f t="shared" si="14"/>
        <v>0.99715460006323109</v>
      </c>
      <c r="Q275">
        <v>38</v>
      </c>
      <c r="R275" t="s">
        <v>124</v>
      </c>
      <c r="S275" t="s">
        <v>124</v>
      </c>
      <c r="T275" t="s">
        <v>124</v>
      </c>
      <c r="U275" t="s">
        <v>124</v>
      </c>
      <c r="X275" s="19">
        <f>J275</f>
        <v>0.88656716417910453</v>
      </c>
      <c r="Y275" s="19">
        <f>N275</f>
        <v>2.8453999367689109E-3</v>
      </c>
      <c r="Z275" s="26">
        <f>(L275+Q275)/(L275+Q275+H275+K275)</f>
        <v>1.3436249285305889E-2</v>
      </c>
    </row>
    <row r="276" spans="1:26" x14ac:dyDescent="0.35">
      <c r="A276" t="s">
        <v>122</v>
      </c>
      <c r="B276" t="s">
        <v>122</v>
      </c>
      <c r="C276" t="s">
        <v>123</v>
      </c>
      <c r="D276" t="s">
        <v>100</v>
      </c>
      <c r="E276" t="s">
        <v>99</v>
      </c>
      <c r="F276" t="s">
        <v>12</v>
      </c>
      <c r="G276">
        <v>1</v>
      </c>
      <c r="H276">
        <v>305</v>
      </c>
      <c r="I276">
        <v>0.91044776119402904</v>
      </c>
      <c r="J276" s="25">
        <f t="shared" si="13"/>
        <v>0.91044776119402981</v>
      </c>
      <c r="K276">
        <v>3151</v>
      </c>
      <c r="L276">
        <v>12</v>
      </c>
      <c r="M276">
        <v>3.7938665823585198E-3</v>
      </c>
      <c r="N276" s="25">
        <f t="shared" si="12"/>
        <v>3.7938665823584738E-3</v>
      </c>
      <c r="O276">
        <v>0.99620613341764097</v>
      </c>
      <c r="P276" s="25">
        <f t="shared" si="14"/>
        <v>0.99620613341764153</v>
      </c>
      <c r="Q276">
        <v>30</v>
      </c>
      <c r="R276" t="s">
        <v>124</v>
      </c>
      <c r="S276" t="s">
        <v>124</v>
      </c>
      <c r="T276" t="s">
        <v>124</v>
      </c>
      <c r="U276" t="s">
        <v>124</v>
      </c>
      <c r="X276" s="19">
        <f>J276</f>
        <v>0.91044776119402981</v>
      </c>
      <c r="Y276" s="19">
        <f>N276</f>
        <v>3.7938665823584738E-3</v>
      </c>
      <c r="Z276" s="26">
        <f>(L276+Q276)/(L276+Q276+H276+K276)</f>
        <v>1.2006861063464836E-2</v>
      </c>
    </row>
    <row r="277" spans="1:26" x14ac:dyDescent="0.35">
      <c r="A277" t="s">
        <v>122</v>
      </c>
      <c r="B277" t="s">
        <v>122</v>
      </c>
      <c r="C277" t="s">
        <v>123</v>
      </c>
      <c r="D277" t="s">
        <v>100</v>
      </c>
      <c r="E277" t="s">
        <v>99</v>
      </c>
      <c r="F277" t="s">
        <v>12</v>
      </c>
      <c r="G277">
        <v>1</v>
      </c>
      <c r="H277">
        <v>305</v>
      </c>
      <c r="I277">
        <v>0.91044776119402904</v>
      </c>
      <c r="J277" s="25">
        <f t="shared" si="13"/>
        <v>0.91044776119402981</v>
      </c>
      <c r="K277">
        <v>3151</v>
      </c>
      <c r="L277">
        <v>12</v>
      </c>
      <c r="M277">
        <v>3.7938665823585198E-3</v>
      </c>
      <c r="N277" s="25">
        <f t="shared" si="12"/>
        <v>3.7938665823584738E-3</v>
      </c>
      <c r="O277">
        <v>0.99620613341764097</v>
      </c>
      <c r="P277" s="25">
        <f t="shared" si="14"/>
        <v>0.99620613341764153</v>
      </c>
      <c r="Q277">
        <v>30</v>
      </c>
      <c r="R277" t="s">
        <v>124</v>
      </c>
      <c r="S277" t="s">
        <v>124</v>
      </c>
      <c r="T277" t="s">
        <v>124</v>
      </c>
      <c r="U277" t="s">
        <v>124</v>
      </c>
      <c r="X277" s="19">
        <f>J277</f>
        <v>0.91044776119402981</v>
      </c>
      <c r="Y277" s="19">
        <f>N277</f>
        <v>3.7938665823584738E-3</v>
      </c>
      <c r="Z277" s="26">
        <f>(L277+Q277)/(L277+Q277+H277+K277)</f>
        <v>1.2006861063464836E-2</v>
      </c>
    </row>
    <row r="278" spans="1:26" x14ac:dyDescent="0.35">
      <c r="A278" t="s">
        <v>122</v>
      </c>
      <c r="B278" t="s">
        <v>122</v>
      </c>
      <c r="C278" t="s">
        <v>123</v>
      </c>
      <c r="D278" t="s">
        <v>100</v>
      </c>
      <c r="E278" t="s">
        <v>99</v>
      </c>
      <c r="F278" t="s">
        <v>12</v>
      </c>
      <c r="G278">
        <v>1</v>
      </c>
      <c r="H278">
        <v>305</v>
      </c>
      <c r="I278">
        <v>0.91044776119402904</v>
      </c>
      <c r="J278" s="25">
        <f t="shared" si="13"/>
        <v>0.91044776119402981</v>
      </c>
      <c r="K278">
        <v>3151</v>
      </c>
      <c r="L278">
        <v>12</v>
      </c>
      <c r="M278">
        <v>3.7938665823585198E-3</v>
      </c>
      <c r="N278" s="25">
        <f t="shared" si="12"/>
        <v>3.7938665823584738E-3</v>
      </c>
      <c r="O278">
        <v>0.99620613341764097</v>
      </c>
      <c r="P278" s="25">
        <f t="shared" si="14"/>
        <v>0.99620613341764153</v>
      </c>
      <c r="Q278">
        <v>30</v>
      </c>
      <c r="R278" t="s">
        <v>124</v>
      </c>
      <c r="S278" t="s">
        <v>124</v>
      </c>
      <c r="T278" t="s">
        <v>124</v>
      </c>
      <c r="U278" t="s">
        <v>124</v>
      </c>
      <c r="X278" s="19">
        <f>J278</f>
        <v>0.91044776119402981</v>
      </c>
      <c r="Y278" s="19">
        <f>N278</f>
        <v>3.7938665823584738E-3</v>
      </c>
      <c r="Z278" s="26">
        <f>(L278+Q278)/(L278+Q278+H278+K278)</f>
        <v>1.2006861063464836E-2</v>
      </c>
    </row>
    <row r="279" spans="1:26" x14ac:dyDescent="0.35">
      <c r="A279" t="s">
        <v>122</v>
      </c>
      <c r="B279" t="s">
        <v>122</v>
      </c>
      <c r="C279" t="s">
        <v>123</v>
      </c>
      <c r="D279" t="s">
        <v>100</v>
      </c>
      <c r="E279" t="s">
        <v>99</v>
      </c>
      <c r="F279" t="s">
        <v>12</v>
      </c>
      <c r="G279">
        <v>1</v>
      </c>
      <c r="H279">
        <v>305</v>
      </c>
      <c r="I279">
        <v>0.91044776119402904</v>
      </c>
      <c r="J279" s="25">
        <f t="shared" si="13"/>
        <v>0.91044776119402981</v>
      </c>
      <c r="K279">
        <v>3151</v>
      </c>
      <c r="L279">
        <v>12</v>
      </c>
      <c r="M279">
        <v>3.7938665823585198E-3</v>
      </c>
      <c r="N279" s="25">
        <f t="shared" si="12"/>
        <v>3.7938665823584738E-3</v>
      </c>
      <c r="O279">
        <v>0.99620613341764097</v>
      </c>
      <c r="P279" s="25">
        <f t="shared" si="14"/>
        <v>0.99620613341764153</v>
      </c>
      <c r="Q279">
        <v>30</v>
      </c>
      <c r="R279" t="s">
        <v>124</v>
      </c>
      <c r="S279" t="s">
        <v>124</v>
      </c>
      <c r="T279" t="s">
        <v>124</v>
      </c>
      <c r="U279" t="s">
        <v>124</v>
      </c>
      <c r="X279" s="19">
        <f>J279</f>
        <v>0.91044776119402981</v>
      </c>
      <c r="Y279" s="19">
        <f>N279</f>
        <v>3.7938665823584738E-3</v>
      </c>
      <c r="Z279" s="26">
        <f>(L279+Q279)/(L279+Q279+H279+K279)</f>
        <v>1.2006861063464836E-2</v>
      </c>
    </row>
    <row r="280" spans="1:26" x14ac:dyDescent="0.35">
      <c r="A280" t="s">
        <v>122</v>
      </c>
      <c r="B280" t="s">
        <v>122</v>
      </c>
      <c r="C280" t="s">
        <v>123</v>
      </c>
      <c r="D280" t="s">
        <v>100</v>
      </c>
      <c r="E280" t="s">
        <v>99</v>
      </c>
      <c r="F280" t="s">
        <v>12</v>
      </c>
      <c r="G280">
        <v>1</v>
      </c>
      <c r="H280">
        <v>305</v>
      </c>
      <c r="I280">
        <v>0.91044776119402904</v>
      </c>
      <c r="J280" s="25">
        <f t="shared" si="13"/>
        <v>0.91044776119402981</v>
      </c>
      <c r="K280">
        <v>3151</v>
      </c>
      <c r="L280">
        <v>12</v>
      </c>
      <c r="M280">
        <v>3.7938665823585198E-3</v>
      </c>
      <c r="N280" s="25">
        <f t="shared" si="12"/>
        <v>3.7938665823584738E-3</v>
      </c>
      <c r="O280">
        <v>0.99620613341764097</v>
      </c>
      <c r="P280" s="25">
        <f t="shared" si="14"/>
        <v>0.99620613341764153</v>
      </c>
      <c r="Q280">
        <v>30</v>
      </c>
      <c r="R280" t="s">
        <v>124</v>
      </c>
      <c r="S280" t="s">
        <v>124</v>
      </c>
      <c r="T280" t="s">
        <v>124</v>
      </c>
      <c r="U280" t="s">
        <v>124</v>
      </c>
      <c r="X280" s="19">
        <f>J280</f>
        <v>0.91044776119402981</v>
      </c>
      <c r="Y280" s="19">
        <f>N280</f>
        <v>3.7938665823584738E-3</v>
      </c>
      <c r="Z280" s="26">
        <f>(L280+Q280)/(L280+Q280+H280+K280)</f>
        <v>1.2006861063464836E-2</v>
      </c>
    </row>
    <row r="281" spans="1:26" x14ac:dyDescent="0.35">
      <c r="A281" t="s">
        <v>122</v>
      </c>
      <c r="B281" t="s">
        <v>122</v>
      </c>
      <c r="C281" t="s">
        <v>123</v>
      </c>
      <c r="D281" t="s">
        <v>100</v>
      </c>
      <c r="E281" t="s">
        <v>99</v>
      </c>
      <c r="F281" t="s">
        <v>12</v>
      </c>
      <c r="G281">
        <v>1</v>
      </c>
      <c r="H281">
        <v>305</v>
      </c>
      <c r="I281">
        <v>0.91044776119402904</v>
      </c>
      <c r="J281" s="25">
        <f t="shared" si="13"/>
        <v>0.91044776119402981</v>
      </c>
      <c r="K281">
        <v>3151</v>
      </c>
      <c r="L281">
        <v>12</v>
      </c>
      <c r="M281">
        <v>3.7938665823585198E-3</v>
      </c>
      <c r="N281" s="25">
        <f t="shared" si="12"/>
        <v>3.7938665823584738E-3</v>
      </c>
      <c r="O281">
        <v>0.99620613341764097</v>
      </c>
      <c r="P281" s="25">
        <f t="shared" si="14"/>
        <v>0.99620613341764153</v>
      </c>
      <c r="Q281">
        <v>30</v>
      </c>
      <c r="R281" t="s">
        <v>124</v>
      </c>
      <c r="S281" t="s">
        <v>124</v>
      </c>
      <c r="T281" t="s">
        <v>124</v>
      </c>
      <c r="U281" t="s">
        <v>124</v>
      </c>
      <c r="X281" s="19">
        <f>J281</f>
        <v>0.91044776119402981</v>
      </c>
      <c r="Y281" s="19">
        <f>N281</f>
        <v>3.7938665823584738E-3</v>
      </c>
      <c r="Z281" s="26">
        <f>(L281+Q281)/(L281+Q281+H281+K281)</f>
        <v>1.2006861063464836E-2</v>
      </c>
    </row>
    <row r="282" spans="1:26" x14ac:dyDescent="0.35">
      <c r="A282" t="s">
        <v>122</v>
      </c>
      <c r="B282" t="s">
        <v>122</v>
      </c>
      <c r="C282" t="s">
        <v>123</v>
      </c>
      <c r="D282" t="s">
        <v>100</v>
      </c>
      <c r="E282" t="s">
        <v>99</v>
      </c>
      <c r="F282" t="s">
        <v>12</v>
      </c>
      <c r="G282">
        <v>1</v>
      </c>
      <c r="H282">
        <v>305</v>
      </c>
      <c r="I282">
        <v>0.91044776119402904</v>
      </c>
      <c r="J282" s="25">
        <f t="shared" si="13"/>
        <v>0.91044776119402981</v>
      </c>
      <c r="K282">
        <v>3151</v>
      </c>
      <c r="L282">
        <v>12</v>
      </c>
      <c r="M282">
        <v>3.7938665823585198E-3</v>
      </c>
      <c r="N282" s="25">
        <f t="shared" si="12"/>
        <v>3.7938665823584738E-3</v>
      </c>
      <c r="O282">
        <v>0.99620613341764097</v>
      </c>
      <c r="P282" s="25">
        <f t="shared" si="14"/>
        <v>0.99620613341764153</v>
      </c>
      <c r="Q282">
        <v>30</v>
      </c>
      <c r="R282" t="s">
        <v>124</v>
      </c>
      <c r="S282" t="s">
        <v>124</v>
      </c>
      <c r="T282" t="s">
        <v>124</v>
      </c>
      <c r="U282" t="s">
        <v>124</v>
      </c>
      <c r="X282" s="19">
        <f>J282</f>
        <v>0.91044776119402981</v>
      </c>
      <c r="Y282" s="19">
        <f>N282</f>
        <v>3.7938665823584738E-3</v>
      </c>
      <c r="Z282" s="26">
        <f>(L282+Q282)/(L282+Q282+H282+K282)</f>
        <v>1.2006861063464836E-2</v>
      </c>
    </row>
    <row r="283" spans="1:26" x14ac:dyDescent="0.35">
      <c r="A283" t="s">
        <v>122</v>
      </c>
      <c r="B283" t="s">
        <v>122</v>
      </c>
      <c r="C283" t="s">
        <v>123</v>
      </c>
      <c r="D283" t="s">
        <v>100</v>
      </c>
      <c r="E283" t="s">
        <v>99</v>
      </c>
      <c r="F283" t="s">
        <v>12</v>
      </c>
      <c r="G283">
        <v>1</v>
      </c>
      <c r="H283">
        <v>305</v>
      </c>
      <c r="I283">
        <v>0.91044776119402904</v>
      </c>
      <c r="J283" s="25">
        <f t="shared" si="13"/>
        <v>0.91044776119402981</v>
      </c>
      <c r="K283">
        <v>3151</v>
      </c>
      <c r="L283">
        <v>12</v>
      </c>
      <c r="M283">
        <v>3.7938665823585198E-3</v>
      </c>
      <c r="N283" s="25">
        <f t="shared" si="12"/>
        <v>3.7938665823584738E-3</v>
      </c>
      <c r="O283">
        <v>0.99620613341764097</v>
      </c>
      <c r="P283" s="25">
        <f t="shared" si="14"/>
        <v>0.99620613341764153</v>
      </c>
      <c r="Q283">
        <v>30</v>
      </c>
      <c r="R283" t="s">
        <v>124</v>
      </c>
      <c r="S283" t="s">
        <v>124</v>
      </c>
      <c r="T283" t="s">
        <v>124</v>
      </c>
      <c r="U283" t="s">
        <v>124</v>
      </c>
      <c r="X283" s="19">
        <f>J283</f>
        <v>0.91044776119402981</v>
      </c>
      <c r="Y283" s="19">
        <f>N283</f>
        <v>3.7938665823584738E-3</v>
      </c>
      <c r="Z283" s="26">
        <f>(L283+Q283)/(L283+Q283+H283+K283)</f>
        <v>1.2006861063464836E-2</v>
      </c>
    </row>
    <row r="284" spans="1:26" x14ac:dyDescent="0.35">
      <c r="A284" t="s">
        <v>122</v>
      </c>
      <c r="B284" t="s">
        <v>122</v>
      </c>
      <c r="C284" t="s">
        <v>123</v>
      </c>
      <c r="D284" t="s">
        <v>100</v>
      </c>
      <c r="E284" t="s">
        <v>99</v>
      </c>
      <c r="F284" t="s">
        <v>12</v>
      </c>
      <c r="G284">
        <v>1</v>
      </c>
      <c r="H284">
        <v>305</v>
      </c>
      <c r="I284">
        <v>0.91044776119402904</v>
      </c>
      <c r="J284" s="25">
        <f t="shared" si="13"/>
        <v>0.91044776119402981</v>
      </c>
      <c r="K284">
        <v>3151</v>
      </c>
      <c r="L284">
        <v>12</v>
      </c>
      <c r="M284">
        <v>3.7938665823585198E-3</v>
      </c>
      <c r="N284" s="25">
        <f t="shared" si="12"/>
        <v>3.7938665823584738E-3</v>
      </c>
      <c r="O284">
        <v>0.99620613341764097</v>
      </c>
      <c r="P284" s="25">
        <f t="shared" si="14"/>
        <v>0.99620613341764153</v>
      </c>
      <c r="Q284">
        <v>30</v>
      </c>
      <c r="R284" t="s">
        <v>124</v>
      </c>
      <c r="S284" t="s">
        <v>124</v>
      </c>
      <c r="T284" t="s">
        <v>124</v>
      </c>
      <c r="U284" t="s">
        <v>124</v>
      </c>
      <c r="X284" s="19">
        <f>J284</f>
        <v>0.91044776119402981</v>
      </c>
      <c r="Y284" s="19">
        <f>N284</f>
        <v>3.7938665823584738E-3</v>
      </c>
      <c r="Z284" s="26">
        <f>(L284+Q284)/(L284+Q284+H284+K284)</f>
        <v>1.2006861063464836E-2</v>
      </c>
    </row>
    <row r="285" spans="1:26" x14ac:dyDescent="0.35">
      <c r="A285" t="s">
        <v>122</v>
      </c>
      <c r="B285" t="s">
        <v>122</v>
      </c>
      <c r="C285" t="s">
        <v>123</v>
      </c>
      <c r="D285" t="s">
        <v>100</v>
      </c>
      <c r="E285" t="s">
        <v>99</v>
      </c>
      <c r="F285" t="s">
        <v>12</v>
      </c>
      <c r="G285">
        <v>1</v>
      </c>
      <c r="H285">
        <v>305</v>
      </c>
      <c r="I285">
        <v>0.91044776119402904</v>
      </c>
      <c r="J285" s="25">
        <f t="shared" si="13"/>
        <v>0.91044776119402981</v>
      </c>
      <c r="K285">
        <v>3151</v>
      </c>
      <c r="L285">
        <v>12</v>
      </c>
      <c r="M285">
        <v>3.7938665823585198E-3</v>
      </c>
      <c r="N285" s="25">
        <f t="shared" si="12"/>
        <v>3.7938665823584738E-3</v>
      </c>
      <c r="O285">
        <v>0.99620613341764097</v>
      </c>
      <c r="P285" s="25">
        <f t="shared" si="14"/>
        <v>0.99620613341764153</v>
      </c>
      <c r="Q285">
        <v>30</v>
      </c>
      <c r="R285" t="s">
        <v>124</v>
      </c>
      <c r="S285" t="s">
        <v>124</v>
      </c>
      <c r="T285" t="s">
        <v>124</v>
      </c>
      <c r="U285" t="s">
        <v>124</v>
      </c>
      <c r="X285" s="19">
        <f>J285</f>
        <v>0.91044776119402981</v>
      </c>
      <c r="Y285" s="19">
        <f>N285</f>
        <v>3.7938665823584738E-3</v>
      </c>
      <c r="Z285" s="26">
        <f>(L285+Q285)/(L285+Q285+H285+K285)</f>
        <v>1.2006861063464836E-2</v>
      </c>
    </row>
    <row r="286" spans="1:26" x14ac:dyDescent="0.35">
      <c r="A286" t="s">
        <v>122</v>
      </c>
      <c r="B286" t="s">
        <v>122</v>
      </c>
      <c r="C286" t="s">
        <v>123</v>
      </c>
      <c r="D286" t="s">
        <v>100</v>
      </c>
      <c r="E286" t="s">
        <v>99</v>
      </c>
      <c r="F286" t="s">
        <v>12</v>
      </c>
      <c r="G286">
        <v>1</v>
      </c>
      <c r="H286">
        <v>305</v>
      </c>
      <c r="I286">
        <v>0.91044776119402904</v>
      </c>
      <c r="J286" s="25">
        <f t="shared" si="13"/>
        <v>0.91044776119402981</v>
      </c>
      <c r="K286">
        <v>3151</v>
      </c>
      <c r="L286">
        <v>12</v>
      </c>
      <c r="M286">
        <v>3.7938665823585198E-3</v>
      </c>
      <c r="N286" s="25">
        <f t="shared" si="12"/>
        <v>3.7938665823584738E-3</v>
      </c>
      <c r="O286">
        <v>0.99620613341764097</v>
      </c>
      <c r="P286" s="25">
        <f t="shared" si="14"/>
        <v>0.99620613341764153</v>
      </c>
      <c r="Q286">
        <v>30</v>
      </c>
      <c r="R286" t="s">
        <v>124</v>
      </c>
      <c r="S286" t="s">
        <v>124</v>
      </c>
      <c r="T286" t="s">
        <v>124</v>
      </c>
      <c r="U286" t="s">
        <v>124</v>
      </c>
      <c r="X286" s="19">
        <f>J286</f>
        <v>0.91044776119402981</v>
      </c>
      <c r="Y286" s="19">
        <f>N286</f>
        <v>3.7938665823584738E-3</v>
      </c>
      <c r="Z286" s="26">
        <f>(L286+Q286)/(L286+Q286+H286+K286)</f>
        <v>1.2006861063464836E-2</v>
      </c>
    </row>
    <row r="287" spans="1:26" x14ac:dyDescent="0.35">
      <c r="A287" t="s">
        <v>122</v>
      </c>
      <c r="B287" t="s">
        <v>122</v>
      </c>
      <c r="C287" t="s">
        <v>123</v>
      </c>
      <c r="D287" t="s">
        <v>100</v>
      </c>
      <c r="E287" t="s">
        <v>99</v>
      </c>
      <c r="F287" t="s">
        <v>12</v>
      </c>
      <c r="G287">
        <v>1</v>
      </c>
      <c r="H287">
        <v>305</v>
      </c>
      <c r="I287">
        <v>0.91044776119402904</v>
      </c>
      <c r="J287" s="25">
        <f t="shared" si="13"/>
        <v>0.91044776119402981</v>
      </c>
      <c r="K287">
        <v>3151</v>
      </c>
      <c r="L287">
        <v>12</v>
      </c>
      <c r="M287">
        <v>3.7938665823585198E-3</v>
      </c>
      <c r="N287" s="25">
        <f t="shared" si="12"/>
        <v>3.7938665823584738E-3</v>
      </c>
      <c r="O287">
        <v>0.99620613341764097</v>
      </c>
      <c r="P287" s="25">
        <f t="shared" si="14"/>
        <v>0.99620613341764153</v>
      </c>
      <c r="Q287">
        <v>30</v>
      </c>
      <c r="R287" t="s">
        <v>124</v>
      </c>
      <c r="S287" t="s">
        <v>124</v>
      </c>
      <c r="T287" t="s">
        <v>124</v>
      </c>
      <c r="U287" t="s">
        <v>124</v>
      </c>
      <c r="X287" s="19">
        <f>J287</f>
        <v>0.91044776119402981</v>
      </c>
      <c r="Y287" s="19">
        <f>N287</f>
        <v>3.7938665823584738E-3</v>
      </c>
      <c r="Z287" s="26">
        <f>(L287+Q287)/(L287+Q287+H287+K287)</f>
        <v>1.2006861063464836E-2</v>
      </c>
    </row>
    <row r="288" spans="1:26" x14ac:dyDescent="0.35">
      <c r="A288" t="s">
        <v>122</v>
      </c>
      <c r="B288" t="s">
        <v>122</v>
      </c>
      <c r="C288" t="s">
        <v>123</v>
      </c>
      <c r="D288" t="s">
        <v>100</v>
      </c>
      <c r="E288" t="s">
        <v>99</v>
      </c>
      <c r="F288" t="s">
        <v>12</v>
      </c>
      <c r="G288">
        <v>1</v>
      </c>
      <c r="H288">
        <v>305</v>
      </c>
      <c r="I288">
        <v>0.91044776119402904</v>
      </c>
      <c r="J288" s="25">
        <f t="shared" si="13"/>
        <v>0.91044776119402981</v>
      </c>
      <c r="K288">
        <v>3151</v>
      </c>
      <c r="L288">
        <v>12</v>
      </c>
      <c r="M288">
        <v>3.7938665823585198E-3</v>
      </c>
      <c r="N288" s="25">
        <f t="shared" si="12"/>
        <v>3.7938665823584738E-3</v>
      </c>
      <c r="O288">
        <v>0.99620613341764097</v>
      </c>
      <c r="P288" s="25">
        <f t="shared" si="14"/>
        <v>0.99620613341764153</v>
      </c>
      <c r="Q288">
        <v>30</v>
      </c>
      <c r="R288" t="s">
        <v>124</v>
      </c>
      <c r="S288" t="s">
        <v>124</v>
      </c>
      <c r="T288" t="s">
        <v>124</v>
      </c>
      <c r="U288" t="s">
        <v>124</v>
      </c>
      <c r="X288" s="19">
        <f>J288</f>
        <v>0.91044776119402981</v>
      </c>
      <c r="Y288" s="19">
        <f>N288</f>
        <v>3.7938665823584738E-3</v>
      </c>
      <c r="Z288" s="26">
        <f>(L288+Q288)/(L288+Q288+H288+K288)</f>
        <v>1.2006861063464836E-2</v>
      </c>
    </row>
    <row r="289" spans="1:26" x14ac:dyDescent="0.35">
      <c r="A289" t="s">
        <v>122</v>
      </c>
      <c r="B289" t="s">
        <v>122</v>
      </c>
      <c r="C289" t="s">
        <v>123</v>
      </c>
      <c r="D289" t="s">
        <v>100</v>
      </c>
      <c r="E289" t="s">
        <v>99</v>
      </c>
      <c r="F289" t="s">
        <v>12</v>
      </c>
      <c r="G289">
        <v>1</v>
      </c>
      <c r="H289">
        <v>305</v>
      </c>
      <c r="I289">
        <v>0.91044776119402904</v>
      </c>
      <c r="J289" s="25">
        <f t="shared" si="13"/>
        <v>0.91044776119402981</v>
      </c>
      <c r="K289">
        <v>3151</v>
      </c>
      <c r="L289">
        <v>12</v>
      </c>
      <c r="M289">
        <v>3.7938665823585198E-3</v>
      </c>
      <c r="N289" s="25">
        <f t="shared" si="12"/>
        <v>3.7938665823584738E-3</v>
      </c>
      <c r="O289">
        <v>0.99620613341764097</v>
      </c>
      <c r="P289" s="25">
        <f t="shared" si="14"/>
        <v>0.99620613341764153</v>
      </c>
      <c r="Q289">
        <v>30</v>
      </c>
      <c r="R289" t="s">
        <v>124</v>
      </c>
      <c r="S289" t="s">
        <v>124</v>
      </c>
      <c r="T289" t="s">
        <v>124</v>
      </c>
      <c r="U289" t="s">
        <v>124</v>
      </c>
      <c r="X289" s="19">
        <f>J289</f>
        <v>0.91044776119402981</v>
      </c>
      <c r="Y289" s="19">
        <f>N289</f>
        <v>3.7938665823584738E-3</v>
      </c>
      <c r="Z289" s="26">
        <f>(L289+Q289)/(L289+Q289+H289+K289)</f>
        <v>1.2006861063464836E-2</v>
      </c>
    </row>
    <row r="290" spans="1:26" x14ac:dyDescent="0.35">
      <c r="A290" t="s">
        <v>122</v>
      </c>
      <c r="B290" t="s">
        <v>122</v>
      </c>
      <c r="C290" t="s">
        <v>123</v>
      </c>
      <c r="D290" t="s">
        <v>100</v>
      </c>
      <c r="E290" t="s">
        <v>99</v>
      </c>
      <c r="F290" t="s">
        <v>12</v>
      </c>
      <c r="G290">
        <v>1</v>
      </c>
      <c r="H290">
        <v>305</v>
      </c>
      <c r="I290">
        <v>0.91044776119402904</v>
      </c>
      <c r="J290" s="25">
        <f t="shared" si="13"/>
        <v>0.91044776119402981</v>
      </c>
      <c r="K290">
        <v>3151</v>
      </c>
      <c r="L290">
        <v>12</v>
      </c>
      <c r="M290">
        <v>3.7938665823585198E-3</v>
      </c>
      <c r="N290" s="25">
        <f t="shared" si="12"/>
        <v>3.7938665823584738E-3</v>
      </c>
      <c r="O290">
        <v>0.99620613341764097</v>
      </c>
      <c r="P290" s="25">
        <f t="shared" si="14"/>
        <v>0.99620613341764153</v>
      </c>
      <c r="Q290">
        <v>30</v>
      </c>
      <c r="R290" t="s">
        <v>124</v>
      </c>
      <c r="S290" t="s">
        <v>124</v>
      </c>
      <c r="T290" t="s">
        <v>124</v>
      </c>
      <c r="U290" t="s">
        <v>124</v>
      </c>
      <c r="X290" s="19">
        <f>J290</f>
        <v>0.91044776119402981</v>
      </c>
      <c r="Y290" s="19">
        <f>N290</f>
        <v>3.7938665823584738E-3</v>
      </c>
      <c r="Z290" s="26">
        <f>(L290+Q290)/(L290+Q290+H290+K290)</f>
        <v>1.2006861063464836E-2</v>
      </c>
    </row>
    <row r="291" spans="1:26" x14ac:dyDescent="0.35">
      <c r="A291" t="s">
        <v>122</v>
      </c>
      <c r="B291" t="s">
        <v>122</v>
      </c>
      <c r="C291" t="s">
        <v>123</v>
      </c>
      <c r="D291" t="s">
        <v>100</v>
      </c>
      <c r="E291" t="s">
        <v>99</v>
      </c>
      <c r="F291" t="s">
        <v>12</v>
      </c>
      <c r="G291">
        <v>1</v>
      </c>
      <c r="H291">
        <v>305</v>
      </c>
      <c r="I291">
        <v>0.91044776119402904</v>
      </c>
      <c r="J291" s="25">
        <f t="shared" si="13"/>
        <v>0.91044776119402981</v>
      </c>
      <c r="K291">
        <v>3151</v>
      </c>
      <c r="L291">
        <v>12</v>
      </c>
      <c r="M291">
        <v>3.7938665823585198E-3</v>
      </c>
      <c r="N291" s="25">
        <f t="shared" si="12"/>
        <v>3.7938665823584738E-3</v>
      </c>
      <c r="O291">
        <v>0.99620613341764097</v>
      </c>
      <c r="P291" s="25">
        <f t="shared" si="14"/>
        <v>0.99620613341764153</v>
      </c>
      <c r="Q291">
        <v>30</v>
      </c>
      <c r="R291" t="s">
        <v>124</v>
      </c>
      <c r="S291" t="s">
        <v>124</v>
      </c>
      <c r="T291" t="s">
        <v>124</v>
      </c>
      <c r="U291" t="s">
        <v>124</v>
      </c>
      <c r="X291" s="19">
        <f>J291</f>
        <v>0.91044776119402981</v>
      </c>
      <c r="Y291" s="19">
        <f>N291</f>
        <v>3.7938665823584738E-3</v>
      </c>
      <c r="Z291" s="26">
        <f>(L291+Q291)/(L291+Q291+H291+K291)</f>
        <v>1.2006861063464836E-2</v>
      </c>
    </row>
    <row r="292" spans="1:26" x14ac:dyDescent="0.35">
      <c r="A292" t="s">
        <v>122</v>
      </c>
      <c r="B292" t="s">
        <v>122</v>
      </c>
      <c r="C292" t="s">
        <v>123</v>
      </c>
      <c r="D292" t="s">
        <v>100</v>
      </c>
      <c r="E292" t="s">
        <v>99</v>
      </c>
      <c r="F292" t="s">
        <v>12</v>
      </c>
      <c r="G292">
        <v>1</v>
      </c>
      <c r="H292">
        <v>305</v>
      </c>
      <c r="I292">
        <v>0.91044776119402904</v>
      </c>
      <c r="J292" s="25">
        <f t="shared" si="13"/>
        <v>0.91044776119402981</v>
      </c>
      <c r="K292">
        <v>3151</v>
      </c>
      <c r="L292">
        <v>12</v>
      </c>
      <c r="M292">
        <v>3.7938665823585198E-3</v>
      </c>
      <c r="N292" s="25">
        <f t="shared" si="12"/>
        <v>3.7938665823584738E-3</v>
      </c>
      <c r="O292">
        <v>0.99620613341764097</v>
      </c>
      <c r="P292" s="25">
        <f t="shared" si="14"/>
        <v>0.99620613341764153</v>
      </c>
      <c r="Q292">
        <v>30</v>
      </c>
      <c r="R292" t="s">
        <v>124</v>
      </c>
      <c r="S292" t="s">
        <v>124</v>
      </c>
      <c r="T292" t="s">
        <v>124</v>
      </c>
      <c r="U292" t="s">
        <v>124</v>
      </c>
      <c r="X292" s="19">
        <f>J292</f>
        <v>0.91044776119402981</v>
      </c>
      <c r="Y292" s="19">
        <f>N292</f>
        <v>3.7938665823584738E-3</v>
      </c>
      <c r="Z292" s="26">
        <f>(L292+Q292)/(L292+Q292+H292+K292)</f>
        <v>1.2006861063464836E-2</v>
      </c>
    </row>
    <row r="293" spans="1:26" x14ac:dyDescent="0.35">
      <c r="A293" t="s">
        <v>122</v>
      </c>
      <c r="B293" t="s">
        <v>122</v>
      </c>
      <c r="C293" t="s">
        <v>123</v>
      </c>
      <c r="D293" t="s">
        <v>100</v>
      </c>
      <c r="E293" t="s">
        <v>99</v>
      </c>
      <c r="F293" t="s">
        <v>12</v>
      </c>
      <c r="G293">
        <v>1</v>
      </c>
      <c r="H293">
        <v>305</v>
      </c>
      <c r="I293">
        <v>0.91044776119402904</v>
      </c>
      <c r="J293" s="25">
        <f t="shared" si="13"/>
        <v>0.91044776119402981</v>
      </c>
      <c r="K293">
        <v>3151</v>
      </c>
      <c r="L293">
        <v>12</v>
      </c>
      <c r="M293">
        <v>3.7938665823585198E-3</v>
      </c>
      <c r="N293" s="25">
        <f t="shared" si="12"/>
        <v>3.7938665823584738E-3</v>
      </c>
      <c r="O293">
        <v>0.99620613341764097</v>
      </c>
      <c r="P293" s="25">
        <f t="shared" si="14"/>
        <v>0.99620613341764153</v>
      </c>
      <c r="Q293">
        <v>30</v>
      </c>
      <c r="R293" t="s">
        <v>124</v>
      </c>
      <c r="S293" t="s">
        <v>124</v>
      </c>
      <c r="T293" t="s">
        <v>124</v>
      </c>
      <c r="U293" t="s">
        <v>124</v>
      </c>
      <c r="X293" s="19">
        <f>J293</f>
        <v>0.91044776119402981</v>
      </c>
      <c r="Y293" s="19">
        <f>N293</f>
        <v>3.7938665823584738E-3</v>
      </c>
      <c r="Z293" s="26">
        <f>(L293+Q293)/(L293+Q293+H293+K293)</f>
        <v>1.2006861063464836E-2</v>
      </c>
    </row>
    <row r="294" spans="1:26" x14ac:dyDescent="0.35">
      <c r="A294" t="s">
        <v>122</v>
      </c>
      <c r="B294" t="s">
        <v>122</v>
      </c>
      <c r="C294" t="s">
        <v>123</v>
      </c>
      <c r="D294" t="s">
        <v>100</v>
      </c>
      <c r="E294" t="s">
        <v>99</v>
      </c>
      <c r="F294" t="s">
        <v>12</v>
      </c>
      <c r="G294">
        <v>1</v>
      </c>
      <c r="H294">
        <v>305</v>
      </c>
      <c r="I294">
        <v>0.91044776119402904</v>
      </c>
      <c r="J294" s="25">
        <f t="shared" si="13"/>
        <v>0.91044776119402981</v>
      </c>
      <c r="K294">
        <v>3151</v>
      </c>
      <c r="L294">
        <v>12</v>
      </c>
      <c r="M294">
        <v>3.7938665823585198E-3</v>
      </c>
      <c r="N294" s="25">
        <f t="shared" si="12"/>
        <v>3.7938665823584738E-3</v>
      </c>
      <c r="O294">
        <v>0.99620613341764097</v>
      </c>
      <c r="P294" s="25">
        <f t="shared" si="14"/>
        <v>0.99620613341764153</v>
      </c>
      <c r="Q294">
        <v>30</v>
      </c>
      <c r="R294" t="s">
        <v>124</v>
      </c>
      <c r="S294" t="s">
        <v>124</v>
      </c>
      <c r="T294" t="s">
        <v>124</v>
      </c>
      <c r="U294" t="s">
        <v>124</v>
      </c>
      <c r="X294" s="19">
        <f>J294</f>
        <v>0.91044776119402981</v>
      </c>
      <c r="Y294" s="19">
        <f>N294</f>
        <v>3.7938665823584738E-3</v>
      </c>
      <c r="Z294" s="26">
        <f>(L294+Q294)/(L294+Q294+H294+K294)</f>
        <v>1.2006861063464836E-2</v>
      </c>
    </row>
    <row r="295" spans="1:26" x14ac:dyDescent="0.35">
      <c r="A295" t="s">
        <v>122</v>
      </c>
      <c r="B295" t="s">
        <v>122</v>
      </c>
      <c r="C295" t="s">
        <v>123</v>
      </c>
      <c r="D295" t="s">
        <v>100</v>
      </c>
      <c r="E295" t="s">
        <v>99</v>
      </c>
      <c r="F295" t="s">
        <v>12</v>
      </c>
      <c r="G295">
        <v>1</v>
      </c>
      <c r="H295">
        <v>305</v>
      </c>
      <c r="I295">
        <v>0.91044776119402904</v>
      </c>
      <c r="J295" s="25">
        <f t="shared" si="13"/>
        <v>0.91044776119402981</v>
      </c>
      <c r="K295">
        <v>3151</v>
      </c>
      <c r="L295">
        <v>12</v>
      </c>
      <c r="M295">
        <v>3.7938665823585198E-3</v>
      </c>
      <c r="N295" s="25">
        <f t="shared" si="12"/>
        <v>3.7938665823584738E-3</v>
      </c>
      <c r="O295">
        <v>0.99620613341764097</v>
      </c>
      <c r="P295" s="25">
        <f t="shared" si="14"/>
        <v>0.99620613341764153</v>
      </c>
      <c r="Q295">
        <v>30</v>
      </c>
      <c r="R295" t="s">
        <v>124</v>
      </c>
      <c r="S295" t="s">
        <v>124</v>
      </c>
      <c r="T295" t="s">
        <v>124</v>
      </c>
      <c r="U295" t="s">
        <v>124</v>
      </c>
      <c r="X295" s="19">
        <f>J295</f>
        <v>0.91044776119402981</v>
      </c>
      <c r="Y295" s="19">
        <f>N295</f>
        <v>3.7938665823584738E-3</v>
      </c>
      <c r="Z295" s="26">
        <f>(L295+Q295)/(L295+Q295+H295+K295)</f>
        <v>1.2006861063464836E-2</v>
      </c>
    </row>
    <row r="296" spans="1:26" x14ac:dyDescent="0.35">
      <c r="A296" t="s">
        <v>122</v>
      </c>
      <c r="B296" t="s">
        <v>122</v>
      </c>
      <c r="C296" t="s">
        <v>123</v>
      </c>
      <c r="D296" t="s">
        <v>100</v>
      </c>
      <c r="E296" t="s">
        <v>99</v>
      </c>
      <c r="F296" t="s">
        <v>12</v>
      </c>
      <c r="G296">
        <v>1</v>
      </c>
      <c r="H296">
        <v>305</v>
      </c>
      <c r="I296">
        <v>0.91044776119402904</v>
      </c>
      <c r="J296" s="25">
        <f t="shared" si="13"/>
        <v>0.91044776119402981</v>
      </c>
      <c r="K296">
        <v>3151</v>
      </c>
      <c r="L296">
        <v>12</v>
      </c>
      <c r="M296">
        <v>3.7938665823585198E-3</v>
      </c>
      <c r="N296" s="25">
        <f t="shared" si="12"/>
        <v>3.7938665823584738E-3</v>
      </c>
      <c r="O296">
        <v>0.99620613341764097</v>
      </c>
      <c r="P296" s="25">
        <f t="shared" si="14"/>
        <v>0.99620613341764153</v>
      </c>
      <c r="Q296">
        <v>30</v>
      </c>
      <c r="R296" t="s">
        <v>124</v>
      </c>
      <c r="S296" t="s">
        <v>124</v>
      </c>
      <c r="T296" t="s">
        <v>124</v>
      </c>
      <c r="U296" t="s">
        <v>124</v>
      </c>
      <c r="X296" s="19">
        <f>J296</f>
        <v>0.91044776119402981</v>
      </c>
      <c r="Y296" s="19">
        <f>N296</f>
        <v>3.7938665823584738E-3</v>
      </c>
      <c r="Z296" s="26">
        <f>(L296+Q296)/(L296+Q296+H296+K296)</f>
        <v>1.2006861063464836E-2</v>
      </c>
    </row>
    <row r="297" spans="1:26" x14ac:dyDescent="0.35">
      <c r="A297" t="s">
        <v>122</v>
      </c>
      <c r="B297" t="s">
        <v>122</v>
      </c>
      <c r="C297" t="s">
        <v>123</v>
      </c>
      <c r="D297" t="s">
        <v>100</v>
      </c>
      <c r="E297" t="s">
        <v>99</v>
      </c>
      <c r="F297" t="s">
        <v>12</v>
      </c>
      <c r="G297">
        <v>1</v>
      </c>
      <c r="H297">
        <v>305</v>
      </c>
      <c r="I297">
        <v>0.91044776119402904</v>
      </c>
      <c r="J297" s="25">
        <f t="shared" si="13"/>
        <v>0.91044776119402981</v>
      </c>
      <c r="K297">
        <v>3151</v>
      </c>
      <c r="L297">
        <v>12</v>
      </c>
      <c r="M297">
        <v>3.7938665823585198E-3</v>
      </c>
      <c r="N297" s="25">
        <f t="shared" si="12"/>
        <v>3.7938665823584738E-3</v>
      </c>
      <c r="O297">
        <v>0.99620613341764097</v>
      </c>
      <c r="P297" s="25">
        <f t="shared" si="14"/>
        <v>0.99620613341764153</v>
      </c>
      <c r="Q297">
        <v>30</v>
      </c>
      <c r="R297" t="s">
        <v>124</v>
      </c>
      <c r="S297" t="s">
        <v>124</v>
      </c>
      <c r="T297" t="s">
        <v>124</v>
      </c>
      <c r="U297" t="s">
        <v>124</v>
      </c>
      <c r="X297" s="19">
        <f>J297</f>
        <v>0.91044776119402981</v>
      </c>
      <c r="Y297" s="19">
        <f>N297</f>
        <v>3.7938665823584738E-3</v>
      </c>
      <c r="Z297" s="26">
        <f>(L297+Q297)/(L297+Q297+H297+K297)</f>
        <v>1.2006861063464836E-2</v>
      </c>
    </row>
    <row r="298" spans="1:26" x14ac:dyDescent="0.35">
      <c r="A298" t="s">
        <v>122</v>
      </c>
      <c r="B298" t="s">
        <v>122</v>
      </c>
      <c r="C298" t="s">
        <v>123</v>
      </c>
      <c r="D298" t="s">
        <v>100</v>
      </c>
      <c r="E298" t="s">
        <v>99</v>
      </c>
      <c r="F298" t="s">
        <v>12</v>
      </c>
      <c r="G298">
        <v>1</v>
      </c>
      <c r="H298">
        <v>305</v>
      </c>
      <c r="I298">
        <v>0.91044776119402904</v>
      </c>
      <c r="J298" s="25">
        <f t="shared" si="13"/>
        <v>0.91044776119402981</v>
      </c>
      <c r="K298">
        <v>3151</v>
      </c>
      <c r="L298">
        <v>12</v>
      </c>
      <c r="M298">
        <v>3.7938665823585198E-3</v>
      </c>
      <c r="N298" s="25">
        <f t="shared" si="12"/>
        <v>3.7938665823584738E-3</v>
      </c>
      <c r="O298">
        <v>0.99620613341764097</v>
      </c>
      <c r="P298" s="25">
        <f t="shared" si="14"/>
        <v>0.99620613341764153</v>
      </c>
      <c r="Q298">
        <v>30</v>
      </c>
      <c r="R298" t="s">
        <v>124</v>
      </c>
      <c r="S298" t="s">
        <v>124</v>
      </c>
      <c r="T298" t="s">
        <v>124</v>
      </c>
      <c r="U298" t="s">
        <v>124</v>
      </c>
      <c r="X298" s="19">
        <f>J298</f>
        <v>0.91044776119402981</v>
      </c>
      <c r="Y298" s="19">
        <f>N298</f>
        <v>3.7938665823584738E-3</v>
      </c>
      <c r="Z298" s="26">
        <f>(L298+Q298)/(L298+Q298+H298+K298)</f>
        <v>1.2006861063464836E-2</v>
      </c>
    </row>
    <row r="299" spans="1:26" x14ac:dyDescent="0.35">
      <c r="A299" t="s">
        <v>122</v>
      </c>
      <c r="B299" t="s">
        <v>122</v>
      </c>
      <c r="C299" t="s">
        <v>123</v>
      </c>
      <c r="D299" t="s">
        <v>100</v>
      </c>
      <c r="E299" t="s">
        <v>99</v>
      </c>
      <c r="F299" t="s">
        <v>12</v>
      </c>
      <c r="G299">
        <v>1</v>
      </c>
      <c r="H299">
        <v>305</v>
      </c>
      <c r="I299">
        <v>0.91044776119402904</v>
      </c>
      <c r="J299" s="25">
        <f t="shared" si="13"/>
        <v>0.91044776119402981</v>
      </c>
      <c r="K299">
        <v>3151</v>
      </c>
      <c r="L299">
        <v>12</v>
      </c>
      <c r="M299">
        <v>3.7938665823585198E-3</v>
      </c>
      <c r="N299" s="25">
        <f t="shared" si="12"/>
        <v>3.7938665823584738E-3</v>
      </c>
      <c r="O299">
        <v>0.99620613341764097</v>
      </c>
      <c r="P299" s="25">
        <f t="shared" si="14"/>
        <v>0.99620613341764153</v>
      </c>
      <c r="Q299">
        <v>30</v>
      </c>
      <c r="R299" t="s">
        <v>124</v>
      </c>
      <c r="S299" t="s">
        <v>124</v>
      </c>
      <c r="T299" t="s">
        <v>124</v>
      </c>
      <c r="U299" t="s">
        <v>124</v>
      </c>
      <c r="X299" s="19">
        <f>J299</f>
        <v>0.91044776119402981</v>
      </c>
      <c r="Y299" s="19">
        <f>N299</f>
        <v>3.7938665823584738E-3</v>
      </c>
      <c r="Z299" s="26">
        <f>(L299+Q299)/(L299+Q299+H299+K299)</f>
        <v>1.2006861063464836E-2</v>
      </c>
    </row>
    <row r="300" spans="1:26" x14ac:dyDescent="0.35">
      <c r="A300" t="s">
        <v>122</v>
      </c>
      <c r="B300" t="s">
        <v>122</v>
      </c>
      <c r="C300" t="s">
        <v>123</v>
      </c>
      <c r="D300" t="s">
        <v>100</v>
      </c>
      <c r="E300" t="s">
        <v>99</v>
      </c>
      <c r="F300" t="s">
        <v>12</v>
      </c>
      <c r="G300">
        <v>1</v>
      </c>
      <c r="H300">
        <v>305</v>
      </c>
      <c r="I300">
        <v>0.91044776119402904</v>
      </c>
      <c r="J300" s="25">
        <f t="shared" si="13"/>
        <v>0.91044776119402981</v>
      </c>
      <c r="K300">
        <v>3151</v>
      </c>
      <c r="L300">
        <v>12</v>
      </c>
      <c r="M300">
        <v>3.7938665823585198E-3</v>
      </c>
      <c r="N300" s="25">
        <f t="shared" si="12"/>
        <v>3.7938665823584738E-3</v>
      </c>
      <c r="O300">
        <v>0.99620613341764097</v>
      </c>
      <c r="P300" s="25">
        <f t="shared" si="14"/>
        <v>0.99620613341764153</v>
      </c>
      <c r="Q300">
        <v>30</v>
      </c>
      <c r="R300" t="s">
        <v>124</v>
      </c>
      <c r="S300" t="s">
        <v>124</v>
      </c>
      <c r="T300" t="s">
        <v>124</v>
      </c>
      <c r="U300" t="s">
        <v>124</v>
      </c>
      <c r="X300" s="19">
        <f>J300</f>
        <v>0.91044776119402981</v>
      </c>
      <c r="Y300" s="19">
        <f>N300</f>
        <v>3.7938665823584738E-3</v>
      </c>
      <c r="Z300" s="26">
        <f>(L300+Q300)/(L300+Q300+H300+K300)</f>
        <v>1.2006861063464836E-2</v>
      </c>
    </row>
    <row r="301" spans="1:26" x14ac:dyDescent="0.35">
      <c r="A301" t="s">
        <v>122</v>
      </c>
      <c r="B301" t="s">
        <v>122</v>
      </c>
      <c r="C301" t="s">
        <v>123</v>
      </c>
      <c r="D301" t="s">
        <v>100</v>
      </c>
      <c r="E301" t="s">
        <v>99</v>
      </c>
      <c r="F301" t="s">
        <v>12</v>
      </c>
      <c r="G301">
        <v>1</v>
      </c>
      <c r="H301">
        <v>305</v>
      </c>
      <c r="I301">
        <v>0.91044776119402904</v>
      </c>
      <c r="J301" s="25">
        <f t="shared" si="13"/>
        <v>0.91044776119402981</v>
      </c>
      <c r="K301">
        <v>3151</v>
      </c>
      <c r="L301">
        <v>12</v>
      </c>
      <c r="M301">
        <v>3.7938665823585198E-3</v>
      </c>
      <c r="N301" s="25">
        <f t="shared" si="12"/>
        <v>3.7938665823584738E-3</v>
      </c>
      <c r="O301">
        <v>0.99620613341764097</v>
      </c>
      <c r="P301" s="25">
        <f t="shared" si="14"/>
        <v>0.99620613341764153</v>
      </c>
      <c r="Q301">
        <v>30</v>
      </c>
      <c r="R301" t="s">
        <v>124</v>
      </c>
      <c r="S301" t="s">
        <v>124</v>
      </c>
      <c r="T301" t="s">
        <v>124</v>
      </c>
      <c r="U301" t="s">
        <v>124</v>
      </c>
      <c r="X301" s="19">
        <f>J301</f>
        <v>0.91044776119402981</v>
      </c>
      <c r="Y301" s="19">
        <f>N301</f>
        <v>3.7938665823584738E-3</v>
      </c>
      <c r="Z301" s="26">
        <f>(L301+Q301)/(L301+Q301+H301+K301)</f>
        <v>1.2006861063464836E-2</v>
      </c>
    </row>
    <row r="302" spans="1:26" x14ac:dyDescent="0.35">
      <c r="A302" t="s">
        <v>122</v>
      </c>
      <c r="B302" t="s">
        <v>122</v>
      </c>
      <c r="C302" t="s">
        <v>123</v>
      </c>
      <c r="D302" t="s">
        <v>100</v>
      </c>
      <c r="E302" t="s">
        <v>99</v>
      </c>
      <c r="F302" t="s">
        <v>12</v>
      </c>
      <c r="G302">
        <v>1</v>
      </c>
      <c r="H302">
        <v>305</v>
      </c>
      <c r="I302">
        <v>0.91044776119402904</v>
      </c>
      <c r="J302" s="25">
        <f t="shared" si="13"/>
        <v>0.91044776119402981</v>
      </c>
      <c r="K302">
        <v>3151</v>
      </c>
      <c r="L302">
        <v>12</v>
      </c>
      <c r="M302">
        <v>3.7938665823585198E-3</v>
      </c>
      <c r="N302" s="25">
        <f t="shared" si="12"/>
        <v>3.7938665823584738E-3</v>
      </c>
      <c r="O302">
        <v>0.99620613341764097</v>
      </c>
      <c r="P302" s="25">
        <f t="shared" si="14"/>
        <v>0.99620613341764153</v>
      </c>
      <c r="Q302">
        <v>30</v>
      </c>
      <c r="R302" t="s">
        <v>124</v>
      </c>
      <c r="S302" t="s">
        <v>124</v>
      </c>
      <c r="T302" t="s">
        <v>124</v>
      </c>
      <c r="U302" t="s">
        <v>124</v>
      </c>
      <c r="X302" s="19">
        <f>J302</f>
        <v>0.91044776119402981</v>
      </c>
      <c r="Y302" s="19">
        <f>N302</f>
        <v>3.7938665823584738E-3</v>
      </c>
      <c r="Z302" s="26">
        <f>(L302+Q302)/(L302+Q302+H302+K302)</f>
        <v>1.2006861063464836E-2</v>
      </c>
    </row>
    <row r="303" spans="1:26" x14ac:dyDescent="0.35">
      <c r="A303" t="s">
        <v>122</v>
      </c>
      <c r="B303" t="s">
        <v>122</v>
      </c>
      <c r="C303" t="s">
        <v>123</v>
      </c>
      <c r="D303" t="s">
        <v>100</v>
      </c>
      <c r="E303" t="s">
        <v>99</v>
      </c>
      <c r="F303" t="s">
        <v>12</v>
      </c>
      <c r="G303">
        <v>1</v>
      </c>
      <c r="H303">
        <v>305</v>
      </c>
      <c r="I303">
        <v>0.91044776119402904</v>
      </c>
      <c r="J303" s="25">
        <f t="shared" si="13"/>
        <v>0.91044776119402981</v>
      </c>
      <c r="K303">
        <v>3151</v>
      </c>
      <c r="L303">
        <v>12</v>
      </c>
      <c r="M303">
        <v>3.7938665823585198E-3</v>
      </c>
      <c r="N303" s="25">
        <f t="shared" si="12"/>
        <v>3.7938665823584738E-3</v>
      </c>
      <c r="O303">
        <v>0.99620613341764097</v>
      </c>
      <c r="P303" s="25">
        <f t="shared" si="14"/>
        <v>0.99620613341764153</v>
      </c>
      <c r="Q303">
        <v>30</v>
      </c>
      <c r="R303" t="s">
        <v>124</v>
      </c>
      <c r="S303" t="s">
        <v>124</v>
      </c>
      <c r="T303" t="s">
        <v>124</v>
      </c>
      <c r="U303" t="s">
        <v>124</v>
      </c>
      <c r="X303" s="19">
        <f>J303</f>
        <v>0.91044776119402981</v>
      </c>
      <c r="Y303" s="19">
        <f>N303</f>
        <v>3.7938665823584738E-3</v>
      </c>
      <c r="Z303" s="26">
        <f>(L303+Q303)/(L303+Q303+H303+K303)</f>
        <v>1.2006861063464836E-2</v>
      </c>
    </row>
    <row r="304" spans="1:26" x14ac:dyDescent="0.35">
      <c r="A304" t="s">
        <v>122</v>
      </c>
      <c r="B304" t="s">
        <v>122</v>
      </c>
      <c r="C304" t="s">
        <v>123</v>
      </c>
      <c r="D304" t="s">
        <v>100</v>
      </c>
      <c r="E304" t="s">
        <v>99</v>
      </c>
      <c r="F304" t="s">
        <v>12</v>
      </c>
      <c r="G304">
        <v>1</v>
      </c>
      <c r="H304">
        <v>305</v>
      </c>
      <c r="I304">
        <v>0.91044776119402904</v>
      </c>
      <c r="J304" s="25">
        <f t="shared" si="13"/>
        <v>0.91044776119402981</v>
      </c>
      <c r="K304">
        <v>3151</v>
      </c>
      <c r="L304">
        <v>12</v>
      </c>
      <c r="M304">
        <v>3.7938665823585198E-3</v>
      </c>
      <c r="N304" s="25">
        <f t="shared" si="12"/>
        <v>3.7938665823584738E-3</v>
      </c>
      <c r="O304">
        <v>0.99620613341764097</v>
      </c>
      <c r="P304" s="25">
        <f t="shared" si="14"/>
        <v>0.99620613341764153</v>
      </c>
      <c r="Q304">
        <v>30</v>
      </c>
      <c r="R304" t="s">
        <v>124</v>
      </c>
      <c r="S304" t="s">
        <v>124</v>
      </c>
      <c r="T304" t="s">
        <v>124</v>
      </c>
      <c r="U304" t="s">
        <v>124</v>
      </c>
      <c r="X304" s="19">
        <f>J304</f>
        <v>0.91044776119402981</v>
      </c>
      <c r="Y304" s="19">
        <f>N304</f>
        <v>3.7938665823584738E-3</v>
      </c>
      <c r="Z304" s="26">
        <f>(L304+Q304)/(L304+Q304+H304+K304)</f>
        <v>1.2006861063464836E-2</v>
      </c>
    </row>
    <row r="305" spans="1:26" x14ac:dyDescent="0.35">
      <c r="A305" t="s">
        <v>122</v>
      </c>
      <c r="B305" t="s">
        <v>122</v>
      </c>
      <c r="C305" t="s">
        <v>123</v>
      </c>
      <c r="D305" t="s">
        <v>100</v>
      </c>
      <c r="E305" t="s">
        <v>99</v>
      </c>
      <c r="F305" t="s">
        <v>12</v>
      </c>
      <c r="G305">
        <v>1</v>
      </c>
      <c r="H305">
        <v>305</v>
      </c>
      <c r="I305">
        <v>0.91044776119402904</v>
      </c>
      <c r="J305" s="25">
        <f t="shared" si="13"/>
        <v>0.91044776119402981</v>
      </c>
      <c r="K305">
        <v>3151</v>
      </c>
      <c r="L305">
        <v>12</v>
      </c>
      <c r="M305">
        <v>3.7938665823585198E-3</v>
      </c>
      <c r="N305" s="25">
        <f t="shared" si="12"/>
        <v>3.7938665823584738E-3</v>
      </c>
      <c r="O305">
        <v>0.99620613341764097</v>
      </c>
      <c r="P305" s="25">
        <f t="shared" si="14"/>
        <v>0.99620613341764153</v>
      </c>
      <c r="Q305">
        <v>30</v>
      </c>
      <c r="R305" t="s">
        <v>124</v>
      </c>
      <c r="S305" t="s">
        <v>124</v>
      </c>
      <c r="T305" t="s">
        <v>124</v>
      </c>
      <c r="U305" t="s">
        <v>124</v>
      </c>
      <c r="X305" s="19">
        <f>J305</f>
        <v>0.91044776119402981</v>
      </c>
      <c r="Y305" s="19">
        <f>N305</f>
        <v>3.7938665823584738E-3</v>
      </c>
      <c r="Z305" s="26">
        <f>(L305+Q305)/(L305+Q305+H305+K305)</f>
        <v>1.2006861063464836E-2</v>
      </c>
    </row>
    <row r="306" spans="1:26" x14ac:dyDescent="0.35">
      <c r="A306" t="s">
        <v>122</v>
      </c>
      <c r="B306" t="s">
        <v>122</v>
      </c>
      <c r="C306" t="s">
        <v>123</v>
      </c>
      <c r="D306" t="s">
        <v>100</v>
      </c>
      <c r="E306" t="s">
        <v>99</v>
      </c>
      <c r="F306" t="s">
        <v>12</v>
      </c>
      <c r="G306">
        <v>1</v>
      </c>
      <c r="H306">
        <v>305</v>
      </c>
      <c r="I306">
        <v>0.91044776119402904</v>
      </c>
      <c r="J306" s="25">
        <f t="shared" si="13"/>
        <v>0.91044776119402981</v>
      </c>
      <c r="K306">
        <v>3151</v>
      </c>
      <c r="L306">
        <v>12</v>
      </c>
      <c r="M306">
        <v>3.7938665823585198E-3</v>
      </c>
      <c r="N306" s="25">
        <f t="shared" si="12"/>
        <v>3.7938665823584738E-3</v>
      </c>
      <c r="O306">
        <v>0.99620613341764097</v>
      </c>
      <c r="P306" s="25">
        <f t="shared" si="14"/>
        <v>0.99620613341764153</v>
      </c>
      <c r="Q306">
        <v>30</v>
      </c>
      <c r="R306" t="s">
        <v>124</v>
      </c>
      <c r="S306" t="s">
        <v>124</v>
      </c>
      <c r="T306" t="s">
        <v>124</v>
      </c>
      <c r="U306" t="s">
        <v>124</v>
      </c>
      <c r="X306" s="19">
        <f>J306</f>
        <v>0.91044776119402981</v>
      </c>
      <c r="Y306" s="19">
        <f>N306</f>
        <v>3.7938665823584738E-3</v>
      </c>
      <c r="Z306" s="26">
        <f>(L306+Q306)/(L306+Q306+H306+K306)</f>
        <v>1.2006861063464836E-2</v>
      </c>
    </row>
    <row r="307" spans="1:26" x14ac:dyDescent="0.35">
      <c r="A307" t="s">
        <v>122</v>
      </c>
      <c r="B307" t="s">
        <v>122</v>
      </c>
      <c r="C307" t="s">
        <v>123</v>
      </c>
      <c r="D307" t="s">
        <v>100</v>
      </c>
      <c r="E307" t="s">
        <v>99</v>
      </c>
      <c r="F307" t="s">
        <v>12</v>
      </c>
      <c r="G307">
        <v>1</v>
      </c>
      <c r="H307">
        <v>305</v>
      </c>
      <c r="I307">
        <v>0.91044776119402904</v>
      </c>
      <c r="J307" s="25">
        <f t="shared" si="13"/>
        <v>0.91044776119402981</v>
      </c>
      <c r="K307">
        <v>3151</v>
      </c>
      <c r="L307">
        <v>12</v>
      </c>
      <c r="M307">
        <v>3.7938665823585198E-3</v>
      </c>
      <c r="N307" s="25">
        <f t="shared" si="12"/>
        <v>3.7938665823584738E-3</v>
      </c>
      <c r="O307">
        <v>0.99620613341764097</v>
      </c>
      <c r="P307" s="25">
        <f t="shared" si="14"/>
        <v>0.99620613341764153</v>
      </c>
      <c r="Q307">
        <v>30</v>
      </c>
      <c r="R307" t="s">
        <v>124</v>
      </c>
      <c r="S307" t="s">
        <v>124</v>
      </c>
      <c r="T307" t="s">
        <v>124</v>
      </c>
      <c r="U307" t="s">
        <v>124</v>
      </c>
      <c r="X307" s="19">
        <f>J307</f>
        <v>0.91044776119402981</v>
      </c>
      <c r="Y307" s="19">
        <f>N307</f>
        <v>3.7938665823584738E-3</v>
      </c>
      <c r="Z307" s="26">
        <f>(L307+Q307)/(L307+Q307+H307+K307)</f>
        <v>1.2006861063464836E-2</v>
      </c>
    </row>
    <row r="308" spans="1:26" x14ac:dyDescent="0.35">
      <c r="A308" t="s">
        <v>122</v>
      </c>
      <c r="B308" t="s">
        <v>122</v>
      </c>
      <c r="C308" t="s">
        <v>123</v>
      </c>
      <c r="D308" t="s">
        <v>100</v>
      </c>
      <c r="E308" t="s">
        <v>99</v>
      </c>
      <c r="F308" t="s">
        <v>12</v>
      </c>
      <c r="G308">
        <v>1</v>
      </c>
      <c r="H308">
        <v>305</v>
      </c>
      <c r="I308">
        <v>0.91044776119402904</v>
      </c>
      <c r="J308" s="25">
        <f t="shared" si="13"/>
        <v>0.91044776119402981</v>
      </c>
      <c r="K308">
        <v>3151</v>
      </c>
      <c r="L308">
        <v>12</v>
      </c>
      <c r="M308">
        <v>3.7938665823585198E-3</v>
      </c>
      <c r="N308" s="25">
        <f t="shared" si="12"/>
        <v>3.7938665823584738E-3</v>
      </c>
      <c r="O308">
        <v>0.99620613341764097</v>
      </c>
      <c r="P308" s="25">
        <f t="shared" si="14"/>
        <v>0.99620613341764153</v>
      </c>
      <c r="Q308">
        <v>30</v>
      </c>
      <c r="R308" t="s">
        <v>124</v>
      </c>
      <c r="S308" t="s">
        <v>124</v>
      </c>
      <c r="T308" t="s">
        <v>124</v>
      </c>
      <c r="U308" t="s">
        <v>124</v>
      </c>
      <c r="X308" s="19">
        <f>J308</f>
        <v>0.91044776119402981</v>
      </c>
      <c r="Y308" s="19">
        <f>N308</f>
        <v>3.7938665823584738E-3</v>
      </c>
      <c r="Z308" s="26">
        <f>(L308+Q308)/(L308+Q308+H308+K308)</f>
        <v>1.2006861063464836E-2</v>
      </c>
    </row>
    <row r="309" spans="1:26" x14ac:dyDescent="0.35">
      <c r="A309" t="s">
        <v>122</v>
      </c>
      <c r="B309" t="s">
        <v>122</v>
      </c>
      <c r="C309" t="s">
        <v>123</v>
      </c>
      <c r="D309" t="s">
        <v>100</v>
      </c>
      <c r="E309" t="s">
        <v>99</v>
      </c>
      <c r="F309" t="s">
        <v>12</v>
      </c>
      <c r="G309">
        <v>1</v>
      </c>
      <c r="H309">
        <v>305</v>
      </c>
      <c r="I309">
        <v>0.91044776119402904</v>
      </c>
      <c r="J309" s="25">
        <f t="shared" si="13"/>
        <v>0.91044776119402981</v>
      </c>
      <c r="K309">
        <v>3151</v>
      </c>
      <c r="L309">
        <v>12</v>
      </c>
      <c r="M309">
        <v>3.7938665823585198E-3</v>
      </c>
      <c r="N309" s="25">
        <f t="shared" si="12"/>
        <v>3.7938665823584738E-3</v>
      </c>
      <c r="O309">
        <v>0.99620613341764097</v>
      </c>
      <c r="P309" s="25">
        <f t="shared" si="14"/>
        <v>0.99620613341764153</v>
      </c>
      <c r="Q309">
        <v>30</v>
      </c>
      <c r="R309" t="s">
        <v>124</v>
      </c>
      <c r="S309" t="s">
        <v>124</v>
      </c>
      <c r="T309" t="s">
        <v>124</v>
      </c>
      <c r="U309" t="s">
        <v>124</v>
      </c>
      <c r="X309" s="19">
        <f>J309</f>
        <v>0.91044776119402981</v>
      </c>
      <c r="Y309" s="19">
        <f>N309</f>
        <v>3.7938665823584738E-3</v>
      </c>
      <c r="Z309" s="26">
        <f>(L309+Q309)/(L309+Q309+H309+K309)</f>
        <v>1.2006861063464836E-2</v>
      </c>
    </row>
    <row r="310" spans="1:26" x14ac:dyDescent="0.35">
      <c r="A310" t="s">
        <v>122</v>
      </c>
      <c r="B310" t="s">
        <v>122</v>
      </c>
      <c r="C310" t="s">
        <v>123</v>
      </c>
      <c r="D310" t="s">
        <v>100</v>
      </c>
      <c r="E310" t="s">
        <v>99</v>
      </c>
      <c r="F310" t="s">
        <v>12</v>
      </c>
      <c r="G310">
        <v>1</v>
      </c>
      <c r="H310">
        <v>305</v>
      </c>
      <c r="I310">
        <v>0.91044776119402904</v>
      </c>
      <c r="J310" s="25">
        <f t="shared" si="13"/>
        <v>0.91044776119402981</v>
      </c>
      <c r="K310">
        <v>3151</v>
      </c>
      <c r="L310">
        <v>12</v>
      </c>
      <c r="M310">
        <v>3.7938665823585198E-3</v>
      </c>
      <c r="N310" s="25">
        <f t="shared" si="12"/>
        <v>3.7938665823584738E-3</v>
      </c>
      <c r="O310">
        <v>0.99620613341764097</v>
      </c>
      <c r="P310" s="25">
        <f t="shared" si="14"/>
        <v>0.99620613341764153</v>
      </c>
      <c r="Q310">
        <v>30</v>
      </c>
      <c r="R310" t="s">
        <v>124</v>
      </c>
      <c r="S310" t="s">
        <v>124</v>
      </c>
      <c r="T310" t="s">
        <v>124</v>
      </c>
      <c r="U310" t="s">
        <v>124</v>
      </c>
      <c r="X310" s="19">
        <f>J310</f>
        <v>0.91044776119402981</v>
      </c>
      <c r="Y310" s="19">
        <f>N310</f>
        <v>3.7938665823584738E-3</v>
      </c>
      <c r="Z310" s="26">
        <f>(L310+Q310)/(L310+Q310+H310+K310)</f>
        <v>1.2006861063464836E-2</v>
      </c>
    </row>
    <row r="311" spans="1:26" x14ac:dyDescent="0.35">
      <c r="A311" t="s">
        <v>122</v>
      </c>
      <c r="B311" t="s">
        <v>122</v>
      </c>
      <c r="C311" t="s">
        <v>123</v>
      </c>
      <c r="D311" t="s">
        <v>100</v>
      </c>
      <c r="E311" t="s">
        <v>99</v>
      </c>
      <c r="F311" t="s">
        <v>12</v>
      </c>
      <c r="G311">
        <v>1</v>
      </c>
      <c r="H311">
        <v>305</v>
      </c>
      <c r="I311">
        <v>0.91044776119402904</v>
      </c>
      <c r="J311" s="25">
        <f t="shared" si="13"/>
        <v>0.91044776119402981</v>
      </c>
      <c r="K311">
        <v>3151</v>
      </c>
      <c r="L311">
        <v>12</v>
      </c>
      <c r="M311">
        <v>3.7938665823585198E-3</v>
      </c>
      <c r="N311" s="25">
        <f t="shared" si="12"/>
        <v>3.7938665823584738E-3</v>
      </c>
      <c r="O311">
        <v>0.99620613341764097</v>
      </c>
      <c r="P311" s="25">
        <f t="shared" si="14"/>
        <v>0.99620613341764153</v>
      </c>
      <c r="Q311">
        <v>30</v>
      </c>
      <c r="R311" t="s">
        <v>124</v>
      </c>
      <c r="S311" t="s">
        <v>124</v>
      </c>
      <c r="T311" t="s">
        <v>124</v>
      </c>
      <c r="U311" t="s">
        <v>124</v>
      </c>
      <c r="X311" s="19">
        <f>J311</f>
        <v>0.91044776119402981</v>
      </c>
      <c r="Y311" s="19">
        <f>N311</f>
        <v>3.7938665823584738E-3</v>
      </c>
      <c r="Z311" s="26">
        <f>(L311+Q311)/(L311+Q311+H311+K311)</f>
        <v>1.2006861063464836E-2</v>
      </c>
    </row>
    <row r="312" spans="1:26" x14ac:dyDescent="0.35">
      <c r="A312" t="s">
        <v>122</v>
      </c>
      <c r="B312" t="s">
        <v>122</v>
      </c>
      <c r="C312" t="s">
        <v>123</v>
      </c>
      <c r="D312" t="s">
        <v>100</v>
      </c>
      <c r="E312" t="s">
        <v>99</v>
      </c>
      <c r="F312" t="s">
        <v>12</v>
      </c>
      <c r="G312">
        <v>1</v>
      </c>
      <c r="H312">
        <v>305</v>
      </c>
      <c r="I312">
        <v>0.91044776119402904</v>
      </c>
      <c r="J312" s="25">
        <f t="shared" si="13"/>
        <v>0.91044776119402981</v>
      </c>
      <c r="K312">
        <v>3151</v>
      </c>
      <c r="L312">
        <v>12</v>
      </c>
      <c r="M312">
        <v>3.7938665823585198E-3</v>
      </c>
      <c r="N312" s="25">
        <f t="shared" si="12"/>
        <v>3.7938665823584738E-3</v>
      </c>
      <c r="O312">
        <v>0.99620613341764097</v>
      </c>
      <c r="P312" s="25">
        <f t="shared" si="14"/>
        <v>0.99620613341764153</v>
      </c>
      <c r="Q312">
        <v>30</v>
      </c>
      <c r="R312" t="s">
        <v>124</v>
      </c>
      <c r="S312" t="s">
        <v>124</v>
      </c>
      <c r="T312" t="s">
        <v>124</v>
      </c>
      <c r="U312" t="s">
        <v>124</v>
      </c>
      <c r="X312" s="19">
        <f>J312</f>
        <v>0.91044776119402981</v>
      </c>
      <c r="Y312" s="19">
        <f>N312</f>
        <v>3.7938665823584738E-3</v>
      </c>
      <c r="Z312" s="26">
        <f>(L312+Q312)/(L312+Q312+H312+K312)</f>
        <v>1.2006861063464836E-2</v>
      </c>
    </row>
    <row r="313" spans="1:26" x14ac:dyDescent="0.35">
      <c r="A313" t="s">
        <v>122</v>
      </c>
      <c r="B313" t="s">
        <v>122</v>
      </c>
      <c r="C313" t="s">
        <v>123</v>
      </c>
      <c r="D313" t="s">
        <v>100</v>
      </c>
      <c r="E313" t="s">
        <v>99</v>
      </c>
      <c r="F313" t="s">
        <v>12</v>
      </c>
      <c r="G313">
        <v>1</v>
      </c>
      <c r="H313">
        <v>305</v>
      </c>
      <c r="I313">
        <v>0.91044776119402904</v>
      </c>
      <c r="J313" s="25">
        <f t="shared" si="13"/>
        <v>0.91044776119402981</v>
      </c>
      <c r="K313">
        <v>3151</v>
      </c>
      <c r="L313">
        <v>12</v>
      </c>
      <c r="M313">
        <v>3.7938665823585198E-3</v>
      </c>
      <c r="N313" s="25">
        <f t="shared" si="12"/>
        <v>3.7938665823584738E-3</v>
      </c>
      <c r="O313">
        <v>0.99620613341764097</v>
      </c>
      <c r="P313" s="25">
        <f t="shared" si="14"/>
        <v>0.99620613341764153</v>
      </c>
      <c r="Q313">
        <v>30</v>
      </c>
      <c r="R313" t="s">
        <v>124</v>
      </c>
      <c r="S313" t="s">
        <v>124</v>
      </c>
      <c r="T313" t="s">
        <v>124</v>
      </c>
      <c r="U313" t="s">
        <v>124</v>
      </c>
      <c r="X313" s="19">
        <f>J313</f>
        <v>0.91044776119402981</v>
      </c>
      <c r="Y313" s="19">
        <f>N313</f>
        <v>3.7938665823584738E-3</v>
      </c>
      <c r="Z313" s="26">
        <f>(L313+Q313)/(L313+Q313+H313+K313)</f>
        <v>1.2006861063464836E-2</v>
      </c>
    </row>
    <row r="314" spans="1:26" x14ac:dyDescent="0.35">
      <c r="A314" t="s">
        <v>122</v>
      </c>
      <c r="B314" t="s">
        <v>122</v>
      </c>
      <c r="C314" t="s">
        <v>123</v>
      </c>
      <c r="D314" t="s">
        <v>100</v>
      </c>
      <c r="E314" t="s">
        <v>99</v>
      </c>
      <c r="F314" t="s">
        <v>12</v>
      </c>
      <c r="G314">
        <v>1</v>
      </c>
      <c r="H314">
        <v>305</v>
      </c>
      <c r="I314">
        <v>0.91044776119402904</v>
      </c>
      <c r="J314" s="25">
        <f t="shared" si="13"/>
        <v>0.91044776119402981</v>
      </c>
      <c r="K314">
        <v>3151</v>
      </c>
      <c r="L314">
        <v>12</v>
      </c>
      <c r="M314">
        <v>3.7938665823585198E-3</v>
      </c>
      <c r="N314" s="25">
        <f t="shared" si="12"/>
        <v>3.7938665823584738E-3</v>
      </c>
      <c r="O314">
        <v>0.99620613341764097</v>
      </c>
      <c r="P314" s="25">
        <f t="shared" si="14"/>
        <v>0.99620613341764153</v>
      </c>
      <c r="Q314">
        <v>30</v>
      </c>
      <c r="R314" t="s">
        <v>124</v>
      </c>
      <c r="S314" t="s">
        <v>124</v>
      </c>
      <c r="T314" t="s">
        <v>124</v>
      </c>
      <c r="U314" t="s">
        <v>124</v>
      </c>
      <c r="X314" s="19">
        <f>J314</f>
        <v>0.91044776119402981</v>
      </c>
      <c r="Y314" s="19">
        <f>N314</f>
        <v>3.7938665823584738E-3</v>
      </c>
      <c r="Z314" s="26">
        <f>(L314+Q314)/(L314+Q314+H314+K314)</f>
        <v>1.2006861063464836E-2</v>
      </c>
    </row>
    <row r="315" spans="1:26" x14ac:dyDescent="0.35">
      <c r="A315" t="s">
        <v>122</v>
      </c>
      <c r="B315" t="s">
        <v>122</v>
      </c>
      <c r="C315" t="s">
        <v>123</v>
      </c>
      <c r="D315" t="s">
        <v>100</v>
      </c>
      <c r="E315" t="s">
        <v>99</v>
      </c>
      <c r="F315" t="s">
        <v>12</v>
      </c>
      <c r="G315">
        <v>1</v>
      </c>
      <c r="H315">
        <v>305</v>
      </c>
      <c r="I315">
        <v>0.91044776119402904</v>
      </c>
      <c r="J315" s="25">
        <f t="shared" si="13"/>
        <v>0.91044776119402981</v>
      </c>
      <c r="K315">
        <v>3151</v>
      </c>
      <c r="L315">
        <v>12</v>
      </c>
      <c r="M315">
        <v>3.7938665823585198E-3</v>
      </c>
      <c r="N315" s="25">
        <f t="shared" si="12"/>
        <v>3.7938665823584738E-3</v>
      </c>
      <c r="O315">
        <v>0.99620613341764097</v>
      </c>
      <c r="P315" s="25">
        <f t="shared" si="14"/>
        <v>0.99620613341764153</v>
      </c>
      <c r="Q315">
        <v>30</v>
      </c>
      <c r="R315" t="s">
        <v>124</v>
      </c>
      <c r="S315" t="s">
        <v>124</v>
      </c>
      <c r="T315" t="s">
        <v>124</v>
      </c>
      <c r="U315" t="s">
        <v>124</v>
      </c>
      <c r="X315" s="19">
        <f>J315</f>
        <v>0.91044776119402981</v>
      </c>
      <c r="Y315" s="19">
        <f>N315</f>
        <v>3.7938665823584738E-3</v>
      </c>
      <c r="Z315" s="26">
        <f>(L315+Q315)/(L315+Q315+H315+K315)</f>
        <v>1.2006861063464836E-2</v>
      </c>
    </row>
    <row r="316" spans="1:26" x14ac:dyDescent="0.35">
      <c r="A316" t="s">
        <v>122</v>
      </c>
      <c r="B316" t="s">
        <v>122</v>
      </c>
      <c r="C316" t="s">
        <v>123</v>
      </c>
      <c r="D316" t="s">
        <v>100</v>
      </c>
      <c r="E316" t="s">
        <v>99</v>
      </c>
      <c r="F316" t="s">
        <v>12</v>
      </c>
      <c r="G316">
        <v>1</v>
      </c>
      <c r="H316">
        <v>305</v>
      </c>
      <c r="I316">
        <v>0.91044776119402904</v>
      </c>
      <c r="J316" s="25">
        <f t="shared" si="13"/>
        <v>0.91044776119402981</v>
      </c>
      <c r="K316">
        <v>3151</v>
      </c>
      <c r="L316">
        <v>12</v>
      </c>
      <c r="M316">
        <v>3.7938665823585198E-3</v>
      </c>
      <c r="N316" s="25">
        <f t="shared" si="12"/>
        <v>3.7938665823584738E-3</v>
      </c>
      <c r="O316">
        <v>0.99620613341764097</v>
      </c>
      <c r="P316" s="25">
        <f t="shared" si="14"/>
        <v>0.99620613341764153</v>
      </c>
      <c r="Q316">
        <v>30</v>
      </c>
      <c r="R316" t="s">
        <v>124</v>
      </c>
      <c r="S316" t="s">
        <v>124</v>
      </c>
      <c r="T316" t="s">
        <v>124</v>
      </c>
      <c r="U316" t="s">
        <v>124</v>
      </c>
      <c r="X316" s="19">
        <f>J316</f>
        <v>0.91044776119402981</v>
      </c>
      <c r="Y316" s="19">
        <f>N316</f>
        <v>3.7938665823584738E-3</v>
      </c>
      <c r="Z316" s="26">
        <f>(L316+Q316)/(L316+Q316+H316+K316)</f>
        <v>1.2006861063464836E-2</v>
      </c>
    </row>
    <row r="317" spans="1:26" x14ac:dyDescent="0.35">
      <c r="A317" t="s">
        <v>122</v>
      </c>
      <c r="B317" t="s">
        <v>122</v>
      </c>
      <c r="C317" t="s">
        <v>123</v>
      </c>
      <c r="D317" t="s">
        <v>100</v>
      </c>
      <c r="E317" t="s">
        <v>99</v>
      </c>
      <c r="F317" t="s">
        <v>12</v>
      </c>
      <c r="G317">
        <v>1</v>
      </c>
      <c r="H317">
        <v>305</v>
      </c>
      <c r="I317">
        <v>0.91044776119402904</v>
      </c>
      <c r="J317" s="25">
        <f t="shared" si="13"/>
        <v>0.91044776119402981</v>
      </c>
      <c r="K317">
        <v>3151</v>
      </c>
      <c r="L317">
        <v>12</v>
      </c>
      <c r="M317">
        <v>3.7938665823585198E-3</v>
      </c>
      <c r="N317" s="25">
        <f t="shared" si="12"/>
        <v>3.7938665823584738E-3</v>
      </c>
      <c r="O317">
        <v>0.99620613341764097</v>
      </c>
      <c r="P317" s="25">
        <f t="shared" si="14"/>
        <v>0.99620613341764153</v>
      </c>
      <c r="Q317">
        <v>30</v>
      </c>
      <c r="R317" t="s">
        <v>124</v>
      </c>
      <c r="S317" t="s">
        <v>124</v>
      </c>
      <c r="T317" t="s">
        <v>124</v>
      </c>
      <c r="U317" t="s">
        <v>124</v>
      </c>
      <c r="X317" s="19">
        <f>J317</f>
        <v>0.91044776119402981</v>
      </c>
      <c r="Y317" s="19">
        <f>N317</f>
        <v>3.7938665823584738E-3</v>
      </c>
      <c r="Z317" s="26">
        <f>(L317+Q317)/(L317+Q317+H317+K317)</f>
        <v>1.2006861063464836E-2</v>
      </c>
    </row>
    <row r="318" spans="1:26" x14ac:dyDescent="0.35">
      <c r="A318" t="s">
        <v>122</v>
      </c>
      <c r="B318" t="s">
        <v>122</v>
      </c>
      <c r="C318" t="s">
        <v>123</v>
      </c>
      <c r="D318" t="s">
        <v>100</v>
      </c>
      <c r="E318" t="s">
        <v>99</v>
      </c>
      <c r="F318" t="s">
        <v>12</v>
      </c>
      <c r="G318">
        <v>1</v>
      </c>
      <c r="H318">
        <v>305</v>
      </c>
      <c r="I318">
        <v>0.91044776119402904</v>
      </c>
      <c r="J318" s="25">
        <f t="shared" si="13"/>
        <v>0.91044776119402981</v>
      </c>
      <c r="K318">
        <v>3151</v>
      </c>
      <c r="L318">
        <v>12</v>
      </c>
      <c r="M318">
        <v>3.7938665823585198E-3</v>
      </c>
      <c r="N318" s="25">
        <f t="shared" si="12"/>
        <v>3.7938665823584738E-3</v>
      </c>
      <c r="O318">
        <v>0.99620613341764097</v>
      </c>
      <c r="P318" s="25">
        <f t="shared" si="14"/>
        <v>0.99620613341764153</v>
      </c>
      <c r="Q318">
        <v>30</v>
      </c>
      <c r="R318" t="s">
        <v>124</v>
      </c>
      <c r="S318" t="s">
        <v>124</v>
      </c>
      <c r="T318" t="s">
        <v>124</v>
      </c>
      <c r="U318" t="s">
        <v>124</v>
      </c>
      <c r="X318" s="19">
        <f>J318</f>
        <v>0.91044776119402981</v>
      </c>
      <c r="Y318" s="19">
        <f>N318</f>
        <v>3.7938665823584738E-3</v>
      </c>
      <c r="Z318" s="26">
        <f>(L318+Q318)/(L318+Q318+H318+K318)</f>
        <v>1.2006861063464836E-2</v>
      </c>
    </row>
    <row r="319" spans="1:26" x14ac:dyDescent="0.35">
      <c r="A319" t="s">
        <v>122</v>
      </c>
      <c r="B319" t="s">
        <v>122</v>
      </c>
      <c r="C319" t="s">
        <v>123</v>
      </c>
      <c r="D319" t="s">
        <v>100</v>
      </c>
      <c r="E319" t="s">
        <v>99</v>
      </c>
      <c r="F319" t="s">
        <v>12</v>
      </c>
      <c r="G319">
        <v>1</v>
      </c>
      <c r="H319">
        <v>305</v>
      </c>
      <c r="I319">
        <v>0.91044776119402904</v>
      </c>
      <c r="J319" s="25">
        <f t="shared" si="13"/>
        <v>0.91044776119402981</v>
      </c>
      <c r="K319">
        <v>3151</v>
      </c>
      <c r="L319">
        <v>12</v>
      </c>
      <c r="M319">
        <v>3.7938665823585198E-3</v>
      </c>
      <c r="N319" s="25">
        <f t="shared" si="12"/>
        <v>3.7938665823584738E-3</v>
      </c>
      <c r="O319">
        <v>0.99620613341764097</v>
      </c>
      <c r="P319" s="25">
        <f t="shared" si="14"/>
        <v>0.99620613341764153</v>
      </c>
      <c r="Q319">
        <v>30</v>
      </c>
      <c r="R319" t="s">
        <v>124</v>
      </c>
      <c r="S319" t="s">
        <v>124</v>
      </c>
      <c r="T319" t="s">
        <v>124</v>
      </c>
      <c r="U319" t="s">
        <v>124</v>
      </c>
      <c r="X319" s="19">
        <f>J319</f>
        <v>0.91044776119402981</v>
      </c>
      <c r="Y319" s="19">
        <f>N319</f>
        <v>3.7938665823584738E-3</v>
      </c>
      <c r="Z319" s="26">
        <f>(L319+Q319)/(L319+Q319+H319+K319)</f>
        <v>1.2006861063464836E-2</v>
      </c>
    </row>
    <row r="320" spans="1:26" x14ac:dyDescent="0.35">
      <c r="A320" t="s">
        <v>122</v>
      </c>
      <c r="B320" t="s">
        <v>122</v>
      </c>
      <c r="C320" t="s">
        <v>123</v>
      </c>
      <c r="D320" t="s">
        <v>100</v>
      </c>
      <c r="E320" t="s">
        <v>99</v>
      </c>
      <c r="F320" t="s">
        <v>12</v>
      </c>
      <c r="G320">
        <v>1</v>
      </c>
      <c r="H320">
        <v>305</v>
      </c>
      <c r="I320">
        <v>0.91044776119402904</v>
      </c>
      <c r="J320" s="25">
        <f t="shared" si="13"/>
        <v>0.91044776119402981</v>
      </c>
      <c r="K320">
        <v>3151</v>
      </c>
      <c r="L320">
        <v>12</v>
      </c>
      <c r="M320">
        <v>3.7938665823585198E-3</v>
      </c>
      <c r="N320" s="25">
        <f t="shared" si="12"/>
        <v>3.7938665823584738E-3</v>
      </c>
      <c r="O320">
        <v>0.99620613341764097</v>
      </c>
      <c r="P320" s="25">
        <f t="shared" si="14"/>
        <v>0.99620613341764153</v>
      </c>
      <c r="Q320">
        <v>30</v>
      </c>
      <c r="R320" t="s">
        <v>124</v>
      </c>
      <c r="S320" t="s">
        <v>124</v>
      </c>
      <c r="T320" t="s">
        <v>124</v>
      </c>
      <c r="U320" t="s">
        <v>124</v>
      </c>
      <c r="X320" s="19">
        <f>J320</f>
        <v>0.91044776119402981</v>
      </c>
      <c r="Y320" s="19">
        <f>N320</f>
        <v>3.7938665823584738E-3</v>
      </c>
      <c r="Z320" s="26">
        <f>(L320+Q320)/(L320+Q320+H320+K320)</f>
        <v>1.2006861063464836E-2</v>
      </c>
    </row>
    <row r="321" spans="1:26" x14ac:dyDescent="0.35">
      <c r="A321" t="s">
        <v>122</v>
      </c>
      <c r="B321" t="s">
        <v>122</v>
      </c>
      <c r="C321" t="s">
        <v>123</v>
      </c>
      <c r="D321" t="s">
        <v>100</v>
      </c>
      <c r="E321" t="s">
        <v>99</v>
      </c>
      <c r="F321" t="s">
        <v>12</v>
      </c>
      <c r="G321">
        <v>1</v>
      </c>
      <c r="H321">
        <v>305</v>
      </c>
      <c r="I321">
        <v>0.91044776119402904</v>
      </c>
      <c r="J321" s="25">
        <f t="shared" si="13"/>
        <v>0.91044776119402981</v>
      </c>
      <c r="K321">
        <v>3151</v>
      </c>
      <c r="L321">
        <v>12</v>
      </c>
      <c r="M321">
        <v>3.7938665823585198E-3</v>
      </c>
      <c r="N321" s="25">
        <f t="shared" si="12"/>
        <v>3.7938665823584738E-3</v>
      </c>
      <c r="O321">
        <v>0.99620613341764097</v>
      </c>
      <c r="P321" s="25">
        <f t="shared" si="14"/>
        <v>0.99620613341764153</v>
      </c>
      <c r="Q321">
        <v>30</v>
      </c>
      <c r="R321" t="s">
        <v>124</v>
      </c>
      <c r="S321" t="s">
        <v>124</v>
      </c>
      <c r="T321" t="s">
        <v>124</v>
      </c>
      <c r="U321" t="s">
        <v>124</v>
      </c>
      <c r="X321" s="19">
        <f>J321</f>
        <v>0.91044776119402981</v>
      </c>
      <c r="Y321" s="19">
        <f>N321</f>
        <v>3.7938665823584738E-3</v>
      </c>
      <c r="Z321" s="26">
        <f>(L321+Q321)/(L321+Q321+H321+K321)</f>
        <v>1.2006861063464836E-2</v>
      </c>
    </row>
    <row r="322" spans="1:26" x14ac:dyDescent="0.35">
      <c r="A322" t="s">
        <v>122</v>
      </c>
      <c r="B322" t="s">
        <v>122</v>
      </c>
      <c r="C322" t="s">
        <v>123</v>
      </c>
      <c r="D322" t="s">
        <v>100</v>
      </c>
      <c r="E322" t="s">
        <v>99</v>
      </c>
      <c r="F322" t="s">
        <v>12</v>
      </c>
      <c r="G322">
        <v>1</v>
      </c>
      <c r="H322">
        <v>305</v>
      </c>
      <c r="I322">
        <v>0.91044776119402904</v>
      </c>
      <c r="J322" s="25">
        <f t="shared" si="13"/>
        <v>0.91044776119402981</v>
      </c>
      <c r="K322">
        <v>3151</v>
      </c>
      <c r="L322">
        <v>12</v>
      </c>
      <c r="M322">
        <v>3.7938665823585198E-3</v>
      </c>
      <c r="N322" s="25">
        <f t="shared" ref="N322:N385" si="15">1-P322</f>
        <v>3.7938665823584738E-3</v>
      </c>
      <c r="O322">
        <v>0.99620613341764097</v>
      </c>
      <c r="P322" s="25">
        <f t="shared" si="14"/>
        <v>0.99620613341764153</v>
      </c>
      <c r="Q322">
        <v>30</v>
      </c>
      <c r="R322" t="s">
        <v>124</v>
      </c>
      <c r="S322" t="s">
        <v>124</v>
      </c>
      <c r="T322" t="s">
        <v>124</v>
      </c>
      <c r="U322" t="s">
        <v>124</v>
      </c>
      <c r="X322" s="19">
        <f>J322</f>
        <v>0.91044776119402981</v>
      </c>
      <c r="Y322" s="19">
        <f>N322</f>
        <v>3.7938665823584738E-3</v>
      </c>
      <c r="Z322" s="26">
        <f>(L322+Q322)/(L322+Q322+H322+K322)</f>
        <v>1.2006861063464836E-2</v>
      </c>
    </row>
    <row r="323" spans="1:26" x14ac:dyDescent="0.35">
      <c r="A323" t="s">
        <v>122</v>
      </c>
      <c r="B323" t="s">
        <v>122</v>
      </c>
      <c r="C323" t="s">
        <v>123</v>
      </c>
      <c r="D323" t="s">
        <v>100</v>
      </c>
      <c r="E323" t="s">
        <v>99</v>
      </c>
      <c r="F323" t="s">
        <v>12</v>
      </c>
      <c r="G323">
        <v>1</v>
      </c>
      <c r="H323">
        <v>305</v>
      </c>
      <c r="I323">
        <v>0.91044776119402904</v>
      </c>
      <c r="J323" s="25">
        <f t="shared" ref="J323:J386" si="16">H323/(H323+Q323)</f>
        <v>0.91044776119402981</v>
      </c>
      <c r="K323">
        <v>3151</v>
      </c>
      <c r="L323">
        <v>12</v>
      </c>
      <c r="M323">
        <v>3.7938665823585198E-3</v>
      </c>
      <c r="N323" s="25">
        <f t="shared" si="15"/>
        <v>3.7938665823584738E-3</v>
      </c>
      <c r="O323">
        <v>0.99620613341764097</v>
      </c>
      <c r="P323" s="25">
        <f t="shared" ref="P323:P386" si="17">K323/(K323+L323)</f>
        <v>0.99620613341764153</v>
      </c>
      <c r="Q323">
        <v>30</v>
      </c>
      <c r="R323" t="s">
        <v>124</v>
      </c>
      <c r="S323" t="s">
        <v>124</v>
      </c>
      <c r="T323" t="s">
        <v>124</v>
      </c>
      <c r="U323" t="s">
        <v>124</v>
      </c>
      <c r="X323" s="19">
        <f>J323</f>
        <v>0.91044776119402981</v>
      </c>
      <c r="Y323" s="19">
        <f>N323</f>
        <v>3.7938665823584738E-3</v>
      </c>
      <c r="Z323" s="26">
        <f>(L323+Q323)/(L323+Q323+H323+K323)</f>
        <v>1.2006861063464836E-2</v>
      </c>
    </row>
    <row r="324" spans="1:26" x14ac:dyDescent="0.35">
      <c r="A324" t="s">
        <v>122</v>
      </c>
      <c r="B324" t="s">
        <v>122</v>
      </c>
      <c r="C324" t="s">
        <v>123</v>
      </c>
      <c r="D324" t="s">
        <v>100</v>
      </c>
      <c r="E324" t="s">
        <v>99</v>
      </c>
      <c r="F324" t="s">
        <v>12</v>
      </c>
      <c r="G324">
        <v>1</v>
      </c>
      <c r="H324">
        <v>305</v>
      </c>
      <c r="I324">
        <v>0.91044776119402904</v>
      </c>
      <c r="J324" s="25">
        <f t="shared" si="16"/>
        <v>0.91044776119402981</v>
      </c>
      <c r="K324">
        <v>3151</v>
      </c>
      <c r="L324">
        <v>12</v>
      </c>
      <c r="M324">
        <v>3.7938665823585198E-3</v>
      </c>
      <c r="N324" s="25">
        <f t="shared" si="15"/>
        <v>3.7938665823584738E-3</v>
      </c>
      <c r="O324">
        <v>0.99620613341764097</v>
      </c>
      <c r="P324" s="25">
        <f t="shared" si="17"/>
        <v>0.99620613341764153</v>
      </c>
      <c r="Q324">
        <v>30</v>
      </c>
      <c r="R324" t="s">
        <v>124</v>
      </c>
      <c r="S324" t="s">
        <v>124</v>
      </c>
      <c r="T324" t="s">
        <v>124</v>
      </c>
      <c r="U324" t="s">
        <v>124</v>
      </c>
      <c r="X324" s="19">
        <f>J324</f>
        <v>0.91044776119402981</v>
      </c>
      <c r="Y324" s="19">
        <f>N324</f>
        <v>3.7938665823584738E-3</v>
      </c>
      <c r="Z324" s="26">
        <f>(L324+Q324)/(L324+Q324+H324+K324)</f>
        <v>1.2006861063464836E-2</v>
      </c>
    </row>
    <row r="325" spans="1:26" x14ac:dyDescent="0.35">
      <c r="A325" t="s">
        <v>122</v>
      </c>
      <c r="B325" t="s">
        <v>122</v>
      </c>
      <c r="C325" t="s">
        <v>123</v>
      </c>
      <c r="D325" t="s">
        <v>100</v>
      </c>
      <c r="E325" t="s">
        <v>99</v>
      </c>
      <c r="F325" t="s">
        <v>12</v>
      </c>
      <c r="G325">
        <v>1</v>
      </c>
      <c r="H325">
        <v>305</v>
      </c>
      <c r="I325">
        <v>0.91044776119402904</v>
      </c>
      <c r="J325" s="25">
        <f t="shared" si="16"/>
        <v>0.91044776119402981</v>
      </c>
      <c r="K325">
        <v>3151</v>
      </c>
      <c r="L325">
        <v>12</v>
      </c>
      <c r="M325">
        <v>3.7938665823585198E-3</v>
      </c>
      <c r="N325" s="25">
        <f t="shared" si="15"/>
        <v>3.7938665823584738E-3</v>
      </c>
      <c r="O325">
        <v>0.99620613341764097</v>
      </c>
      <c r="P325" s="25">
        <f t="shared" si="17"/>
        <v>0.99620613341764153</v>
      </c>
      <c r="Q325">
        <v>30</v>
      </c>
      <c r="R325" t="s">
        <v>124</v>
      </c>
      <c r="S325" t="s">
        <v>124</v>
      </c>
      <c r="T325" t="s">
        <v>124</v>
      </c>
      <c r="U325" t="s">
        <v>124</v>
      </c>
      <c r="X325" s="19">
        <f>J325</f>
        <v>0.91044776119402981</v>
      </c>
      <c r="Y325" s="19">
        <f>N325</f>
        <v>3.7938665823584738E-3</v>
      </c>
      <c r="Z325" s="26">
        <f>(L325+Q325)/(L325+Q325+H325+K325)</f>
        <v>1.2006861063464836E-2</v>
      </c>
    </row>
    <row r="326" spans="1:26" x14ac:dyDescent="0.35">
      <c r="A326" t="s">
        <v>122</v>
      </c>
      <c r="B326" t="s">
        <v>122</v>
      </c>
      <c r="C326" t="s">
        <v>123</v>
      </c>
      <c r="D326" t="s">
        <v>100</v>
      </c>
      <c r="E326" t="s">
        <v>99</v>
      </c>
      <c r="F326" t="s">
        <v>12</v>
      </c>
      <c r="G326">
        <v>1</v>
      </c>
      <c r="H326">
        <v>305</v>
      </c>
      <c r="I326">
        <v>0.91044776119402904</v>
      </c>
      <c r="J326" s="25">
        <f t="shared" si="16"/>
        <v>0.91044776119402981</v>
      </c>
      <c r="K326">
        <v>3151</v>
      </c>
      <c r="L326">
        <v>12</v>
      </c>
      <c r="M326">
        <v>3.7938665823585198E-3</v>
      </c>
      <c r="N326" s="25">
        <f t="shared" si="15"/>
        <v>3.7938665823584738E-3</v>
      </c>
      <c r="O326">
        <v>0.99620613341764097</v>
      </c>
      <c r="P326" s="25">
        <f t="shared" si="17"/>
        <v>0.99620613341764153</v>
      </c>
      <c r="Q326">
        <v>30</v>
      </c>
      <c r="R326" t="s">
        <v>124</v>
      </c>
      <c r="S326" t="s">
        <v>124</v>
      </c>
      <c r="T326" t="s">
        <v>124</v>
      </c>
      <c r="U326" t="s">
        <v>124</v>
      </c>
      <c r="X326" s="19">
        <f>J326</f>
        <v>0.91044776119402981</v>
      </c>
      <c r="Y326" s="19">
        <f>N326</f>
        <v>3.7938665823584738E-3</v>
      </c>
      <c r="Z326" s="26">
        <f>(L326+Q326)/(L326+Q326+H326+K326)</f>
        <v>1.2006861063464836E-2</v>
      </c>
    </row>
    <row r="327" spans="1:26" x14ac:dyDescent="0.35">
      <c r="A327" t="s">
        <v>122</v>
      </c>
      <c r="B327" t="s">
        <v>122</v>
      </c>
      <c r="C327" t="s">
        <v>123</v>
      </c>
      <c r="D327" t="s">
        <v>100</v>
      </c>
      <c r="E327" t="s">
        <v>99</v>
      </c>
      <c r="F327" t="s">
        <v>12</v>
      </c>
      <c r="G327">
        <v>1</v>
      </c>
      <c r="H327">
        <v>305</v>
      </c>
      <c r="I327">
        <v>0.91044776119402904</v>
      </c>
      <c r="J327" s="25">
        <f t="shared" si="16"/>
        <v>0.91044776119402981</v>
      </c>
      <c r="K327">
        <v>3151</v>
      </c>
      <c r="L327">
        <v>12</v>
      </c>
      <c r="M327">
        <v>3.7938665823585198E-3</v>
      </c>
      <c r="N327" s="25">
        <f t="shared" si="15"/>
        <v>3.7938665823584738E-3</v>
      </c>
      <c r="O327">
        <v>0.99620613341764097</v>
      </c>
      <c r="P327" s="25">
        <f t="shared" si="17"/>
        <v>0.99620613341764153</v>
      </c>
      <c r="Q327">
        <v>30</v>
      </c>
      <c r="R327" t="s">
        <v>124</v>
      </c>
      <c r="S327" t="s">
        <v>124</v>
      </c>
      <c r="T327" t="s">
        <v>124</v>
      </c>
      <c r="U327" t="s">
        <v>124</v>
      </c>
      <c r="X327" s="19">
        <f>J327</f>
        <v>0.91044776119402981</v>
      </c>
      <c r="Y327" s="19">
        <f>N327</f>
        <v>3.7938665823584738E-3</v>
      </c>
      <c r="Z327" s="26">
        <f>(L327+Q327)/(L327+Q327+H327+K327)</f>
        <v>1.2006861063464836E-2</v>
      </c>
    </row>
    <row r="328" spans="1:26" x14ac:dyDescent="0.35">
      <c r="A328" t="s">
        <v>122</v>
      </c>
      <c r="B328" t="s">
        <v>122</v>
      </c>
      <c r="C328" t="s">
        <v>123</v>
      </c>
      <c r="D328" t="s">
        <v>100</v>
      </c>
      <c r="E328" t="s">
        <v>99</v>
      </c>
      <c r="F328" t="s">
        <v>12</v>
      </c>
      <c r="G328">
        <v>1</v>
      </c>
      <c r="H328">
        <v>305</v>
      </c>
      <c r="I328">
        <v>0.91044776119402904</v>
      </c>
      <c r="J328" s="25">
        <f t="shared" si="16"/>
        <v>0.91044776119402981</v>
      </c>
      <c r="K328">
        <v>3151</v>
      </c>
      <c r="L328">
        <v>12</v>
      </c>
      <c r="M328">
        <v>3.7938665823585198E-3</v>
      </c>
      <c r="N328" s="25">
        <f t="shared" si="15"/>
        <v>3.7938665823584738E-3</v>
      </c>
      <c r="O328">
        <v>0.99620613341764097</v>
      </c>
      <c r="P328" s="25">
        <f t="shared" si="17"/>
        <v>0.99620613341764153</v>
      </c>
      <c r="Q328">
        <v>30</v>
      </c>
      <c r="R328" t="s">
        <v>124</v>
      </c>
      <c r="S328" t="s">
        <v>124</v>
      </c>
      <c r="T328" t="s">
        <v>124</v>
      </c>
      <c r="U328" t="s">
        <v>124</v>
      </c>
      <c r="X328" s="19">
        <f>J328</f>
        <v>0.91044776119402981</v>
      </c>
      <c r="Y328" s="19">
        <f>N328</f>
        <v>3.7938665823584738E-3</v>
      </c>
      <c r="Z328" s="26">
        <f>(L328+Q328)/(L328+Q328+H328+K328)</f>
        <v>1.2006861063464836E-2</v>
      </c>
    </row>
    <row r="329" spans="1:26" x14ac:dyDescent="0.35">
      <c r="A329" t="s">
        <v>122</v>
      </c>
      <c r="B329" t="s">
        <v>122</v>
      </c>
      <c r="C329" t="s">
        <v>123</v>
      </c>
      <c r="D329" t="s">
        <v>100</v>
      </c>
      <c r="E329" t="s">
        <v>99</v>
      </c>
      <c r="F329" t="s">
        <v>12</v>
      </c>
      <c r="G329">
        <v>1</v>
      </c>
      <c r="H329">
        <v>305</v>
      </c>
      <c r="I329">
        <v>0.91044776119402904</v>
      </c>
      <c r="J329" s="25">
        <f t="shared" si="16"/>
        <v>0.91044776119402981</v>
      </c>
      <c r="K329">
        <v>3151</v>
      </c>
      <c r="L329">
        <v>12</v>
      </c>
      <c r="M329">
        <v>3.7938665823585198E-3</v>
      </c>
      <c r="N329" s="25">
        <f t="shared" si="15"/>
        <v>3.7938665823584738E-3</v>
      </c>
      <c r="O329">
        <v>0.99620613341764097</v>
      </c>
      <c r="P329" s="25">
        <f t="shared" si="17"/>
        <v>0.99620613341764153</v>
      </c>
      <c r="Q329">
        <v>30</v>
      </c>
      <c r="R329" t="s">
        <v>124</v>
      </c>
      <c r="S329" t="s">
        <v>124</v>
      </c>
      <c r="T329" t="s">
        <v>124</v>
      </c>
      <c r="U329" t="s">
        <v>124</v>
      </c>
      <c r="X329" s="19">
        <f>J329</f>
        <v>0.91044776119402981</v>
      </c>
      <c r="Y329" s="19">
        <f>N329</f>
        <v>3.7938665823584738E-3</v>
      </c>
      <c r="Z329" s="26">
        <f>(L329+Q329)/(L329+Q329+H329+K329)</f>
        <v>1.2006861063464836E-2</v>
      </c>
    </row>
    <row r="330" spans="1:26" x14ac:dyDescent="0.35">
      <c r="A330" t="s">
        <v>122</v>
      </c>
      <c r="B330" t="s">
        <v>122</v>
      </c>
      <c r="C330" t="s">
        <v>123</v>
      </c>
      <c r="D330" t="s">
        <v>100</v>
      </c>
      <c r="E330" t="s">
        <v>99</v>
      </c>
      <c r="F330" t="s">
        <v>12</v>
      </c>
      <c r="G330">
        <v>1</v>
      </c>
      <c r="H330">
        <v>305</v>
      </c>
      <c r="I330">
        <v>0.91044776119402904</v>
      </c>
      <c r="J330" s="25">
        <f t="shared" si="16"/>
        <v>0.91044776119402981</v>
      </c>
      <c r="K330">
        <v>3151</v>
      </c>
      <c r="L330">
        <v>12</v>
      </c>
      <c r="M330">
        <v>3.7938665823585198E-3</v>
      </c>
      <c r="N330" s="25">
        <f t="shared" si="15"/>
        <v>3.7938665823584738E-3</v>
      </c>
      <c r="O330">
        <v>0.99620613341764097</v>
      </c>
      <c r="P330" s="25">
        <f t="shared" si="17"/>
        <v>0.99620613341764153</v>
      </c>
      <c r="Q330">
        <v>30</v>
      </c>
      <c r="R330" t="s">
        <v>124</v>
      </c>
      <c r="S330" t="s">
        <v>124</v>
      </c>
      <c r="T330" t="s">
        <v>124</v>
      </c>
      <c r="U330" t="s">
        <v>124</v>
      </c>
      <c r="X330" s="19">
        <f>J330</f>
        <v>0.91044776119402981</v>
      </c>
      <c r="Y330" s="19">
        <f>N330</f>
        <v>3.7938665823584738E-3</v>
      </c>
      <c r="Z330" s="26">
        <f>(L330+Q330)/(L330+Q330+H330+K330)</f>
        <v>1.2006861063464836E-2</v>
      </c>
    </row>
    <row r="331" spans="1:26" x14ac:dyDescent="0.35">
      <c r="A331" t="s">
        <v>122</v>
      </c>
      <c r="B331" t="s">
        <v>122</v>
      </c>
      <c r="C331" t="s">
        <v>123</v>
      </c>
      <c r="D331" t="s">
        <v>100</v>
      </c>
      <c r="E331" t="s">
        <v>99</v>
      </c>
      <c r="F331" t="s">
        <v>12</v>
      </c>
      <c r="G331">
        <v>1</v>
      </c>
      <c r="H331">
        <v>305</v>
      </c>
      <c r="I331">
        <v>0.91044776119402904</v>
      </c>
      <c r="J331" s="25">
        <f t="shared" si="16"/>
        <v>0.91044776119402981</v>
      </c>
      <c r="K331">
        <v>3151</v>
      </c>
      <c r="L331">
        <v>12</v>
      </c>
      <c r="M331">
        <v>3.7938665823585198E-3</v>
      </c>
      <c r="N331" s="25">
        <f t="shared" si="15"/>
        <v>3.7938665823584738E-3</v>
      </c>
      <c r="O331">
        <v>0.99620613341764097</v>
      </c>
      <c r="P331" s="25">
        <f t="shared" si="17"/>
        <v>0.99620613341764153</v>
      </c>
      <c r="Q331">
        <v>30</v>
      </c>
      <c r="R331" t="s">
        <v>124</v>
      </c>
      <c r="S331" t="s">
        <v>124</v>
      </c>
      <c r="T331" t="s">
        <v>124</v>
      </c>
      <c r="U331" t="s">
        <v>124</v>
      </c>
      <c r="X331" s="19">
        <f>J331</f>
        <v>0.91044776119402981</v>
      </c>
      <c r="Y331" s="19">
        <f>N331</f>
        <v>3.7938665823584738E-3</v>
      </c>
      <c r="Z331" s="26">
        <f>(L331+Q331)/(L331+Q331+H331+K331)</f>
        <v>1.2006861063464836E-2</v>
      </c>
    </row>
    <row r="332" spans="1:26" x14ac:dyDescent="0.35">
      <c r="A332" t="s">
        <v>122</v>
      </c>
      <c r="B332" t="s">
        <v>122</v>
      </c>
      <c r="C332" t="s">
        <v>123</v>
      </c>
      <c r="D332" t="s">
        <v>100</v>
      </c>
      <c r="E332" t="s">
        <v>99</v>
      </c>
      <c r="F332" t="s">
        <v>12</v>
      </c>
      <c r="G332">
        <v>1</v>
      </c>
      <c r="H332">
        <v>305</v>
      </c>
      <c r="I332">
        <v>0.91044776119402904</v>
      </c>
      <c r="J332" s="25">
        <f t="shared" si="16"/>
        <v>0.91044776119402981</v>
      </c>
      <c r="K332">
        <v>3151</v>
      </c>
      <c r="L332">
        <v>12</v>
      </c>
      <c r="M332">
        <v>3.7938665823585198E-3</v>
      </c>
      <c r="N332" s="25">
        <f t="shared" si="15"/>
        <v>3.7938665823584738E-3</v>
      </c>
      <c r="O332">
        <v>0.99620613341764097</v>
      </c>
      <c r="P332" s="25">
        <f t="shared" si="17"/>
        <v>0.99620613341764153</v>
      </c>
      <c r="Q332">
        <v>30</v>
      </c>
      <c r="R332" t="s">
        <v>124</v>
      </c>
      <c r="S332" t="s">
        <v>124</v>
      </c>
      <c r="T332" t="s">
        <v>124</v>
      </c>
      <c r="U332" t="s">
        <v>124</v>
      </c>
      <c r="X332" s="19">
        <f>J332</f>
        <v>0.91044776119402981</v>
      </c>
      <c r="Y332" s="19">
        <f>N332</f>
        <v>3.7938665823584738E-3</v>
      </c>
      <c r="Z332" s="26">
        <f>(L332+Q332)/(L332+Q332+H332+K332)</f>
        <v>1.2006861063464836E-2</v>
      </c>
    </row>
    <row r="333" spans="1:26" x14ac:dyDescent="0.35">
      <c r="A333" t="s">
        <v>122</v>
      </c>
      <c r="B333" t="s">
        <v>122</v>
      </c>
      <c r="C333" t="s">
        <v>123</v>
      </c>
      <c r="D333" t="s">
        <v>100</v>
      </c>
      <c r="E333" t="s">
        <v>99</v>
      </c>
      <c r="F333" t="s">
        <v>12</v>
      </c>
      <c r="G333">
        <v>1</v>
      </c>
      <c r="H333">
        <v>305</v>
      </c>
      <c r="I333">
        <v>0.91044776119402904</v>
      </c>
      <c r="J333" s="25">
        <f t="shared" si="16"/>
        <v>0.91044776119402981</v>
      </c>
      <c r="K333">
        <v>3151</v>
      </c>
      <c r="L333">
        <v>12</v>
      </c>
      <c r="M333">
        <v>3.7938665823585198E-3</v>
      </c>
      <c r="N333" s="25">
        <f t="shared" si="15"/>
        <v>3.7938665823584738E-3</v>
      </c>
      <c r="O333">
        <v>0.99620613341764097</v>
      </c>
      <c r="P333" s="25">
        <f t="shared" si="17"/>
        <v>0.99620613341764153</v>
      </c>
      <c r="Q333">
        <v>30</v>
      </c>
      <c r="R333" t="s">
        <v>124</v>
      </c>
      <c r="S333" t="s">
        <v>124</v>
      </c>
      <c r="T333" t="s">
        <v>124</v>
      </c>
      <c r="U333" t="s">
        <v>124</v>
      </c>
      <c r="X333" s="19">
        <f>J333</f>
        <v>0.91044776119402981</v>
      </c>
      <c r="Y333" s="19">
        <f>N333</f>
        <v>3.7938665823584738E-3</v>
      </c>
      <c r="Z333" s="26">
        <f>(L333+Q333)/(L333+Q333+H333+K333)</f>
        <v>1.2006861063464836E-2</v>
      </c>
    </row>
    <row r="334" spans="1:26" x14ac:dyDescent="0.35">
      <c r="A334" t="s">
        <v>122</v>
      </c>
      <c r="B334" t="s">
        <v>122</v>
      </c>
      <c r="C334" t="s">
        <v>123</v>
      </c>
      <c r="D334" t="s">
        <v>100</v>
      </c>
      <c r="E334" t="s">
        <v>99</v>
      </c>
      <c r="F334" t="s">
        <v>12</v>
      </c>
      <c r="G334">
        <v>1</v>
      </c>
      <c r="H334">
        <v>305</v>
      </c>
      <c r="I334">
        <v>0.91044776119402904</v>
      </c>
      <c r="J334" s="25">
        <f t="shared" si="16"/>
        <v>0.91044776119402981</v>
      </c>
      <c r="K334">
        <v>3151</v>
      </c>
      <c r="L334">
        <v>12</v>
      </c>
      <c r="M334">
        <v>3.7938665823585198E-3</v>
      </c>
      <c r="N334" s="25">
        <f t="shared" si="15"/>
        <v>3.7938665823584738E-3</v>
      </c>
      <c r="O334">
        <v>0.99620613341764097</v>
      </c>
      <c r="P334" s="25">
        <f t="shared" si="17"/>
        <v>0.99620613341764153</v>
      </c>
      <c r="Q334">
        <v>30</v>
      </c>
      <c r="R334" t="s">
        <v>124</v>
      </c>
      <c r="S334" t="s">
        <v>124</v>
      </c>
      <c r="T334" t="s">
        <v>124</v>
      </c>
      <c r="U334" t="s">
        <v>124</v>
      </c>
      <c r="X334" s="19">
        <f>J334</f>
        <v>0.91044776119402981</v>
      </c>
      <c r="Y334" s="19">
        <f>N334</f>
        <v>3.7938665823584738E-3</v>
      </c>
      <c r="Z334" s="26">
        <f>(L334+Q334)/(L334+Q334+H334+K334)</f>
        <v>1.2006861063464836E-2</v>
      </c>
    </row>
    <row r="335" spans="1:26" x14ac:dyDescent="0.35">
      <c r="A335" t="s">
        <v>122</v>
      </c>
      <c r="B335" t="s">
        <v>122</v>
      </c>
      <c r="C335" t="s">
        <v>123</v>
      </c>
      <c r="D335" t="s">
        <v>100</v>
      </c>
      <c r="E335" t="s">
        <v>99</v>
      </c>
      <c r="F335" t="s">
        <v>12</v>
      </c>
      <c r="G335">
        <v>1</v>
      </c>
      <c r="H335">
        <v>305</v>
      </c>
      <c r="I335">
        <v>0.91044776119402904</v>
      </c>
      <c r="J335" s="25">
        <f t="shared" si="16"/>
        <v>0.91044776119402981</v>
      </c>
      <c r="K335">
        <v>3151</v>
      </c>
      <c r="L335">
        <v>12</v>
      </c>
      <c r="M335">
        <v>3.7938665823585198E-3</v>
      </c>
      <c r="N335" s="25">
        <f t="shared" si="15"/>
        <v>3.7938665823584738E-3</v>
      </c>
      <c r="O335">
        <v>0.99620613341764097</v>
      </c>
      <c r="P335" s="25">
        <f t="shared" si="17"/>
        <v>0.99620613341764153</v>
      </c>
      <c r="Q335">
        <v>30</v>
      </c>
      <c r="R335" t="s">
        <v>124</v>
      </c>
      <c r="S335" t="s">
        <v>124</v>
      </c>
      <c r="T335" t="s">
        <v>124</v>
      </c>
      <c r="U335" t="s">
        <v>124</v>
      </c>
      <c r="X335" s="19">
        <f>J335</f>
        <v>0.91044776119402981</v>
      </c>
      <c r="Y335" s="19">
        <f>N335</f>
        <v>3.7938665823584738E-3</v>
      </c>
      <c r="Z335" s="26">
        <f>(L335+Q335)/(L335+Q335+H335+K335)</f>
        <v>1.2006861063464836E-2</v>
      </c>
    </row>
    <row r="336" spans="1:26" x14ac:dyDescent="0.35">
      <c r="A336" t="s">
        <v>122</v>
      </c>
      <c r="B336" t="s">
        <v>122</v>
      </c>
      <c r="C336" t="s">
        <v>123</v>
      </c>
      <c r="D336" t="s">
        <v>100</v>
      </c>
      <c r="E336" t="s">
        <v>99</v>
      </c>
      <c r="F336" t="s">
        <v>12</v>
      </c>
      <c r="G336">
        <v>1</v>
      </c>
      <c r="H336">
        <v>305</v>
      </c>
      <c r="I336">
        <v>0.91044776119402904</v>
      </c>
      <c r="J336" s="25">
        <f t="shared" si="16"/>
        <v>0.91044776119402981</v>
      </c>
      <c r="K336">
        <v>3151</v>
      </c>
      <c r="L336">
        <v>12</v>
      </c>
      <c r="M336">
        <v>3.7938665823585198E-3</v>
      </c>
      <c r="N336" s="25">
        <f t="shared" si="15"/>
        <v>3.7938665823584738E-3</v>
      </c>
      <c r="O336">
        <v>0.99620613341764097</v>
      </c>
      <c r="P336" s="25">
        <f t="shared" si="17"/>
        <v>0.99620613341764153</v>
      </c>
      <c r="Q336">
        <v>30</v>
      </c>
      <c r="R336" t="s">
        <v>124</v>
      </c>
      <c r="S336" t="s">
        <v>124</v>
      </c>
      <c r="T336" t="s">
        <v>124</v>
      </c>
      <c r="U336" t="s">
        <v>124</v>
      </c>
      <c r="X336" s="19">
        <f>J336</f>
        <v>0.91044776119402981</v>
      </c>
      <c r="Y336" s="19">
        <f>N336</f>
        <v>3.7938665823584738E-3</v>
      </c>
      <c r="Z336" s="26">
        <f>(L336+Q336)/(L336+Q336+H336+K336)</f>
        <v>1.2006861063464836E-2</v>
      </c>
    </row>
    <row r="337" spans="1:26" x14ac:dyDescent="0.35">
      <c r="A337" t="s">
        <v>122</v>
      </c>
      <c r="B337" t="s">
        <v>122</v>
      </c>
      <c r="C337" t="s">
        <v>123</v>
      </c>
      <c r="D337" t="s">
        <v>100</v>
      </c>
      <c r="E337" t="s">
        <v>99</v>
      </c>
      <c r="F337" t="s">
        <v>12</v>
      </c>
      <c r="G337">
        <v>1</v>
      </c>
      <c r="H337">
        <v>305</v>
      </c>
      <c r="I337">
        <v>0.91044776119402904</v>
      </c>
      <c r="J337" s="25">
        <f t="shared" si="16"/>
        <v>0.91044776119402981</v>
      </c>
      <c r="K337">
        <v>3151</v>
      </c>
      <c r="L337">
        <v>12</v>
      </c>
      <c r="M337">
        <v>3.7938665823585198E-3</v>
      </c>
      <c r="N337" s="25">
        <f t="shared" si="15"/>
        <v>3.7938665823584738E-3</v>
      </c>
      <c r="O337">
        <v>0.99620613341764097</v>
      </c>
      <c r="P337" s="25">
        <f t="shared" si="17"/>
        <v>0.99620613341764153</v>
      </c>
      <c r="Q337">
        <v>30</v>
      </c>
      <c r="R337" t="s">
        <v>124</v>
      </c>
      <c r="S337" t="s">
        <v>124</v>
      </c>
      <c r="T337" t="s">
        <v>124</v>
      </c>
      <c r="U337" t="s">
        <v>124</v>
      </c>
      <c r="X337" s="19">
        <f>J337</f>
        <v>0.91044776119402981</v>
      </c>
      <c r="Y337" s="19">
        <f>N337</f>
        <v>3.7938665823584738E-3</v>
      </c>
      <c r="Z337" s="26">
        <f>(L337+Q337)/(L337+Q337+H337+K337)</f>
        <v>1.2006861063464836E-2</v>
      </c>
    </row>
    <row r="338" spans="1:26" x14ac:dyDescent="0.35">
      <c r="A338" t="s">
        <v>122</v>
      </c>
      <c r="B338" t="s">
        <v>122</v>
      </c>
      <c r="C338" t="s">
        <v>123</v>
      </c>
      <c r="D338" t="s">
        <v>100</v>
      </c>
      <c r="E338" t="s">
        <v>99</v>
      </c>
      <c r="F338" t="s">
        <v>12</v>
      </c>
      <c r="G338">
        <v>1</v>
      </c>
      <c r="H338">
        <v>305</v>
      </c>
      <c r="I338">
        <v>0.91044776119402904</v>
      </c>
      <c r="J338" s="25">
        <f t="shared" si="16"/>
        <v>0.91044776119402981</v>
      </c>
      <c r="K338">
        <v>3151</v>
      </c>
      <c r="L338">
        <v>12</v>
      </c>
      <c r="M338">
        <v>3.7938665823585198E-3</v>
      </c>
      <c r="N338" s="25">
        <f t="shared" si="15"/>
        <v>3.7938665823584738E-3</v>
      </c>
      <c r="O338">
        <v>0.99620613341764097</v>
      </c>
      <c r="P338" s="25">
        <f t="shared" si="17"/>
        <v>0.99620613341764153</v>
      </c>
      <c r="Q338">
        <v>30</v>
      </c>
      <c r="R338" t="s">
        <v>124</v>
      </c>
      <c r="S338" t="s">
        <v>124</v>
      </c>
      <c r="T338" t="s">
        <v>124</v>
      </c>
      <c r="U338" t="s">
        <v>124</v>
      </c>
      <c r="X338" s="19">
        <f>J338</f>
        <v>0.91044776119402981</v>
      </c>
      <c r="Y338" s="19">
        <f>N338</f>
        <v>3.7938665823584738E-3</v>
      </c>
      <c r="Z338" s="26">
        <f>(L338+Q338)/(L338+Q338+H338+K338)</f>
        <v>1.2006861063464836E-2</v>
      </c>
    </row>
    <row r="339" spans="1:26" x14ac:dyDescent="0.35">
      <c r="A339" t="s">
        <v>122</v>
      </c>
      <c r="B339" t="s">
        <v>122</v>
      </c>
      <c r="C339" t="s">
        <v>123</v>
      </c>
      <c r="D339" t="s">
        <v>100</v>
      </c>
      <c r="E339" t="s">
        <v>99</v>
      </c>
      <c r="F339" t="s">
        <v>12</v>
      </c>
      <c r="G339">
        <v>1</v>
      </c>
      <c r="H339">
        <v>305</v>
      </c>
      <c r="I339">
        <v>0.91044776119402904</v>
      </c>
      <c r="J339" s="25">
        <f t="shared" si="16"/>
        <v>0.91044776119402981</v>
      </c>
      <c r="K339">
        <v>3151</v>
      </c>
      <c r="L339">
        <v>12</v>
      </c>
      <c r="M339">
        <v>3.7938665823585198E-3</v>
      </c>
      <c r="N339" s="25">
        <f t="shared" si="15"/>
        <v>3.7938665823584738E-3</v>
      </c>
      <c r="O339">
        <v>0.99620613341764097</v>
      </c>
      <c r="P339" s="25">
        <f t="shared" si="17"/>
        <v>0.99620613341764153</v>
      </c>
      <c r="Q339">
        <v>30</v>
      </c>
      <c r="R339" t="s">
        <v>124</v>
      </c>
      <c r="S339" t="s">
        <v>124</v>
      </c>
      <c r="T339" t="s">
        <v>124</v>
      </c>
      <c r="U339" t="s">
        <v>124</v>
      </c>
      <c r="X339" s="19">
        <f>J339</f>
        <v>0.91044776119402981</v>
      </c>
      <c r="Y339" s="19">
        <f>N339</f>
        <v>3.7938665823584738E-3</v>
      </c>
      <c r="Z339" s="26">
        <f>(L339+Q339)/(L339+Q339+H339+K339)</f>
        <v>1.2006861063464836E-2</v>
      </c>
    </row>
    <row r="340" spans="1:26" x14ac:dyDescent="0.35">
      <c r="A340" t="s">
        <v>122</v>
      </c>
      <c r="B340" t="s">
        <v>122</v>
      </c>
      <c r="C340" t="s">
        <v>123</v>
      </c>
      <c r="D340" t="s">
        <v>100</v>
      </c>
      <c r="E340" t="s">
        <v>99</v>
      </c>
      <c r="F340" t="s">
        <v>12</v>
      </c>
      <c r="G340">
        <v>1</v>
      </c>
      <c r="H340">
        <v>305</v>
      </c>
      <c r="I340">
        <v>0.91044776119402904</v>
      </c>
      <c r="J340" s="25">
        <f t="shared" si="16"/>
        <v>0.91044776119402981</v>
      </c>
      <c r="K340">
        <v>3151</v>
      </c>
      <c r="L340">
        <v>12</v>
      </c>
      <c r="M340">
        <v>3.7938665823585198E-3</v>
      </c>
      <c r="N340" s="25">
        <f t="shared" si="15"/>
        <v>3.7938665823584738E-3</v>
      </c>
      <c r="O340">
        <v>0.99620613341764097</v>
      </c>
      <c r="P340" s="25">
        <f t="shared" si="17"/>
        <v>0.99620613341764153</v>
      </c>
      <c r="Q340">
        <v>30</v>
      </c>
      <c r="R340" t="s">
        <v>124</v>
      </c>
      <c r="S340" t="s">
        <v>124</v>
      </c>
      <c r="T340" t="s">
        <v>124</v>
      </c>
      <c r="U340" t="s">
        <v>124</v>
      </c>
      <c r="X340" s="19">
        <f>J340</f>
        <v>0.91044776119402981</v>
      </c>
      <c r="Y340" s="19">
        <f>N340</f>
        <v>3.7938665823584738E-3</v>
      </c>
      <c r="Z340" s="26">
        <f>(L340+Q340)/(L340+Q340+H340+K340)</f>
        <v>1.2006861063464836E-2</v>
      </c>
    </row>
    <row r="341" spans="1:26" x14ac:dyDescent="0.35">
      <c r="A341" t="s">
        <v>122</v>
      </c>
      <c r="B341" t="s">
        <v>122</v>
      </c>
      <c r="C341" t="s">
        <v>123</v>
      </c>
      <c r="D341" t="s">
        <v>100</v>
      </c>
      <c r="E341" t="s">
        <v>99</v>
      </c>
      <c r="F341" t="s">
        <v>12</v>
      </c>
      <c r="G341">
        <v>1</v>
      </c>
      <c r="H341">
        <v>305</v>
      </c>
      <c r="I341">
        <v>0.91044776119402904</v>
      </c>
      <c r="J341" s="25">
        <f t="shared" si="16"/>
        <v>0.91044776119402981</v>
      </c>
      <c r="K341">
        <v>3151</v>
      </c>
      <c r="L341">
        <v>12</v>
      </c>
      <c r="M341">
        <v>3.7938665823585198E-3</v>
      </c>
      <c r="N341" s="25">
        <f t="shared" si="15"/>
        <v>3.7938665823584738E-3</v>
      </c>
      <c r="O341">
        <v>0.99620613341764097</v>
      </c>
      <c r="P341" s="25">
        <f t="shared" si="17"/>
        <v>0.99620613341764153</v>
      </c>
      <c r="Q341">
        <v>30</v>
      </c>
      <c r="R341" t="s">
        <v>124</v>
      </c>
      <c r="S341" t="s">
        <v>124</v>
      </c>
      <c r="T341" t="s">
        <v>124</v>
      </c>
      <c r="U341" t="s">
        <v>124</v>
      </c>
      <c r="X341" s="19">
        <f>J341</f>
        <v>0.91044776119402981</v>
      </c>
      <c r="Y341" s="19">
        <f>N341</f>
        <v>3.7938665823584738E-3</v>
      </c>
      <c r="Z341" s="26">
        <f>(L341+Q341)/(L341+Q341+H341+K341)</f>
        <v>1.2006861063464836E-2</v>
      </c>
    </row>
    <row r="342" spans="1:26" x14ac:dyDescent="0.35">
      <c r="A342" t="s">
        <v>122</v>
      </c>
      <c r="B342" t="s">
        <v>122</v>
      </c>
      <c r="C342" t="s">
        <v>123</v>
      </c>
      <c r="D342" t="s">
        <v>100</v>
      </c>
      <c r="E342" t="s">
        <v>99</v>
      </c>
      <c r="F342" t="s">
        <v>12</v>
      </c>
      <c r="G342">
        <v>1</v>
      </c>
      <c r="H342">
        <v>305</v>
      </c>
      <c r="I342">
        <v>0.91044776119402904</v>
      </c>
      <c r="J342" s="25">
        <f t="shared" si="16"/>
        <v>0.91044776119402981</v>
      </c>
      <c r="K342">
        <v>3151</v>
      </c>
      <c r="L342">
        <v>12</v>
      </c>
      <c r="M342">
        <v>3.7938665823585198E-3</v>
      </c>
      <c r="N342" s="25">
        <f t="shared" si="15"/>
        <v>3.7938665823584738E-3</v>
      </c>
      <c r="O342">
        <v>0.99620613341764097</v>
      </c>
      <c r="P342" s="25">
        <f t="shared" si="17"/>
        <v>0.99620613341764153</v>
      </c>
      <c r="Q342">
        <v>30</v>
      </c>
      <c r="R342" t="s">
        <v>124</v>
      </c>
      <c r="S342" t="s">
        <v>124</v>
      </c>
      <c r="T342" t="s">
        <v>124</v>
      </c>
      <c r="U342" t="s">
        <v>124</v>
      </c>
      <c r="X342" s="19">
        <f>J342</f>
        <v>0.91044776119402981</v>
      </c>
      <c r="Y342" s="19">
        <f>N342</f>
        <v>3.7938665823584738E-3</v>
      </c>
      <c r="Z342" s="26">
        <f>(L342+Q342)/(L342+Q342+H342+K342)</f>
        <v>1.2006861063464836E-2</v>
      </c>
    </row>
    <row r="343" spans="1:26" x14ac:dyDescent="0.35">
      <c r="A343" t="s">
        <v>122</v>
      </c>
      <c r="B343" t="s">
        <v>122</v>
      </c>
      <c r="C343" t="s">
        <v>123</v>
      </c>
      <c r="D343" t="s">
        <v>100</v>
      </c>
      <c r="E343" t="s">
        <v>99</v>
      </c>
      <c r="F343" t="s">
        <v>12</v>
      </c>
      <c r="G343">
        <v>1</v>
      </c>
      <c r="H343">
        <v>305</v>
      </c>
      <c r="I343">
        <v>0.91044776119402904</v>
      </c>
      <c r="J343" s="25">
        <f t="shared" si="16"/>
        <v>0.91044776119402981</v>
      </c>
      <c r="K343">
        <v>3151</v>
      </c>
      <c r="L343">
        <v>12</v>
      </c>
      <c r="M343">
        <v>3.7938665823585198E-3</v>
      </c>
      <c r="N343" s="25">
        <f t="shared" si="15"/>
        <v>3.7938665823584738E-3</v>
      </c>
      <c r="O343">
        <v>0.99620613341764097</v>
      </c>
      <c r="P343" s="25">
        <f t="shared" si="17"/>
        <v>0.99620613341764153</v>
      </c>
      <c r="Q343">
        <v>30</v>
      </c>
      <c r="R343" t="s">
        <v>124</v>
      </c>
      <c r="S343" t="s">
        <v>124</v>
      </c>
      <c r="T343" t="s">
        <v>124</v>
      </c>
      <c r="U343" t="s">
        <v>124</v>
      </c>
      <c r="X343" s="19">
        <f>J343</f>
        <v>0.91044776119402981</v>
      </c>
      <c r="Y343" s="19">
        <f>N343</f>
        <v>3.7938665823584738E-3</v>
      </c>
      <c r="Z343" s="26">
        <f>(L343+Q343)/(L343+Q343+H343+K343)</f>
        <v>1.2006861063464836E-2</v>
      </c>
    </row>
    <row r="344" spans="1:26" x14ac:dyDescent="0.35">
      <c r="A344" t="s">
        <v>122</v>
      </c>
      <c r="B344" t="s">
        <v>122</v>
      </c>
      <c r="C344" t="s">
        <v>123</v>
      </c>
      <c r="D344" t="s">
        <v>100</v>
      </c>
      <c r="E344" t="s">
        <v>99</v>
      </c>
      <c r="F344" t="s">
        <v>12</v>
      </c>
      <c r="G344">
        <v>1</v>
      </c>
      <c r="H344">
        <v>305</v>
      </c>
      <c r="I344">
        <v>0.91044776119402904</v>
      </c>
      <c r="J344" s="25">
        <f t="shared" si="16"/>
        <v>0.91044776119402981</v>
      </c>
      <c r="K344">
        <v>3151</v>
      </c>
      <c r="L344">
        <v>12</v>
      </c>
      <c r="M344">
        <v>3.7938665823585198E-3</v>
      </c>
      <c r="N344" s="25">
        <f t="shared" si="15"/>
        <v>3.7938665823584738E-3</v>
      </c>
      <c r="O344">
        <v>0.99620613341764097</v>
      </c>
      <c r="P344" s="25">
        <f t="shared" si="17"/>
        <v>0.99620613341764153</v>
      </c>
      <c r="Q344">
        <v>30</v>
      </c>
      <c r="R344" t="s">
        <v>124</v>
      </c>
      <c r="S344" t="s">
        <v>124</v>
      </c>
      <c r="T344" t="s">
        <v>124</v>
      </c>
      <c r="U344" t="s">
        <v>124</v>
      </c>
      <c r="X344" s="19">
        <f>J344</f>
        <v>0.91044776119402981</v>
      </c>
      <c r="Y344" s="19">
        <f>N344</f>
        <v>3.7938665823584738E-3</v>
      </c>
      <c r="Z344" s="26">
        <f>(L344+Q344)/(L344+Q344+H344+K344)</f>
        <v>1.2006861063464836E-2</v>
      </c>
    </row>
    <row r="345" spans="1:26" x14ac:dyDescent="0.35">
      <c r="A345" t="s">
        <v>122</v>
      </c>
      <c r="B345" t="s">
        <v>122</v>
      </c>
      <c r="C345" t="s">
        <v>123</v>
      </c>
      <c r="D345" t="s">
        <v>100</v>
      </c>
      <c r="E345" t="s">
        <v>99</v>
      </c>
      <c r="F345" t="s">
        <v>12</v>
      </c>
      <c r="G345">
        <v>1</v>
      </c>
      <c r="H345">
        <v>305</v>
      </c>
      <c r="I345">
        <v>0.91044776119402904</v>
      </c>
      <c r="J345" s="25">
        <f t="shared" si="16"/>
        <v>0.91044776119402981</v>
      </c>
      <c r="K345">
        <v>3151</v>
      </c>
      <c r="L345">
        <v>12</v>
      </c>
      <c r="M345">
        <v>3.7938665823585198E-3</v>
      </c>
      <c r="N345" s="25">
        <f t="shared" si="15"/>
        <v>3.7938665823584738E-3</v>
      </c>
      <c r="O345">
        <v>0.99620613341764097</v>
      </c>
      <c r="P345" s="25">
        <f t="shared" si="17"/>
        <v>0.99620613341764153</v>
      </c>
      <c r="Q345">
        <v>30</v>
      </c>
      <c r="R345" t="s">
        <v>124</v>
      </c>
      <c r="S345" t="s">
        <v>124</v>
      </c>
      <c r="T345" t="s">
        <v>124</v>
      </c>
      <c r="U345" t="s">
        <v>124</v>
      </c>
      <c r="X345" s="19">
        <f>J345</f>
        <v>0.91044776119402981</v>
      </c>
      <c r="Y345" s="19">
        <f>N345</f>
        <v>3.7938665823584738E-3</v>
      </c>
      <c r="Z345" s="26">
        <f>(L345+Q345)/(L345+Q345+H345+K345)</f>
        <v>1.2006861063464836E-2</v>
      </c>
    </row>
    <row r="346" spans="1:26" x14ac:dyDescent="0.35">
      <c r="A346" t="s">
        <v>122</v>
      </c>
      <c r="B346" t="s">
        <v>122</v>
      </c>
      <c r="C346" t="s">
        <v>123</v>
      </c>
      <c r="D346" t="s">
        <v>100</v>
      </c>
      <c r="E346" t="s">
        <v>99</v>
      </c>
      <c r="F346" t="s">
        <v>12</v>
      </c>
      <c r="G346">
        <v>1</v>
      </c>
      <c r="H346">
        <v>305</v>
      </c>
      <c r="I346">
        <v>0.91044776119402904</v>
      </c>
      <c r="J346" s="25">
        <f t="shared" si="16"/>
        <v>0.91044776119402981</v>
      </c>
      <c r="K346">
        <v>3151</v>
      </c>
      <c r="L346">
        <v>12</v>
      </c>
      <c r="M346">
        <v>3.7938665823585198E-3</v>
      </c>
      <c r="N346" s="25">
        <f t="shared" si="15"/>
        <v>3.7938665823584738E-3</v>
      </c>
      <c r="O346">
        <v>0.99620613341764097</v>
      </c>
      <c r="P346" s="25">
        <f t="shared" si="17"/>
        <v>0.99620613341764153</v>
      </c>
      <c r="Q346">
        <v>30</v>
      </c>
      <c r="R346" t="s">
        <v>124</v>
      </c>
      <c r="S346" t="s">
        <v>124</v>
      </c>
      <c r="T346" t="s">
        <v>124</v>
      </c>
      <c r="U346" t="s">
        <v>124</v>
      </c>
      <c r="X346" s="19">
        <f>J346</f>
        <v>0.91044776119402981</v>
      </c>
      <c r="Y346" s="19">
        <f>N346</f>
        <v>3.7938665823584738E-3</v>
      </c>
      <c r="Z346" s="26">
        <f>(L346+Q346)/(L346+Q346+H346+K346)</f>
        <v>1.2006861063464836E-2</v>
      </c>
    </row>
    <row r="347" spans="1:26" x14ac:dyDescent="0.35">
      <c r="A347" t="s">
        <v>122</v>
      </c>
      <c r="B347" t="s">
        <v>122</v>
      </c>
      <c r="C347" t="s">
        <v>123</v>
      </c>
      <c r="D347" t="s">
        <v>100</v>
      </c>
      <c r="E347" t="s">
        <v>99</v>
      </c>
      <c r="F347" t="s">
        <v>12</v>
      </c>
      <c r="G347">
        <v>1</v>
      </c>
      <c r="H347">
        <v>305</v>
      </c>
      <c r="I347">
        <v>0.91044776119402904</v>
      </c>
      <c r="J347" s="25">
        <f t="shared" si="16"/>
        <v>0.91044776119402981</v>
      </c>
      <c r="K347">
        <v>3151</v>
      </c>
      <c r="L347">
        <v>12</v>
      </c>
      <c r="M347">
        <v>3.7938665823585198E-3</v>
      </c>
      <c r="N347" s="25">
        <f t="shared" si="15"/>
        <v>3.7938665823584738E-3</v>
      </c>
      <c r="O347">
        <v>0.99620613341764097</v>
      </c>
      <c r="P347" s="25">
        <f t="shared" si="17"/>
        <v>0.99620613341764153</v>
      </c>
      <c r="Q347">
        <v>30</v>
      </c>
      <c r="R347" t="s">
        <v>124</v>
      </c>
      <c r="S347" t="s">
        <v>124</v>
      </c>
      <c r="T347" t="s">
        <v>124</v>
      </c>
      <c r="U347" t="s">
        <v>124</v>
      </c>
      <c r="X347" s="19">
        <f>J347</f>
        <v>0.91044776119402981</v>
      </c>
      <c r="Y347" s="19">
        <f>N347</f>
        <v>3.7938665823584738E-3</v>
      </c>
      <c r="Z347" s="26">
        <f>(L347+Q347)/(L347+Q347+H347+K347)</f>
        <v>1.2006861063464836E-2</v>
      </c>
    </row>
    <row r="348" spans="1:26" x14ac:dyDescent="0.35">
      <c r="A348" t="s">
        <v>122</v>
      </c>
      <c r="B348" t="s">
        <v>122</v>
      </c>
      <c r="C348" t="s">
        <v>123</v>
      </c>
      <c r="D348" t="s">
        <v>100</v>
      </c>
      <c r="E348" t="s">
        <v>99</v>
      </c>
      <c r="F348" t="s">
        <v>12</v>
      </c>
      <c r="G348">
        <v>1</v>
      </c>
      <c r="H348">
        <v>305</v>
      </c>
      <c r="I348">
        <v>0.91044776119402904</v>
      </c>
      <c r="J348" s="25">
        <f t="shared" si="16"/>
        <v>0.91044776119402981</v>
      </c>
      <c r="K348">
        <v>3151</v>
      </c>
      <c r="L348">
        <v>12</v>
      </c>
      <c r="M348">
        <v>3.7938665823585198E-3</v>
      </c>
      <c r="N348" s="25">
        <f t="shared" si="15"/>
        <v>3.7938665823584738E-3</v>
      </c>
      <c r="O348">
        <v>0.99620613341764097</v>
      </c>
      <c r="P348" s="25">
        <f t="shared" si="17"/>
        <v>0.99620613341764153</v>
      </c>
      <c r="Q348">
        <v>30</v>
      </c>
      <c r="R348" t="s">
        <v>124</v>
      </c>
      <c r="S348" t="s">
        <v>124</v>
      </c>
      <c r="T348" t="s">
        <v>124</v>
      </c>
      <c r="U348" t="s">
        <v>124</v>
      </c>
      <c r="X348" s="19">
        <f>J348</f>
        <v>0.91044776119402981</v>
      </c>
      <c r="Y348" s="19">
        <f>N348</f>
        <v>3.7938665823584738E-3</v>
      </c>
      <c r="Z348" s="26">
        <f>(L348+Q348)/(L348+Q348+H348+K348)</f>
        <v>1.2006861063464836E-2</v>
      </c>
    </row>
    <row r="349" spans="1:26" x14ac:dyDescent="0.35">
      <c r="A349" t="s">
        <v>122</v>
      </c>
      <c r="B349" t="s">
        <v>122</v>
      </c>
      <c r="C349" t="s">
        <v>123</v>
      </c>
      <c r="D349" t="s">
        <v>100</v>
      </c>
      <c r="E349" t="s">
        <v>99</v>
      </c>
      <c r="F349" t="s">
        <v>12</v>
      </c>
      <c r="G349">
        <v>1</v>
      </c>
      <c r="H349">
        <v>305</v>
      </c>
      <c r="I349">
        <v>0.91044776119402904</v>
      </c>
      <c r="J349" s="25">
        <f t="shared" si="16"/>
        <v>0.91044776119402981</v>
      </c>
      <c r="K349">
        <v>3151</v>
      </c>
      <c r="L349">
        <v>12</v>
      </c>
      <c r="M349">
        <v>3.7938665823585198E-3</v>
      </c>
      <c r="N349" s="25">
        <f t="shared" si="15"/>
        <v>3.7938665823584738E-3</v>
      </c>
      <c r="O349">
        <v>0.99620613341764097</v>
      </c>
      <c r="P349" s="25">
        <f t="shared" si="17"/>
        <v>0.99620613341764153</v>
      </c>
      <c r="Q349">
        <v>30</v>
      </c>
      <c r="R349" t="s">
        <v>124</v>
      </c>
      <c r="S349" t="s">
        <v>124</v>
      </c>
      <c r="T349" t="s">
        <v>124</v>
      </c>
      <c r="U349" t="s">
        <v>124</v>
      </c>
      <c r="X349" s="19">
        <f>J349</f>
        <v>0.91044776119402981</v>
      </c>
      <c r="Y349" s="19">
        <f>N349</f>
        <v>3.7938665823584738E-3</v>
      </c>
      <c r="Z349" s="26">
        <f>(L349+Q349)/(L349+Q349+H349+K349)</f>
        <v>1.2006861063464836E-2</v>
      </c>
    </row>
    <row r="350" spans="1:26" x14ac:dyDescent="0.35">
      <c r="A350" t="s">
        <v>122</v>
      </c>
      <c r="B350" t="s">
        <v>122</v>
      </c>
      <c r="C350" t="s">
        <v>123</v>
      </c>
      <c r="D350" t="s">
        <v>100</v>
      </c>
      <c r="E350" t="s">
        <v>99</v>
      </c>
      <c r="F350" t="s">
        <v>12</v>
      </c>
      <c r="G350">
        <v>1</v>
      </c>
      <c r="H350">
        <v>305</v>
      </c>
      <c r="I350">
        <v>0.91044776119402904</v>
      </c>
      <c r="J350" s="25">
        <f t="shared" si="16"/>
        <v>0.91044776119402981</v>
      </c>
      <c r="K350">
        <v>3151</v>
      </c>
      <c r="L350">
        <v>12</v>
      </c>
      <c r="M350">
        <v>3.7938665823585198E-3</v>
      </c>
      <c r="N350" s="25">
        <f t="shared" si="15"/>
        <v>3.7938665823584738E-3</v>
      </c>
      <c r="O350">
        <v>0.99620613341764097</v>
      </c>
      <c r="P350" s="25">
        <f t="shared" si="17"/>
        <v>0.99620613341764153</v>
      </c>
      <c r="Q350">
        <v>30</v>
      </c>
      <c r="R350" t="s">
        <v>124</v>
      </c>
      <c r="S350" t="s">
        <v>124</v>
      </c>
      <c r="T350" t="s">
        <v>124</v>
      </c>
      <c r="U350" t="s">
        <v>124</v>
      </c>
      <c r="X350" s="19">
        <f>J350</f>
        <v>0.91044776119402981</v>
      </c>
      <c r="Y350" s="19">
        <f>N350</f>
        <v>3.7938665823584738E-3</v>
      </c>
      <c r="Z350" s="26">
        <f>(L350+Q350)/(L350+Q350+H350+K350)</f>
        <v>1.2006861063464836E-2</v>
      </c>
    </row>
    <row r="351" spans="1:26" x14ac:dyDescent="0.35">
      <c r="A351" t="s">
        <v>122</v>
      </c>
      <c r="B351" t="s">
        <v>122</v>
      </c>
      <c r="C351" t="s">
        <v>123</v>
      </c>
      <c r="D351" t="s">
        <v>100</v>
      </c>
      <c r="E351" t="s">
        <v>99</v>
      </c>
      <c r="F351" t="s">
        <v>12</v>
      </c>
      <c r="G351">
        <v>1</v>
      </c>
      <c r="H351">
        <v>305</v>
      </c>
      <c r="I351">
        <v>0.91044776119402904</v>
      </c>
      <c r="J351" s="25">
        <f t="shared" si="16"/>
        <v>0.91044776119402981</v>
      </c>
      <c r="K351">
        <v>3151</v>
      </c>
      <c r="L351">
        <v>12</v>
      </c>
      <c r="M351">
        <v>3.7938665823585198E-3</v>
      </c>
      <c r="N351" s="25">
        <f t="shared" si="15"/>
        <v>3.7938665823584738E-3</v>
      </c>
      <c r="O351">
        <v>0.99620613341764097</v>
      </c>
      <c r="P351" s="25">
        <f t="shared" si="17"/>
        <v>0.99620613341764153</v>
      </c>
      <c r="Q351">
        <v>30</v>
      </c>
      <c r="R351" t="s">
        <v>124</v>
      </c>
      <c r="S351" t="s">
        <v>124</v>
      </c>
      <c r="T351" t="s">
        <v>124</v>
      </c>
      <c r="U351" t="s">
        <v>124</v>
      </c>
      <c r="X351" s="19">
        <f>J351</f>
        <v>0.91044776119402981</v>
      </c>
      <c r="Y351" s="19">
        <f>N351</f>
        <v>3.7938665823584738E-3</v>
      </c>
      <c r="Z351" s="26">
        <f>(L351+Q351)/(L351+Q351+H351+K351)</f>
        <v>1.2006861063464836E-2</v>
      </c>
    </row>
    <row r="352" spans="1:26" x14ac:dyDescent="0.35">
      <c r="A352" t="s">
        <v>122</v>
      </c>
      <c r="B352" t="s">
        <v>122</v>
      </c>
      <c r="C352" t="s">
        <v>123</v>
      </c>
      <c r="D352" t="s">
        <v>100</v>
      </c>
      <c r="E352" t="s">
        <v>99</v>
      </c>
      <c r="F352" t="s">
        <v>12</v>
      </c>
      <c r="G352">
        <v>1</v>
      </c>
      <c r="H352">
        <v>305</v>
      </c>
      <c r="I352">
        <v>0.91044776119402904</v>
      </c>
      <c r="J352" s="25">
        <f t="shared" si="16"/>
        <v>0.91044776119402981</v>
      </c>
      <c r="K352">
        <v>3151</v>
      </c>
      <c r="L352">
        <v>12</v>
      </c>
      <c r="M352">
        <v>3.7938665823585198E-3</v>
      </c>
      <c r="N352" s="25">
        <f t="shared" si="15"/>
        <v>3.7938665823584738E-3</v>
      </c>
      <c r="O352">
        <v>0.99620613341764097</v>
      </c>
      <c r="P352" s="25">
        <f t="shared" si="17"/>
        <v>0.99620613341764153</v>
      </c>
      <c r="Q352">
        <v>30</v>
      </c>
      <c r="R352" t="s">
        <v>124</v>
      </c>
      <c r="S352" t="s">
        <v>124</v>
      </c>
      <c r="T352" t="s">
        <v>124</v>
      </c>
      <c r="U352" t="s">
        <v>124</v>
      </c>
      <c r="X352" s="19">
        <f>J352</f>
        <v>0.91044776119402981</v>
      </c>
      <c r="Y352" s="19">
        <f>N352</f>
        <v>3.7938665823584738E-3</v>
      </c>
      <c r="Z352" s="26">
        <f>(L352+Q352)/(L352+Q352+H352+K352)</f>
        <v>1.2006861063464836E-2</v>
      </c>
    </row>
    <row r="353" spans="1:26" x14ac:dyDescent="0.35">
      <c r="A353" t="s">
        <v>122</v>
      </c>
      <c r="B353" t="s">
        <v>122</v>
      </c>
      <c r="C353" t="s">
        <v>123</v>
      </c>
      <c r="D353" t="s">
        <v>100</v>
      </c>
      <c r="E353" t="s">
        <v>99</v>
      </c>
      <c r="F353" t="s">
        <v>12</v>
      </c>
      <c r="G353">
        <v>1</v>
      </c>
      <c r="H353">
        <v>305</v>
      </c>
      <c r="I353">
        <v>0.91044776119402904</v>
      </c>
      <c r="J353" s="25">
        <f t="shared" si="16"/>
        <v>0.91044776119402981</v>
      </c>
      <c r="K353">
        <v>3151</v>
      </c>
      <c r="L353">
        <v>12</v>
      </c>
      <c r="M353">
        <v>3.7938665823585198E-3</v>
      </c>
      <c r="N353" s="25">
        <f t="shared" si="15"/>
        <v>3.7938665823584738E-3</v>
      </c>
      <c r="O353">
        <v>0.99620613341764097</v>
      </c>
      <c r="P353" s="25">
        <f t="shared" si="17"/>
        <v>0.99620613341764153</v>
      </c>
      <c r="Q353">
        <v>30</v>
      </c>
      <c r="R353" t="s">
        <v>124</v>
      </c>
      <c r="S353" t="s">
        <v>124</v>
      </c>
      <c r="T353" t="s">
        <v>124</v>
      </c>
      <c r="U353" t="s">
        <v>124</v>
      </c>
      <c r="X353" s="19">
        <f>J353</f>
        <v>0.91044776119402981</v>
      </c>
      <c r="Y353" s="19">
        <f>N353</f>
        <v>3.7938665823584738E-3</v>
      </c>
      <c r="Z353" s="26">
        <f>(L353+Q353)/(L353+Q353+H353+K353)</f>
        <v>1.2006861063464836E-2</v>
      </c>
    </row>
    <row r="354" spans="1:26" x14ac:dyDescent="0.35">
      <c r="A354" t="s">
        <v>122</v>
      </c>
      <c r="B354" t="s">
        <v>122</v>
      </c>
      <c r="C354" t="s">
        <v>123</v>
      </c>
      <c r="D354" t="s">
        <v>100</v>
      </c>
      <c r="E354" t="s">
        <v>99</v>
      </c>
      <c r="F354" t="s">
        <v>12</v>
      </c>
      <c r="G354">
        <v>1</v>
      </c>
      <c r="H354">
        <v>305</v>
      </c>
      <c r="I354">
        <v>0.91044776119402904</v>
      </c>
      <c r="J354" s="25">
        <f t="shared" si="16"/>
        <v>0.91044776119402981</v>
      </c>
      <c r="K354">
        <v>3151</v>
      </c>
      <c r="L354">
        <v>12</v>
      </c>
      <c r="M354">
        <v>3.7938665823585198E-3</v>
      </c>
      <c r="N354" s="25">
        <f t="shared" si="15"/>
        <v>3.7938665823584738E-3</v>
      </c>
      <c r="O354">
        <v>0.99620613341764097</v>
      </c>
      <c r="P354" s="25">
        <f t="shared" si="17"/>
        <v>0.99620613341764153</v>
      </c>
      <c r="Q354">
        <v>30</v>
      </c>
      <c r="R354" t="s">
        <v>124</v>
      </c>
      <c r="S354" t="s">
        <v>124</v>
      </c>
      <c r="T354" t="s">
        <v>124</v>
      </c>
      <c r="U354" t="s">
        <v>124</v>
      </c>
      <c r="X354" s="19">
        <f>J354</f>
        <v>0.91044776119402981</v>
      </c>
      <c r="Y354" s="19">
        <f>N354</f>
        <v>3.7938665823584738E-3</v>
      </c>
      <c r="Z354" s="26">
        <f>(L354+Q354)/(L354+Q354+H354+K354)</f>
        <v>1.2006861063464836E-2</v>
      </c>
    </row>
    <row r="355" spans="1:26" x14ac:dyDescent="0.35">
      <c r="A355" t="s">
        <v>122</v>
      </c>
      <c r="B355" t="s">
        <v>122</v>
      </c>
      <c r="C355" t="s">
        <v>123</v>
      </c>
      <c r="D355" t="s">
        <v>100</v>
      </c>
      <c r="E355" t="s">
        <v>99</v>
      </c>
      <c r="F355" t="s">
        <v>12</v>
      </c>
      <c r="G355">
        <v>1</v>
      </c>
      <c r="H355">
        <v>305</v>
      </c>
      <c r="I355">
        <v>0.91044776119402904</v>
      </c>
      <c r="J355" s="25">
        <f t="shared" si="16"/>
        <v>0.91044776119402981</v>
      </c>
      <c r="K355">
        <v>3151</v>
      </c>
      <c r="L355">
        <v>12</v>
      </c>
      <c r="M355">
        <v>3.7938665823585198E-3</v>
      </c>
      <c r="N355" s="25">
        <f t="shared" si="15"/>
        <v>3.7938665823584738E-3</v>
      </c>
      <c r="O355">
        <v>0.99620613341764097</v>
      </c>
      <c r="P355" s="25">
        <f t="shared" si="17"/>
        <v>0.99620613341764153</v>
      </c>
      <c r="Q355">
        <v>30</v>
      </c>
      <c r="R355" t="s">
        <v>124</v>
      </c>
      <c r="S355" t="s">
        <v>124</v>
      </c>
      <c r="T355" t="s">
        <v>124</v>
      </c>
      <c r="U355" t="s">
        <v>124</v>
      </c>
      <c r="X355" s="19">
        <f>J355</f>
        <v>0.91044776119402981</v>
      </c>
      <c r="Y355" s="19">
        <f>N355</f>
        <v>3.7938665823584738E-3</v>
      </c>
      <c r="Z355" s="26">
        <f>(L355+Q355)/(L355+Q355+H355+K355)</f>
        <v>1.2006861063464836E-2</v>
      </c>
    </row>
    <row r="356" spans="1:26" x14ac:dyDescent="0.35">
      <c r="A356" t="s">
        <v>122</v>
      </c>
      <c r="B356" t="s">
        <v>122</v>
      </c>
      <c r="C356" t="s">
        <v>123</v>
      </c>
      <c r="D356" t="s">
        <v>100</v>
      </c>
      <c r="E356" t="s">
        <v>99</v>
      </c>
      <c r="F356" t="s">
        <v>12</v>
      </c>
      <c r="G356">
        <v>1</v>
      </c>
      <c r="H356">
        <v>305</v>
      </c>
      <c r="I356">
        <v>0.91044776119402904</v>
      </c>
      <c r="J356" s="25">
        <f t="shared" si="16"/>
        <v>0.91044776119402981</v>
      </c>
      <c r="K356">
        <v>3151</v>
      </c>
      <c r="L356">
        <v>12</v>
      </c>
      <c r="M356">
        <v>3.7938665823585198E-3</v>
      </c>
      <c r="N356" s="25">
        <f t="shared" si="15"/>
        <v>3.7938665823584738E-3</v>
      </c>
      <c r="O356">
        <v>0.99620613341764097</v>
      </c>
      <c r="P356" s="25">
        <f t="shared" si="17"/>
        <v>0.99620613341764153</v>
      </c>
      <c r="Q356">
        <v>30</v>
      </c>
      <c r="R356" t="s">
        <v>124</v>
      </c>
      <c r="S356" t="s">
        <v>124</v>
      </c>
      <c r="T356" t="s">
        <v>124</v>
      </c>
      <c r="U356" t="s">
        <v>124</v>
      </c>
      <c r="X356" s="19">
        <f>J356</f>
        <v>0.91044776119402981</v>
      </c>
      <c r="Y356" s="19">
        <f>N356</f>
        <v>3.7938665823584738E-3</v>
      </c>
      <c r="Z356" s="26">
        <f>(L356+Q356)/(L356+Q356+H356+K356)</f>
        <v>1.2006861063464836E-2</v>
      </c>
    </row>
    <row r="357" spans="1:26" x14ac:dyDescent="0.35">
      <c r="A357" t="s">
        <v>122</v>
      </c>
      <c r="B357" t="s">
        <v>122</v>
      </c>
      <c r="C357" t="s">
        <v>123</v>
      </c>
      <c r="D357" t="s">
        <v>100</v>
      </c>
      <c r="E357" t="s">
        <v>99</v>
      </c>
      <c r="F357" t="s">
        <v>12</v>
      </c>
      <c r="G357">
        <v>1</v>
      </c>
      <c r="H357">
        <v>305</v>
      </c>
      <c r="I357">
        <v>0.91044776119402904</v>
      </c>
      <c r="J357" s="25">
        <f t="shared" si="16"/>
        <v>0.91044776119402981</v>
      </c>
      <c r="K357">
        <v>3151</v>
      </c>
      <c r="L357">
        <v>12</v>
      </c>
      <c r="M357">
        <v>3.7938665823585198E-3</v>
      </c>
      <c r="N357" s="25">
        <f t="shared" si="15"/>
        <v>3.7938665823584738E-3</v>
      </c>
      <c r="O357">
        <v>0.99620613341764097</v>
      </c>
      <c r="P357" s="25">
        <f t="shared" si="17"/>
        <v>0.99620613341764153</v>
      </c>
      <c r="Q357">
        <v>30</v>
      </c>
      <c r="R357" t="s">
        <v>124</v>
      </c>
      <c r="S357" t="s">
        <v>124</v>
      </c>
      <c r="T357" t="s">
        <v>124</v>
      </c>
      <c r="U357" t="s">
        <v>124</v>
      </c>
      <c r="X357" s="19">
        <f>J357</f>
        <v>0.91044776119402981</v>
      </c>
      <c r="Y357" s="19">
        <f>N357</f>
        <v>3.7938665823584738E-3</v>
      </c>
      <c r="Z357" s="26">
        <f>(L357+Q357)/(L357+Q357+H357+K357)</f>
        <v>1.2006861063464836E-2</v>
      </c>
    </row>
    <row r="358" spans="1:26" x14ac:dyDescent="0.35">
      <c r="A358" t="s">
        <v>122</v>
      </c>
      <c r="B358" t="s">
        <v>122</v>
      </c>
      <c r="C358" t="s">
        <v>123</v>
      </c>
      <c r="D358" t="s">
        <v>100</v>
      </c>
      <c r="E358" t="s">
        <v>99</v>
      </c>
      <c r="F358" t="s">
        <v>12</v>
      </c>
      <c r="G358">
        <v>1</v>
      </c>
      <c r="H358">
        <v>305</v>
      </c>
      <c r="I358">
        <v>0.91044776119402904</v>
      </c>
      <c r="J358" s="25">
        <f t="shared" si="16"/>
        <v>0.91044776119402981</v>
      </c>
      <c r="K358">
        <v>3151</v>
      </c>
      <c r="L358">
        <v>12</v>
      </c>
      <c r="M358">
        <v>3.7938665823585198E-3</v>
      </c>
      <c r="N358" s="25">
        <f t="shared" si="15"/>
        <v>3.7938665823584738E-3</v>
      </c>
      <c r="O358">
        <v>0.99620613341764097</v>
      </c>
      <c r="P358" s="25">
        <f t="shared" si="17"/>
        <v>0.99620613341764153</v>
      </c>
      <c r="Q358">
        <v>30</v>
      </c>
      <c r="R358" t="s">
        <v>124</v>
      </c>
      <c r="S358" t="s">
        <v>124</v>
      </c>
      <c r="T358" t="s">
        <v>124</v>
      </c>
      <c r="U358" t="s">
        <v>124</v>
      </c>
      <c r="X358" s="19">
        <f>J358</f>
        <v>0.91044776119402981</v>
      </c>
      <c r="Y358" s="19">
        <f>N358</f>
        <v>3.7938665823584738E-3</v>
      </c>
      <c r="Z358" s="26">
        <f>(L358+Q358)/(L358+Q358+H358+K358)</f>
        <v>1.2006861063464836E-2</v>
      </c>
    </row>
    <row r="359" spans="1:26" x14ac:dyDescent="0.35">
      <c r="A359" t="s">
        <v>122</v>
      </c>
      <c r="B359" t="s">
        <v>122</v>
      </c>
      <c r="C359" t="s">
        <v>123</v>
      </c>
      <c r="D359" t="s">
        <v>100</v>
      </c>
      <c r="E359" t="s">
        <v>99</v>
      </c>
      <c r="F359" t="s">
        <v>12</v>
      </c>
      <c r="G359">
        <v>1</v>
      </c>
      <c r="H359">
        <v>305</v>
      </c>
      <c r="I359">
        <v>0.91044776119402904</v>
      </c>
      <c r="J359" s="25">
        <f t="shared" si="16"/>
        <v>0.91044776119402981</v>
      </c>
      <c r="K359">
        <v>3151</v>
      </c>
      <c r="L359">
        <v>12</v>
      </c>
      <c r="M359">
        <v>3.7938665823585198E-3</v>
      </c>
      <c r="N359" s="25">
        <f t="shared" si="15"/>
        <v>3.7938665823584738E-3</v>
      </c>
      <c r="O359">
        <v>0.99620613341764097</v>
      </c>
      <c r="P359" s="25">
        <f t="shared" si="17"/>
        <v>0.99620613341764153</v>
      </c>
      <c r="Q359">
        <v>30</v>
      </c>
      <c r="R359" t="s">
        <v>124</v>
      </c>
      <c r="S359" t="s">
        <v>124</v>
      </c>
      <c r="T359" t="s">
        <v>124</v>
      </c>
      <c r="U359" t="s">
        <v>124</v>
      </c>
      <c r="X359" s="19">
        <f>J359</f>
        <v>0.91044776119402981</v>
      </c>
      <c r="Y359" s="19">
        <f>N359</f>
        <v>3.7938665823584738E-3</v>
      </c>
      <c r="Z359" s="26">
        <f>(L359+Q359)/(L359+Q359+H359+K359)</f>
        <v>1.2006861063464836E-2</v>
      </c>
    </row>
    <row r="360" spans="1:26" x14ac:dyDescent="0.35">
      <c r="A360" t="s">
        <v>122</v>
      </c>
      <c r="B360" t="s">
        <v>122</v>
      </c>
      <c r="C360" t="s">
        <v>123</v>
      </c>
      <c r="D360" t="s">
        <v>100</v>
      </c>
      <c r="E360" t="s">
        <v>99</v>
      </c>
      <c r="F360" t="s">
        <v>12</v>
      </c>
      <c r="G360">
        <v>1</v>
      </c>
      <c r="H360">
        <v>305</v>
      </c>
      <c r="I360">
        <v>0.91044776119402904</v>
      </c>
      <c r="J360" s="25">
        <f t="shared" si="16"/>
        <v>0.91044776119402981</v>
      </c>
      <c r="K360">
        <v>3151</v>
      </c>
      <c r="L360">
        <v>12</v>
      </c>
      <c r="M360">
        <v>3.7938665823585198E-3</v>
      </c>
      <c r="N360" s="25">
        <f t="shared" si="15"/>
        <v>3.7938665823584738E-3</v>
      </c>
      <c r="O360">
        <v>0.99620613341764097</v>
      </c>
      <c r="P360" s="25">
        <f t="shared" si="17"/>
        <v>0.99620613341764153</v>
      </c>
      <c r="Q360">
        <v>30</v>
      </c>
      <c r="R360" t="s">
        <v>124</v>
      </c>
      <c r="S360" t="s">
        <v>124</v>
      </c>
      <c r="T360" t="s">
        <v>124</v>
      </c>
      <c r="U360" t="s">
        <v>124</v>
      </c>
      <c r="X360" s="19">
        <f>J360</f>
        <v>0.91044776119402981</v>
      </c>
      <c r="Y360" s="19">
        <f>N360</f>
        <v>3.7938665823584738E-3</v>
      </c>
      <c r="Z360" s="26">
        <f>(L360+Q360)/(L360+Q360+H360+K360)</f>
        <v>1.2006861063464836E-2</v>
      </c>
    </row>
    <row r="361" spans="1:26" x14ac:dyDescent="0.35">
      <c r="A361" t="s">
        <v>122</v>
      </c>
      <c r="B361" t="s">
        <v>122</v>
      </c>
      <c r="C361" t="s">
        <v>123</v>
      </c>
      <c r="D361" t="s">
        <v>100</v>
      </c>
      <c r="E361" t="s">
        <v>99</v>
      </c>
      <c r="F361" t="s">
        <v>12</v>
      </c>
      <c r="G361">
        <v>1</v>
      </c>
      <c r="H361">
        <v>305</v>
      </c>
      <c r="I361">
        <v>0.91044776119402904</v>
      </c>
      <c r="J361" s="25">
        <f t="shared" si="16"/>
        <v>0.91044776119402981</v>
      </c>
      <c r="K361">
        <v>3151</v>
      </c>
      <c r="L361">
        <v>12</v>
      </c>
      <c r="M361">
        <v>3.7938665823585198E-3</v>
      </c>
      <c r="N361" s="25">
        <f t="shared" si="15"/>
        <v>3.7938665823584738E-3</v>
      </c>
      <c r="O361">
        <v>0.99620613341764097</v>
      </c>
      <c r="P361" s="25">
        <f t="shared" si="17"/>
        <v>0.99620613341764153</v>
      </c>
      <c r="Q361">
        <v>30</v>
      </c>
      <c r="R361" t="s">
        <v>124</v>
      </c>
      <c r="S361" t="s">
        <v>124</v>
      </c>
      <c r="T361" t="s">
        <v>124</v>
      </c>
      <c r="U361" t="s">
        <v>124</v>
      </c>
      <c r="X361" s="19">
        <f>J361</f>
        <v>0.91044776119402981</v>
      </c>
      <c r="Y361" s="19">
        <f>N361</f>
        <v>3.7938665823584738E-3</v>
      </c>
      <c r="Z361" s="26">
        <f>(L361+Q361)/(L361+Q361+H361+K361)</f>
        <v>1.2006861063464836E-2</v>
      </c>
    </row>
    <row r="362" spans="1:26" x14ac:dyDescent="0.35">
      <c r="A362" t="s">
        <v>122</v>
      </c>
      <c r="B362" t="s">
        <v>122</v>
      </c>
      <c r="C362" t="s">
        <v>123</v>
      </c>
      <c r="D362" t="s">
        <v>100</v>
      </c>
      <c r="E362" t="s">
        <v>99</v>
      </c>
      <c r="F362" t="s">
        <v>12</v>
      </c>
      <c r="G362">
        <v>1</v>
      </c>
      <c r="H362">
        <v>305</v>
      </c>
      <c r="I362">
        <v>0.91044776119402904</v>
      </c>
      <c r="J362" s="25">
        <f t="shared" si="16"/>
        <v>0.91044776119402981</v>
      </c>
      <c r="K362">
        <v>3151</v>
      </c>
      <c r="L362">
        <v>12</v>
      </c>
      <c r="M362">
        <v>3.7938665823585198E-3</v>
      </c>
      <c r="N362" s="25">
        <f t="shared" si="15"/>
        <v>3.7938665823584738E-3</v>
      </c>
      <c r="O362">
        <v>0.99620613341764097</v>
      </c>
      <c r="P362" s="25">
        <f t="shared" si="17"/>
        <v>0.99620613341764153</v>
      </c>
      <c r="Q362">
        <v>30</v>
      </c>
      <c r="R362" t="s">
        <v>124</v>
      </c>
      <c r="S362" t="s">
        <v>124</v>
      </c>
      <c r="T362" t="s">
        <v>124</v>
      </c>
      <c r="U362" t="s">
        <v>124</v>
      </c>
      <c r="X362" s="19">
        <f>J362</f>
        <v>0.91044776119402981</v>
      </c>
      <c r="Y362" s="19">
        <f>N362</f>
        <v>3.7938665823584738E-3</v>
      </c>
      <c r="Z362" s="26">
        <f>(L362+Q362)/(L362+Q362+H362+K362)</f>
        <v>1.2006861063464836E-2</v>
      </c>
    </row>
    <row r="363" spans="1:26" x14ac:dyDescent="0.35">
      <c r="A363" t="s">
        <v>122</v>
      </c>
      <c r="B363" t="s">
        <v>122</v>
      </c>
      <c r="C363" t="s">
        <v>123</v>
      </c>
      <c r="D363" t="s">
        <v>100</v>
      </c>
      <c r="E363" t="s">
        <v>99</v>
      </c>
      <c r="F363" t="s">
        <v>12</v>
      </c>
      <c r="G363">
        <v>1</v>
      </c>
      <c r="H363">
        <v>305</v>
      </c>
      <c r="I363">
        <v>0.91044776119402904</v>
      </c>
      <c r="J363" s="25">
        <f t="shared" si="16"/>
        <v>0.91044776119402981</v>
      </c>
      <c r="K363">
        <v>3151</v>
      </c>
      <c r="L363">
        <v>12</v>
      </c>
      <c r="M363">
        <v>3.7938665823585198E-3</v>
      </c>
      <c r="N363" s="25">
        <f t="shared" si="15"/>
        <v>3.7938665823584738E-3</v>
      </c>
      <c r="O363">
        <v>0.99620613341764097</v>
      </c>
      <c r="P363" s="25">
        <f t="shared" si="17"/>
        <v>0.99620613341764153</v>
      </c>
      <c r="Q363">
        <v>30</v>
      </c>
      <c r="R363" t="s">
        <v>124</v>
      </c>
      <c r="S363" t="s">
        <v>124</v>
      </c>
      <c r="T363" t="s">
        <v>124</v>
      </c>
      <c r="U363" t="s">
        <v>124</v>
      </c>
      <c r="X363" s="19">
        <f>J363</f>
        <v>0.91044776119402981</v>
      </c>
      <c r="Y363" s="19">
        <f>N363</f>
        <v>3.7938665823584738E-3</v>
      </c>
      <c r="Z363" s="26">
        <f>(L363+Q363)/(L363+Q363+H363+K363)</f>
        <v>1.2006861063464836E-2</v>
      </c>
    </row>
    <row r="364" spans="1:26" x14ac:dyDescent="0.35">
      <c r="A364" t="s">
        <v>122</v>
      </c>
      <c r="B364" t="s">
        <v>122</v>
      </c>
      <c r="C364" t="s">
        <v>123</v>
      </c>
      <c r="D364" t="s">
        <v>100</v>
      </c>
      <c r="E364" t="s">
        <v>99</v>
      </c>
      <c r="F364" t="s">
        <v>12</v>
      </c>
      <c r="G364">
        <v>1</v>
      </c>
      <c r="H364">
        <v>305</v>
      </c>
      <c r="I364">
        <v>0.91044776119402904</v>
      </c>
      <c r="J364" s="25">
        <f t="shared" si="16"/>
        <v>0.91044776119402981</v>
      </c>
      <c r="K364">
        <v>3151</v>
      </c>
      <c r="L364">
        <v>12</v>
      </c>
      <c r="M364">
        <v>3.7938665823585198E-3</v>
      </c>
      <c r="N364" s="25">
        <f t="shared" si="15"/>
        <v>3.7938665823584738E-3</v>
      </c>
      <c r="O364">
        <v>0.99620613341764097</v>
      </c>
      <c r="P364" s="25">
        <f t="shared" si="17"/>
        <v>0.99620613341764153</v>
      </c>
      <c r="Q364">
        <v>30</v>
      </c>
      <c r="R364" t="s">
        <v>124</v>
      </c>
      <c r="S364" t="s">
        <v>124</v>
      </c>
      <c r="T364" t="s">
        <v>124</v>
      </c>
      <c r="U364" t="s">
        <v>124</v>
      </c>
      <c r="X364" s="19">
        <f>J364</f>
        <v>0.91044776119402981</v>
      </c>
      <c r="Y364" s="19">
        <f>N364</f>
        <v>3.7938665823584738E-3</v>
      </c>
      <c r="Z364" s="26">
        <f>(L364+Q364)/(L364+Q364+H364+K364)</f>
        <v>1.2006861063464836E-2</v>
      </c>
    </row>
    <row r="365" spans="1:26" x14ac:dyDescent="0.35">
      <c r="A365" t="s">
        <v>122</v>
      </c>
      <c r="B365" t="s">
        <v>122</v>
      </c>
      <c r="C365" t="s">
        <v>123</v>
      </c>
      <c r="D365" t="s">
        <v>100</v>
      </c>
      <c r="E365" t="s">
        <v>99</v>
      </c>
      <c r="F365" t="s">
        <v>12</v>
      </c>
      <c r="G365">
        <v>1</v>
      </c>
      <c r="H365">
        <v>305</v>
      </c>
      <c r="I365">
        <v>0.91044776119402904</v>
      </c>
      <c r="J365" s="25">
        <f t="shared" si="16"/>
        <v>0.91044776119402981</v>
      </c>
      <c r="K365">
        <v>3151</v>
      </c>
      <c r="L365">
        <v>12</v>
      </c>
      <c r="M365">
        <v>3.7938665823585198E-3</v>
      </c>
      <c r="N365" s="25">
        <f t="shared" si="15"/>
        <v>3.7938665823584738E-3</v>
      </c>
      <c r="O365">
        <v>0.99620613341764097</v>
      </c>
      <c r="P365" s="25">
        <f t="shared" si="17"/>
        <v>0.99620613341764153</v>
      </c>
      <c r="Q365">
        <v>30</v>
      </c>
      <c r="R365" t="s">
        <v>124</v>
      </c>
      <c r="S365" t="s">
        <v>124</v>
      </c>
      <c r="T365" t="s">
        <v>124</v>
      </c>
      <c r="U365" t="s">
        <v>124</v>
      </c>
      <c r="X365" s="19">
        <f>J365</f>
        <v>0.91044776119402981</v>
      </c>
      <c r="Y365" s="19">
        <f>N365</f>
        <v>3.7938665823584738E-3</v>
      </c>
      <c r="Z365" s="26">
        <f>(L365+Q365)/(L365+Q365+H365+K365)</f>
        <v>1.2006861063464836E-2</v>
      </c>
    </row>
    <row r="366" spans="1:26" x14ac:dyDescent="0.35">
      <c r="A366" t="s">
        <v>122</v>
      </c>
      <c r="B366" t="s">
        <v>122</v>
      </c>
      <c r="C366" t="s">
        <v>123</v>
      </c>
      <c r="D366" t="s">
        <v>100</v>
      </c>
      <c r="E366" t="s">
        <v>99</v>
      </c>
      <c r="F366" t="s">
        <v>12</v>
      </c>
      <c r="G366">
        <v>1</v>
      </c>
      <c r="H366">
        <v>305</v>
      </c>
      <c r="I366">
        <v>0.91044776119402904</v>
      </c>
      <c r="J366" s="25">
        <f t="shared" si="16"/>
        <v>0.91044776119402981</v>
      </c>
      <c r="K366">
        <v>3151</v>
      </c>
      <c r="L366">
        <v>12</v>
      </c>
      <c r="M366">
        <v>3.7938665823585198E-3</v>
      </c>
      <c r="N366" s="25">
        <f t="shared" si="15"/>
        <v>3.7938665823584738E-3</v>
      </c>
      <c r="O366">
        <v>0.99620613341764097</v>
      </c>
      <c r="P366" s="25">
        <f t="shared" si="17"/>
        <v>0.99620613341764153</v>
      </c>
      <c r="Q366">
        <v>30</v>
      </c>
      <c r="R366" t="s">
        <v>124</v>
      </c>
      <c r="S366" t="s">
        <v>124</v>
      </c>
      <c r="T366" t="s">
        <v>124</v>
      </c>
      <c r="U366" t="s">
        <v>124</v>
      </c>
      <c r="X366" s="19">
        <f>J366</f>
        <v>0.91044776119402981</v>
      </c>
      <c r="Y366" s="19">
        <f>N366</f>
        <v>3.7938665823584738E-3</v>
      </c>
      <c r="Z366" s="26">
        <f>(L366+Q366)/(L366+Q366+H366+K366)</f>
        <v>1.2006861063464836E-2</v>
      </c>
    </row>
    <row r="367" spans="1:26" x14ac:dyDescent="0.35">
      <c r="A367" t="s">
        <v>122</v>
      </c>
      <c r="B367" t="s">
        <v>122</v>
      </c>
      <c r="C367" t="s">
        <v>123</v>
      </c>
      <c r="D367" t="s">
        <v>100</v>
      </c>
      <c r="E367" t="s">
        <v>99</v>
      </c>
      <c r="F367" t="s">
        <v>12</v>
      </c>
      <c r="G367">
        <v>1</v>
      </c>
      <c r="H367">
        <v>305</v>
      </c>
      <c r="I367">
        <v>0.91044776119402904</v>
      </c>
      <c r="J367" s="25">
        <f t="shared" si="16"/>
        <v>0.91044776119402981</v>
      </c>
      <c r="K367">
        <v>3151</v>
      </c>
      <c r="L367">
        <v>12</v>
      </c>
      <c r="M367">
        <v>3.7938665823585198E-3</v>
      </c>
      <c r="N367" s="25">
        <f t="shared" si="15"/>
        <v>3.7938665823584738E-3</v>
      </c>
      <c r="O367">
        <v>0.99620613341764097</v>
      </c>
      <c r="P367" s="25">
        <f t="shared" si="17"/>
        <v>0.99620613341764153</v>
      </c>
      <c r="Q367">
        <v>30</v>
      </c>
      <c r="R367" t="s">
        <v>124</v>
      </c>
      <c r="S367" t="s">
        <v>124</v>
      </c>
      <c r="T367" t="s">
        <v>124</v>
      </c>
      <c r="U367" t="s">
        <v>124</v>
      </c>
      <c r="X367" s="19">
        <f>J367</f>
        <v>0.91044776119402981</v>
      </c>
      <c r="Y367" s="19">
        <f>N367</f>
        <v>3.7938665823584738E-3</v>
      </c>
      <c r="Z367" s="26">
        <f>(L367+Q367)/(L367+Q367+H367+K367)</f>
        <v>1.2006861063464836E-2</v>
      </c>
    </row>
    <row r="368" spans="1:26" x14ac:dyDescent="0.35">
      <c r="A368" t="s">
        <v>122</v>
      </c>
      <c r="B368" t="s">
        <v>122</v>
      </c>
      <c r="C368" t="s">
        <v>123</v>
      </c>
      <c r="D368" t="s">
        <v>100</v>
      </c>
      <c r="E368" t="s">
        <v>99</v>
      </c>
      <c r="F368" t="s">
        <v>12</v>
      </c>
      <c r="G368">
        <v>1</v>
      </c>
      <c r="H368">
        <v>305</v>
      </c>
      <c r="I368">
        <v>0.91044776119402904</v>
      </c>
      <c r="J368" s="25">
        <f t="shared" si="16"/>
        <v>0.91044776119402981</v>
      </c>
      <c r="K368">
        <v>3151</v>
      </c>
      <c r="L368">
        <v>12</v>
      </c>
      <c r="M368">
        <v>3.7938665823585198E-3</v>
      </c>
      <c r="N368" s="25">
        <f t="shared" si="15"/>
        <v>3.7938665823584738E-3</v>
      </c>
      <c r="O368">
        <v>0.99620613341764097</v>
      </c>
      <c r="P368" s="25">
        <f t="shared" si="17"/>
        <v>0.99620613341764153</v>
      </c>
      <c r="Q368">
        <v>30</v>
      </c>
      <c r="R368" t="s">
        <v>124</v>
      </c>
      <c r="S368" t="s">
        <v>124</v>
      </c>
      <c r="T368" t="s">
        <v>124</v>
      </c>
      <c r="U368" t="s">
        <v>124</v>
      </c>
      <c r="X368" s="19">
        <f>J368</f>
        <v>0.91044776119402981</v>
      </c>
      <c r="Y368" s="19">
        <f>N368</f>
        <v>3.7938665823584738E-3</v>
      </c>
      <c r="Z368" s="26">
        <f>(L368+Q368)/(L368+Q368+H368+K368)</f>
        <v>1.2006861063464836E-2</v>
      </c>
    </row>
    <row r="369" spans="1:26" x14ac:dyDescent="0.35">
      <c r="A369" t="s">
        <v>122</v>
      </c>
      <c r="B369" t="s">
        <v>122</v>
      </c>
      <c r="C369" t="s">
        <v>123</v>
      </c>
      <c r="D369" t="s">
        <v>100</v>
      </c>
      <c r="E369" t="s">
        <v>99</v>
      </c>
      <c r="F369" t="s">
        <v>12</v>
      </c>
      <c r="G369">
        <v>1</v>
      </c>
      <c r="H369">
        <v>305</v>
      </c>
      <c r="I369">
        <v>0.91044776119402904</v>
      </c>
      <c r="J369" s="25">
        <f t="shared" si="16"/>
        <v>0.91044776119402981</v>
      </c>
      <c r="K369">
        <v>3151</v>
      </c>
      <c r="L369">
        <v>12</v>
      </c>
      <c r="M369">
        <v>3.7938665823585198E-3</v>
      </c>
      <c r="N369" s="25">
        <f t="shared" si="15"/>
        <v>3.7938665823584738E-3</v>
      </c>
      <c r="O369">
        <v>0.99620613341764097</v>
      </c>
      <c r="P369" s="25">
        <f t="shared" si="17"/>
        <v>0.99620613341764153</v>
      </c>
      <c r="Q369">
        <v>30</v>
      </c>
      <c r="R369" t="s">
        <v>124</v>
      </c>
      <c r="S369" t="s">
        <v>124</v>
      </c>
      <c r="T369" t="s">
        <v>124</v>
      </c>
      <c r="U369" t="s">
        <v>124</v>
      </c>
      <c r="X369" s="19">
        <f>J369</f>
        <v>0.91044776119402981</v>
      </c>
      <c r="Y369" s="19">
        <f>N369</f>
        <v>3.7938665823584738E-3</v>
      </c>
      <c r="Z369" s="26">
        <f>(L369+Q369)/(L369+Q369+H369+K369)</f>
        <v>1.2006861063464836E-2</v>
      </c>
    </row>
    <row r="370" spans="1:26" x14ac:dyDescent="0.35">
      <c r="A370" t="s">
        <v>122</v>
      </c>
      <c r="B370" t="s">
        <v>122</v>
      </c>
      <c r="C370" t="s">
        <v>123</v>
      </c>
      <c r="D370" t="s">
        <v>100</v>
      </c>
      <c r="E370" t="s">
        <v>99</v>
      </c>
      <c r="F370" t="s">
        <v>12</v>
      </c>
      <c r="G370">
        <v>1</v>
      </c>
      <c r="H370">
        <v>305</v>
      </c>
      <c r="I370">
        <v>0.91044776119402904</v>
      </c>
      <c r="J370" s="25">
        <f t="shared" si="16"/>
        <v>0.91044776119402981</v>
      </c>
      <c r="K370">
        <v>3151</v>
      </c>
      <c r="L370">
        <v>12</v>
      </c>
      <c r="M370">
        <v>3.7938665823585198E-3</v>
      </c>
      <c r="N370" s="25">
        <f t="shared" si="15"/>
        <v>3.7938665823584738E-3</v>
      </c>
      <c r="O370">
        <v>0.99620613341764097</v>
      </c>
      <c r="P370" s="25">
        <f t="shared" si="17"/>
        <v>0.99620613341764153</v>
      </c>
      <c r="Q370">
        <v>30</v>
      </c>
      <c r="R370" t="s">
        <v>124</v>
      </c>
      <c r="S370" t="s">
        <v>124</v>
      </c>
      <c r="T370" t="s">
        <v>124</v>
      </c>
      <c r="U370" t="s">
        <v>124</v>
      </c>
      <c r="X370" s="19">
        <f>J370</f>
        <v>0.91044776119402981</v>
      </c>
      <c r="Y370" s="19">
        <f>N370</f>
        <v>3.7938665823584738E-3</v>
      </c>
      <c r="Z370" s="26">
        <f>(L370+Q370)/(L370+Q370+H370+K370)</f>
        <v>1.2006861063464836E-2</v>
      </c>
    </row>
    <row r="371" spans="1:26" x14ac:dyDescent="0.35">
      <c r="A371" t="s">
        <v>122</v>
      </c>
      <c r="B371" t="s">
        <v>122</v>
      </c>
      <c r="C371" t="s">
        <v>123</v>
      </c>
      <c r="D371" t="s">
        <v>100</v>
      </c>
      <c r="E371" t="s">
        <v>99</v>
      </c>
      <c r="F371" t="s">
        <v>12</v>
      </c>
      <c r="G371">
        <v>1</v>
      </c>
      <c r="H371">
        <v>305</v>
      </c>
      <c r="I371">
        <v>0.91044776119402904</v>
      </c>
      <c r="J371" s="25">
        <f t="shared" si="16"/>
        <v>0.91044776119402981</v>
      </c>
      <c r="K371">
        <v>3151</v>
      </c>
      <c r="L371">
        <v>12</v>
      </c>
      <c r="M371">
        <v>3.7938665823585198E-3</v>
      </c>
      <c r="N371" s="25">
        <f t="shared" si="15"/>
        <v>3.7938665823584738E-3</v>
      </c>
      <c r="O371">
        <v>0.99620613341764097</v>
      </c>
      <c r="P371" s="25">
        <f t="shared" si="17"/>
        <v>0.99620613341764153</v>
      </c>
      <c r="Q371">
        <v>30</v>
      </c>
      <c r="R371" t="s">
        <v>124</v>
      </c>
      <c r="S371" t="s">
        <v>124</v>
      </c>
      <c r="T371" t="s">
        <v>124</v>
      </c>
      <c r="U371" t="s">
        <v>124</v>
      </c>
      <c r="X371" s="19">
        <f>J371</f>
        <v>0.91044776119402981</v>
      </c>
      <c r="Y371" s="19">
        <f>N371</f>
        <v>3.7938665823584738E-3</v>
      </c>
      <c r="Z371" s="26">
        <f>(L371+Q371)/(L371+Q371+H371+K371)</f>
        <v>1.2006861063464836E-2</v>
      </c>
    </row>
    <row r="372" spans="1:26" x14ac:dyDescent="0.35">
      <c r="A372" t="s">
        <v>122</v>
      </c>
      <c r="B372" t="s">
        <v>122</v>
      </c>
      <c r="C372" t="s">
        <v>123</v>
      </c>
      <c r="D372" t="s">
        <v>100</v>
      </c>
      <c r="E372" t="s">
        <v>99</v>
      </c>
      <c r="F372" t="s">
        <v>12</v>
      </c>
      <c r="G372">
        <v>1</v>
      </c>
      <c r="H372">
        <v>305</v>
      </c>
      <c r="I372">
        <v>0.91044776119402904</v>
      </c>
      <c r="J372" s="25">
        <f t="shared" si="16"/>
        <v>0.91044776119402981</v>
      </c>
      <c r="K372">
        <v>3151</v>
      </c>
      <c r="L372">
        <v>12</v>
      </c>
      <c r="M372">
        <v>3.7938665823585198E-3</v>
      </c>
      <c r="N372" s="25">
        <f t="shared" si="15"/>
        <v>3.7938665823584738E-3</v>
      </c>
      <c r="O372">
        <v>0.99620613341764097</v>
      </c>
      <c r="P372" s="25">
        <f t="shared" si="17"/>
        <v>0.99620613341764153</v>
      </c>
      <c r="Q372">
        <v>30</v>
      </c>
      <c r="R372" t="s">
        <v>124</v>
      </c>
      <c r="S372" t="s">
        <v>124</v>
      </c>
      <c r="T372" t="s">
        <v>124</v>
      </c>
      <c r="U372" t="s">
        <v>124</v>
      </c>
      <c r="X372" s="19">
        <f>J372</f>
        <v>0.91044776119402981</v>
      </c>
      <c r="Y372" s="19">
        <f>N372</f>
        <v>3.7938665823584738E-3</v>
      </c>
      <c r="Z372" s="26">
        <f>(L372+Q372)/(L372+Q372+H372+K372)</f>
        <v>1.2006861063464836E-2</v>
      </c>
    </row>
    <row r="373" spans="1:26" x14ac:dyDescent="0.35">
      <c r="A373" t="s">
        <v>122</v>
      </c>
      <c r="B373" t="s">
        <v>122</v>
      </c>
      <c r="C373" t="s">
        <v>123</v>
      </c>
      <c r="D373" t="s">
        <v>100</v>
      </c>
      <c r="E373" t="s">
        <v>99</v>
      </c>
      <c r="F373" t="s">
        <v>12</v>
      </c>
      <c r="G373">
        <v>1</v>
      </c>
      <c r="H373">
        <v>305</v>
      </c>
      <c r="I373">
        <v>0.91044776119402904</v>
      </c>
      <c r="J373" s="25">
        <f t="shared" si="16"/>
        <v>0.91044776119402981</v>
      </c>
      <c r="K373">
        <v>3151</v>
      </c>
      <c r="L373">
        <v>12</v>
      </c>
      <c r="M373">
        <v>3.7938665823585198E-3</v>
      </c>
      <c r="N373" s="25">
        <f t="shared" si="15"/>
        <v>3.7938665823584738E-3</v>
      </c>
      <c r="O373">
        <v>0.99620613341764097</v>
      </c>
      <c r="P373" s="25">
        <f t="shared" si="17"/>
        <v>0.99620613341764153</v>
      </c>
      <c r="Q373">
        <v>30</v>
      </c>
      <c r="R373" t="s">
        <v>124</v>
      </c>
      <c r="S373" t="s">
        <v>124</v>
      </c>
      <c r="T373" t="s">
        <v>124</v>
      </c>
      <c r="U373" t="s">
        <v>124</v>
      </c>
      <c r="X373" s="19">
        <f>J373</f>
        <v>0.91044776119402981</v>
      </c>
      <c r="Y373" s="19">
        <f>N373</f>
        <v>3.7938665823584738E-3</v>
      </c>
      <c r="Z373" s="26">
        <f>(L373+Q373)/(L373+Q373+H373+K373)</f>
        <v>1.2006861063464836E-2</v>
      </c>
    </row>
    <row r="374" spans="1:26" x14ac:dyDescent="0.35">
      <c r="A374" t="s">
        <v>122</v>
      </c>
      <c r="B374" t="s">
        <v>122</v>
      </c>
      <c r="C374" t="s">
        <v>123</v>
      </c>
      <c r="D374" t="s">
        <v>100</v>
      </c>
      <c r="E374" t="s">
        <v>99</v>
      </c>
      <c r="F374" t="s">
        <v>12</v>
      </c>
      <c r="G374">
        <v>1</v>
      </c>
      <c r="H374">
        <v>305</v>
      </c>
      <c r="I374">
        <v>0.91044776119402904</v>
      </c>
      <c r="J374" s="25">
        <f t="shared" si="16"/>
        <v>0.91044776119402981</v>
      </c>
      <c r="K374">
        <v>3151</v>
      </c>
      <c r="L374">
        <v>12</v>
      </c>
      <c r="M374">
        <v>3.7938665823585198E-3</v>
      </c>
      <c r="N374" s="25">
        <f t="shared" si="15"/>
        <v>3.7938665823584738E-3</v>
      </c>
      <c r="O374">
        <v>0.99620613341764097</v>
      </c>
      <c r="P374" s="25">
        <f t="shared" si="17"/>
        <v>0.99620613341764153</v>
      </c>
      <c r="Q374">
        <v>30</v>
      </c>
      <c r="R374" t="s">
        <v>124</v>
      </c>
      <c r="S374" t="s">
        <v>124</v>
      </c>
      <c r="T374" t="s">
        <v>124</v>
      </c>
      <c r="U374" t="s">
        <v>124</v>
      </c>
      <c r="X374" s="19">
        <f>J374</f>
        <v>0.91044776119402981</v>
      </c>
      <c r="Y374" s="19">
        <f>N374</f>
        <v>3.7938665823584738E-3</v>
      </c>
      <c r="Z374" s="26">
        <f>(L374+Q374)/(L374+Q374+H374+K374)</f>
        <v>1.2006861063464836E-2</v>
      </c>
    </row>
    <row r="375" spans="1:26" x14ac:dyDescent="0.35">
      <c r="A375" t="s">
        <v>122</v>
      </c>
      <c r="B375" t="s">
        <v>122</v>
      </c>
      <c r="C375" t="s">
        <v>123</v>
      </c>
      <c r="D375" t="s">
        <v>100</v>
      </c>
      <c r="E375" t="s">
        <v>99</v>
      </c>
      <c r="F375" t="s">
        <v>12</v>
      </c>
      <c r="G375">
        <v>1</v>
      </c>
      <c r="H375">
        <v>305</v>
      </c>
      <c r="I375">
        <v>0.91044776119402904</v>
      </c>
      <c r="J375" s="25">
        <f t="shared" si="16"/>
        <v>0.91044776119402981</v>
      </c>
      <c r="K375">
        <v>3151</v>
      </c>
      <c r="L375">
        <v>12</v>
      </c>
      <c r="M375">
        <v>3.7938665823585198E-3</v>
      </c>
      <c r="N375" s="25">
        <f t="shared" si="15"/>
        <v>3.7938665823584738E-3</v>
      </c>
      <c r="O375">
        <v>0.99620613341764097</v>
      </c>
      <c r="P375" s="25">
        <f t="shared" si="17"/>
        <v>0.99620613341764153</v>
      </c>
      <c r="Q375">
        <v>30</v>
      </c>
      <c r="R375" t="s">
        <v>124</v>
      </c>
      <c r="S375" t="s">
        <v>124</v>
      </c>
      <c r="T375" t="s">
        <v>124</v>
      </c>
      <c r="U375" t="s">
        <v>124</v>
      </c>
      <c r="X375" s="19">
        <f>J375</f>
        <v>0.91044776119402981</v>
      </c>
      <c r="Y375" s="19">
        <f>N375</f>
        <v>3.7938665823584738E-3</v>
      </c>
      <c r="Z375" s="26">
        <f>(L375+Q375)/(L375+Q375+H375+K375)</f>
        <v>1.2006861063464836E-2</v>
      </c>
    </row>
    <row r="376" spans="1:26" x14ac:dyDescent="0.35">
      <c r="A376" t="s">
        <v>122</v>
      </c>
      <c r="B376" t="s">
        <v>122</v>
      </c>
      <c r="C376" t="s">
        <v>123</v>
      </c>
      <c r="D376" t="s">
        <v>100</v>
      </c>
      <c r="E376" t="s">
        <v>99</v>
      </c>
      <c r="F376" t="s">
        <v>12</v>
      </c>
      <c r="G376">
        <v>1</v>
      </c>
      <c r="H376">
        <v>305</v>
      </c>
      <c r="I376">
        <v>0.91044776119402904</v>
      </c>
      <c r="J376" s="25">
        <f t="shared" si="16"/>
        <v>0.91044776119402981</v>
      </c>
      <c r="K376">
        <v>3151</v>
      </c>
      <c r="L376">
        <v>12</v>
      </c>
      <c r="M376">
        <v>3.7938665823585198E-3</v>
      </c>
      <c r="N376" s="25">
        <f t="shared" si="15"/>
        <v>3.7938665823584738E-3</v>
      </c>
      <c r="O376">
        <v>0.99620613341764097</v>
      </c>
      <c r="P376" s="25">
        <f t="shared" si="17"/>
        <v>0.99620613341764153</v>
      </c>
      <c r="Q376">
        <v>30</v>
      </c>
      <c r="R376" t="s">
        <v>124</v>
      </c>
      <c r="S376" t="s">
        <v>124</v>
      </c>
      <c r="T376" t="s">
        <v>124</v>
      </c>
      <c r="U376" t="s">
        <v>124</v>
      </c>
      <c r="X376" s="19">
        <f>J376</f>
        <v>0.91044776119402981</v>
      </c>
      <c r="Y376" s="19">
        <f>N376</f>
        <v>3.7938665823584738E-3</v>
      </c>
      <c r="Z376" s="26">
        <f>(L376+Q376)/(L376+Q376+H376+K376)</f>
        <v>1.2006861063464836E-2</v>
      </c>
    </row>
    <row r="377" spans="1:26" x14ac:dyDescent="0.35">
      <c r="A377" t="s">
        <v>122</v>
      </c>
      <c r="B377" t="s">
        <v>122</v>
      </c>
      <c r="C377" t="s">
        <v>123</v>
      </c>
      <c r="D377" t="s">
        <v>100</v>
      </c>
      <c r="E377" t="s">
        <v>99</v>
      </c>
      <c r="F377" t="s">
        <v>12</v>
      </c>
      <c r="G377">
        <v>1</v>
      </c>
      <c r="H377">
        <v>305</v>
      </c>
      <c r="I377">
        <v>0.91044776119402904</v>
      </c>
      <c r="J377" s="25">
        <f t="shared" si="16"/>
        <v>0.91044776119402981</v>
      </c>
      <c r="K377">
        <v>3151</v>
      </c>
      <c r="L377">
        <v>12</v>
      </c>
      <c r="M377">
        <v>3.7938665823585198E-3</v>
      </c>
      <c r="N377" s="25">
        <f t="shared" si="15"/>
        <v>3.7938665823584738E-3</v>
      </c>
      <c r="O377">
        <v>0.99620613341764097</v>
      </c>
      <c r="P377" s="25">
        <f t="shared" si="17"/>
        <v>0.99620613341764153</v>
      </c>
      <c r="Q377">
        <v>30</v>
      </c>
      <c r="R377" t="s">
        <v>124</v>
      </c>
      <c r="S377" t="s">
        <v>124</v>
      </c>
      <c r="T377" t="s">
        <v>124</v>
      </c>
      <c r="U377" t="s">
        <v>124</v>
      </c>
      <c r="X377" s="19">
        <f>J377</f>
        <v>0.91044776119402981</v>
      </c>
      <c r="Y377" s="19">
        <f>N377</f>
        <v>3.7938665823584738E-3</v>
      </c>
      <c r="Z377" s="26">
        <f>(L377+Q377)/(L377+Q377+H377+K377)</f>
        <v>1.2006861063464836E-2</v>
      </c>
    </row>
    <row r="378" spans="1:26" x14ac:dyDescent="0.35">
      <c r="A378" t="s">
        <v>122</v>
      </c>
      <c r="B378" t="s">
        <v>122</v>
      </c>
      <c r="C378" t="s">
        <v>123</v>
      </c>
      <c r="D378" t="s">
        <v>100</v>
      </c>
      <c r="E378" t="s">
        <v>99</v>
      </c>
      <c r="F378" t="s">
        <v>12</v>
      </c>
      <c r="G378">
        <v>1</v>
      </c>
      <c r="H378">
        <v>305</v>
      </c>
      <c r="I378">
        <v>0.91044776119402904</v>
      </c>
      <c r="J378" s="25">
        <f t="shared" si="16"/>
        <v>0.91044776119402981</v>
      </c>
      <c r="K378">
        <v>3151</v>
      </c>
      <c r="L378">
        <v>12</v>
      </c>
      <c r="M378">
        <v>3.7938665823585198E-3</v>
      </c>
      <c r="N378" s="25">
        <f t="shared" si="15"/>
        <v>3.7938665823584738E-3</v>
      </c>
      <c r="O378">
        <v>0.99620613341764097</v>
      </c>
      <c r="P378" s="25">
        <f t="shared" si="17"/>
        <v>0.99620613341764153</v>
      </c>
      <c r="Q378">
        <v>30</v>
      </c>
      <c r="R378" t="s">
        <v>124</v>
      </c>
      <c r="S378" t="s">
        <v>124</v>
      </c>
      <c r="T378" t="s">
        <v>124</v>
      </c>
      <c r="U378" t="s">
        <v>124</v>
      </c>
      <c r="X378" s="19">
        <f>J378</f>
        <v>0.91044776119402981</v>
      </c>
      <c r="Y378" s="19">
        <f>N378</f>
        <v>3.7938665823584738E-3</v>
      </c>
      <c r="Z378" s="26">
        <f>(L378+Q378)/(L378+Q378+H378+K378)</f>
        <v>1.2006861063464836E-2</v>
      </c>
    </row>
    <row r="379" spans="1:26" x14ac:dyDescent="0.35">
      <c r="A379" t="s">
        <v>122</v>
      </c>
      <c r="B379" t="s">
        <v>122</v>
      </c>
      <c r="C379" t="s">
        <v>123</v>
      </c>
      <c r="D379" t="s">
        <v>100</v>
      </c>
      <c r="E379" t="s">
        <v>99</v>
      </c>
      <c r="F379" t="s">
        <v>12</v>
      </c>
      <c r="G379">
        <v>1</v>
      </c>
      <c r="H379">
        <v>305</v>
      </c>
      <c r="I379">
        <v>0.91044776119402904</v>
      </c>
      <c r="J379" s="25">
        <f t="shared" si="16"/>
        <v>0.91044776119402981</v>
      </c>
      <c r="K379">
        <v>3151</v>
      </c>
      <c r="L379">
        <v>12</v>
      </c>
      <c r="M379">
        <v>3.7938665823585198E-3</v>
      </c>
      <c r="N379" s="25">
        <f t="shared" si="15"/>
        <v>3.7938665823584738E-3</v>
      </c>
      <c r="O379">
        <v>0.99620613341764097</v>
      </c>
      <c r="P379" s="25">
        <f t="shared" si="17"/>
        <v>0.99620613341764153</v>
      </c>
      <c r="Q379">
        <v>30</v>
      </c>
      <c r="R379" t="s">
        <v>124</v>
      </c>
      <c r="S379" t="s">
        <v>124</v>
      </c>
      <c r="T379" t="s">
        <v>124</v>
      </c>
      <c r="U379" t="s">
        <v>124</v>
      </c>
      <c r="X379" s="19">
        <f>J379</f>
        <v>0.91044776119402981</v>
      </c>
      <c r="Y379" s="19">
        <f>N379</f>
        <v>3.7938665823584738E-3</v>
      </c>
      <c r="Z379" s="26">
        <f>(L379+Q379)/(L379+Q379+H379+K379)</f>
        <v>1.2006861063464836E-2</v>
      </c>
    </row>
    <row r="380" spans="1:26" x14ac:dyDescent="0.35">
      <c r="A380" t="s">
        <v>122</v>
      </c>
      <c r="B380" t="s">
        <v>122</v>
      </c>
      <c r="C380" t="s">
        <v>123</v>
      </c>
      <c r="D380" t="s">
        <v>100</v>
      </c>
      <c r="E380" t="s">
        <v>99</v>
      </c>
      <c r="F380" t="s">
        <v>12</v>
      </c>
      <c r="G380">
        <v>1</v>
      </c>
      <c r="H380">
        <v>305</v>
      </c>
      <c r="I380">
        <v>0.91044776119402904</v>
      </c>
      <c r="J380" s="25">
        <f t="shared" si="16"/>
        <v>0.91044776119402981</v>
      </c>
      <c r="K380">
        <v>3151</v>
      </c>
      <c r="L380">
        <v>12</v>
      </c>
      <c r="M380">
        <v>3.7938665823585198E-3</v>
      </c>
      <c r="N380" s="25">
        <f t="shared" si="15"/>
        <v>3.7938665823584738E-3</v>
      </c>
      <c r="O380">
        <v>0.99620613341764097</v>
      </c>
      <c r="P380" s="25">
        <f t="shared" si="17"/>
        <v>0.99620613341764153</v>
      </c>
      <c r="Q380">
        <v>30</v>
      </c>
      <c r="R380" t="s">
        <v>124</v>
      </c>
      <c r="S380" t="s">
        <v>124</v>
      </c>
      <c r="T380" t="s">
        <v>124</v>
      </c>
      <c r="U380" t="s">
        <v>124</v>
      </c>
      <c r="X380" s="19">
        <f>J380</f>
        <v>0.91044776119402981</v>
      </c>
      <c r="Y380" s="19">
        <f>N380</f>
        <v>3.7938665823584738E-3</v>
      </c>
      <c r="Z380" s="26">
        <f>(L380+Q380)/(L380+Q380+H380+K380)</f>
        <v>1.2006861063464836E-2</v>
      </c>
    </row>
    <row r="381" spans="1:26" x14ac:dyDescent="0.35">
      <c r="A381" t="s">
        <v>122</v>
      </c>
      <c r="B381" t="s">
        <v>122</v>
      </c>
      <c r="C381" t="s">
        <v>123</v>
      </c>
      <c r="D381" t="s">
        <v>100</v>
      </c>
      <c r="E381" t="s">
        <v>99</v>
      </c>
      <c r="F381" t="s">
        <v>12</v>
      </c>
      <c r="G381">
        <v>1</v>
      </c>
      <c r="H381">
        <v>305</v>
      </c>
      <c r="I381">
        <v>0.91044776119402904</v>
      </c>
      <c r="J381" s="25">
        <f t="shared" si="16"/>
        <v>0.91044776119402981</v>
      </c>
      <c r="K381">
        <v>3151</v>
      </c>
      <c r="L381">
        <v>12</v>
      </c>
      <c r="M381">
        <v>3.7938665823585198E-3</v>
      </c>
      <c r="N381" s="25">
        <f t="shared" si="15"/>
        <v>3.7938665823584738E-3</v>
      </c>
      <c r="O381">
        <v>0.99620613341764097</v>
      </c>
      <c r="P381" s="25">
        <f t="shared" si="17"/>
        <v>0.99620613341764153</v>
      </c>
      <c r="Q381">
        <v>30</v>
      </c>
      <c r="R381" t="s">
        <v>124</v>
      </c>
      <c r="S381" t="s">
        <v>124</v>
      </c>
      <c r="T381" t="s">
        <v>124</v>
      </c>
      <c r="U381" t="s">
        <v>124</v>
      </c>
      <c r="X381" s="19">
        <f>J381</f>
        <v>0.91044776119402981</v>
      </c>
      <c r="Y381" s="19">
        <f>N381</f>
        <v>3.7938665823584738E-3</v>
      </c>
      <c r="Z381" s="26">
        <f>(L381+Q381)/(L381+Q381+H381+K381)</f>
        <v>1.2006861063464836E-2</v>
      </c>
    </row>
    <row r="382" spans="1:26" x14ac:dyDescent="0.35">
      <c r="A382" t="s">
        <v>122</v>
      </c>
      <c r="B382" t="s">
        <v>122</v>
      </c>
      <c r="C382" t="s">
        <v>123</v>
      </c>
      <c r="D382" t="s">
        <v>100</v>
      </c>
      <c r="E382" t="s">
        <v>99</v>
      </c>
      <c r="F382" t="s">
        <v>12</v>
      </c>
      <c r="G382">
        <v>1</v>
      </c>
      <c r="H382">
        <v>305</v>
      </c>
      <c r="I382">
        <v>0.91044776119402904</v>
      </c>
      <c r="J382" s="25">
        <f t="shared" si="16"/>
        <v>0.91044776119402981</v>
      </c>
      <c r="K382">
        <v>3151</v>
      </c>
      <c r="L382">
        <v>12</v>
      </c>
      <c r="M382">
        <v>3.7938665823585198E-3</v>
      </c>
      <c r="N382" s="25">
        <f t="shared" si="15"/>
        <v>3.7938665823584738E-3</v>
      </c>
      <c r="O382">
        <v>0.99620613341764097</v>
      </c>
      <c r="P382" s="25">
        <f t="shared" si="17"/>
        <v>0.99620613341764153</v>
      </c>
      <c r="Q382">
        <v>30</v>
      </c>
      <c r="R382" t="s">
        <v>124</v>
      </c>
      <c r="S382" t="s">
        <v>124</v>
      </c>
      <c r="T382" t="s">
        <v>124</v>
      </c>
      <c r="U382" t="s">
        <v>124</v>
      </c>
      <c r="X382" s="19">
        <f>J382</f>
        <v>0.91044776119402981</v>
      </c>
      <c r="Y382" s="19">
        <f>N382</f>
        <v>3.7938665823584738E-3</v>
      </c>
      <c r="Z382" s="26">
        <f>(L382+Q382)/(L382+Q382+H382+K382)</f>
        <v>1.2006861063464836E-2</v>
      </c>
    </row>
    <row r="383" spans="1:26" x14ac:dyDescent="0.35">
      <c r="A383" t="s">
        <v>122</v>
      </c>
      <c r="B383" t="s">
        <v>122</v>
      </c>
      <c r="C383" t="s">
        <v>123</v>
      </c>
      <c r="D383" t="s">
        <v>100</v>
      </c>
      <c r="E383" t="s">
        <v>99</v>
      </c>
      <c r="F383" t="s">
        <v>12</v>
      </c>
      <c r="G383">
        <v>1</v>
      </c>
      <c r="H383">
        <v>305</v>
      </c>
      <c r="I383">
        <v>0.91044776119402904</v>
      </c>
      <c r="J383" s="25">
        <f t="shared" si="16"/>
        <v>0.91044776119402981</v>
      </c>
      <c r="K383">
        <v>3151</v>
      </c>
      <c r="L383">
        <v>12</v>
      </c>
      <c r="M383">
        <v>3.7938665823585198E-3</v>
      </c>
      <c r="N383" s="25">
        <f t="shared" si="15"/>
        <v>3.7938665823584738E-3</v>
      </c>
      <c r="O383">
        <v>0.99620613341764097</v>
      </c>
      <c r="P383" s="25">
        <f t="shared" si="17"/>
        <v>0.99620613341764153</v>
      </c>
      <c r="Q383">
        <v>30</v>
      </c>
      <c r="R383" t="s">
        <v>124</v>
      </c>
      <c r="S383" t="s">
        <v>124</v>
      </c>
      <c r="T383" t="s">
        <v>124</v>
      </c>
      <c r="U383" t="s">
        <v>124</v>
      </c>
      <c r="X383" s="19">
        <f>J383</f>
        <v>0.91044776119402981</v>
      </c>
      <c r="Y383" s="19">
        <f>N383</f>
        <v>3.7938665823584738E-3</v>
      </c>
      <c r="Z383" s="26">
        <f>(L383+Q383)/(L383+Q383+H383+K383)</f>
        <v>1.2006861063464836E-2</v>
      </c>
    </row>
    <row r="384" spans="1:26" x14ac:dyDescent="0.35">
      <c r="A384" t="s">
        <v>122</v>
      </c>
      <c r="B384" t="s">
        <v>122</v>
      </c>
      <c r="C384" t="s">
        <v>123</v>
      </c>
      <c r="D384" t="s">
        <v>100</v>
      </c>
      <c r="E384" t="s">
        <v>99</v>
      </c>
      <c r="F384" t="s">
        <v>12</v>
      </c>
      <c r="G384">
        <v>1</v>
      </c>
      <c r="H384">
        <v>305</v>
      </c>
      <c r="I384">
        <v>0.91044776119402904</v>
      </c>
      <c r="J384" s="25">
        <f t="shared" si="16"/>
        <v>0.91044776119402981</v>
      </c>
      <c r="K384">
        <v>3151</v>
      </c>
      <c r="L384">
        <v>12</v>
      </c>
      <c r="M384">
        <v>3.7938665823585198E-3</v>
      </c>
      <c r="N384" s="25">
        <f t="shared" si="15"/>
        <v>3.7938665823584738E-3</v>
      </c>
      <c r="O384">
        <v>0.99620613341764097</v>
      </c>
      <c r="P384" s="25">
        <f t="shared" si="17"/>
        <v>0.99620613341764153</v>
      </c>
      <c r="Q384">
        <v>30</v>
      </c>
      <c r="R384" t="s">
        <v>124</v>
      </c>
      <c r="S384" t="s">
        <v>124</v>
      </c>
      <c r="T384" t="s">
        <v>124</v>
      </c>
      <c r="U384" t="s">
        <v>124</v>
      </c>
      <c r="X384" s="19">
        <f>J384</f>
        <v>0.91044776119402981</v>
      </c>
      <c r="Y384" s="19">
        <f>N384</f>
        <v>3.7938665823584738E-3</v>
      </c>
      <c r="Z384" s="26">
        <f>(L384+Q384)/(L384+Q384+H384+K384)</f>
        <v>1.2006861063464836E-2</v>
      </c>
    </row>
    <row r="385" spans="1:26" x14ac:dyDescent="0.35">
      <c r="A385" t="s">
        <v>122</v>
      </c>
      <c r="B385" t="s">
        <v>122</v>
      </c>
      <c r="C385" t="s">
        <v>123</v>
      </c>
      <c r="D385" t="s">
        <v>100</v>
      </c>
      <c r="E385" t="s">
        <v>99</v>
      </c>
      <c r="F385" t="s">
        <v>12</v>
      </c>
      <c r="G385">
        <v>1</v>
      </c>
      <c r="H385">
        <v>305</v>
      </c>
      <c r="I385">
        <v>0.91044776119402904</v>
      </c>
      <c r="J385" s="25">
        <f t="shared" si="16"/>
        <v>0.91044776119402981</v>
      </c>
      <c r="K385">
        <v>3151</v>
      </c>
      <c r="L385">
        <v>12</v>
      </c>
      <c r="M385">
        <v>3.7938665823585198E-3</v>
      </c>
      <c r="N385" s="25">
        <f t="shared" si="15"/>
        <v>3.7938665823584738E-3</v>
      </c>
      <c r="O385">
        <v>0.99620613341764097</v>
      </c>
      <c r="P385" s="25">
        <f t="shared" si="17"/>
        <v>0.99620613341764153</v>
      </c>
      <c r="Q385">
        <v>30</v>
      </c>
      <c r="R385" t="s">
        <v>124</v>
      </c>
      <c r="S385" t="s">
        <v>124</v>
      </c>
      <c r="T385" t="s">
        <v>124</v>
      </c>
      <c r="U385" t="s">
        <v>124</v>
      </c>
      <c r="X385" s="19">
        <f>J385</f>
        <v>0.91044776119402981</v>
      </c>
      <c r="Y385" s="19">
        <f>N385</f>
        <v>3.7938665823584738E-3</v>
      </c>
      <c r="Z385" s="26">
        <f>(L385+Q385)/(L385+Q385+H385+K385)</f>
        <v>1.2006861063464836E-2</v>
      </c>
    </row>
    <row r="386" spans="1:26" x14ac:dyDescent="0.35">
      <c r="A386" t="s">
        <v>122</v>
      </c>
      <c r="B386" t="s">
        <v>122</v>
      </c>
      <c r="C386" t="s">
        <v>123</v>
      </c>
      <c r="D386" t="s">
        <v>100</v>
      </c>
      <c r="E386" t="s">
        <v>99</v>
      </c>
      <c r="F386" t="s">
        <v>12</v>
      </c>
      <c r="G386">
        <v>1</v>
      </c>
      <c r="H386">
        <v>305</v>
      </c>
      <c r="I386">
        <v>0.91044776119402904</v>
      </c>
      <c r="J386" s="25">
        <f t="shared" si="16"/>
        <v>0.91044776119402981</v>
      </c>
      <c r="K386">
        <v>3151</v>
      </c>
      <c r="L386">
        <v>12</v>
      </c>
      <c r="M386">
        <v>3.7938665823585198E-3</v>
      </c>
      <c r="N386" s="25">
        <f t="shared" ref="N386:N449" si="18">1-P386</f>
        <v>3.7938665823584738E-3</v>
      </c>
      <c r="O386">
        <v>0.99620613341764097</v>
      </c>
      <c r="P386" s="25">
        <f t="shared" si="17"/>
        <v>0.99620613341764153</v>
      </c>
      <c r="Q386">
        <v>30</v>
      </c>
      <c r="R386" t="s">
        <v>124</v>
      </c>
      <c r="S386" t="s">
        <v>124</v>
      </c>
      <c r="T386" t="s">
        <v>124</v>
      </c>
      <c r="U386" t="s">
        <v>124</v>
      </c>
      <c r="X386" s="19">
        <f>J386</f>
        <v>0.91044776119402981</v>
      </c>
      <c r="Y386" s="19">
        <f>N386</f>
        <v>3.7938665823584738E-3</v>
      </c>
      <c r="Z386" s="26">
        <f>(L386+Q386)/(L386+Q386+H386+K386)</f>
        <v>1.2006861063464836E-2</v>
      </c>
    </row>
    <row r="387" spans="1:26" x14ac:dyDescent="0.35">
      <c r="A387" t="s">
        <v>122</v>
      </c>
      <c r="B387" t="s">
        <v>122</v>
      </c>
      <c r="C387" t="s">
        <v>123</v>
      </c>
      <c r="D387" t="s">
        <v>100</v>
      </c>
      <c r="E387" t="s">
        <v>99</v>
      </c>
      <c r="F387" t="s">
        <v>12</v>
      </c>
      <c r="G387">
        <v>1</v>
      </c>
      <c r="H387">
        <v>305</v>
      </c>
      <c r="I387">
        <v>0.91044776119402904</v>
      </c>
      <c r="J387" s="25">
        <f t="shared" ref="J387:J450" si="19">H387/(H387+Q387)</f>
        <v>0.91044776119402981</v>
      </c>
      <c r="K387">
        <v>3151</v>
      </c>
      <c r="L387">
        <v>12</v>
      </c>
      <c r="M387">
        <v>3.7938665823585198E-3</v>
      </c>
      <c r="N387" s="25">
        <f t="shared" si="18"/>
        <v>3.7938665823584738E-3</v>
      </c>
      <c r="O387">
        <v>0.99620613341764097</v>
      </c>
      <c r="P387" s="25">
        <f t="shared" ref="P387:P450" si="20">K387/(K387+L387)</f>
        <v>0.99620613341764153</v>
      </c>
      <c r="Q387">
        <v>30</v>
      </c>
      <c r="R387" t="s">
        <v>124</v>
      </c>
      <c r="S387" t="s">
        <v>124</v>
      </c>
      <c r="T387" t="s">
        <v>124</v>
      </c>
      <c r="U387" t="s">
        <v>124</v>
      </c>
      <c r="X387" s="19">
        <f>J387</f>
        <v>0.91044776119402981</v>
      </c>
      <c r="Y387" s="19">
        <f>N387</f>
        <v>3.7938665823584738E-3</v>
      </c>
      <c r="Z387" s="26">
        <f>(L387+Q387)/(L387+Q387+H387+K387)</f>
        <v>1.2006861063464836E-2</v>
      </c>
    </row>
    <row r="388" spans="1:26" x14ac:dyDescent="0.35">
      <c r="A388" t="s">
        <v>122</v>
      </c>
      <c r="B388" t="s">
        <v>122</v>
      </c>
      <c r="C388" t="s">
        <v>123</v>
      </c>
      <c r="D388" t="s">
        <v>100</v>
      </c>
      <c r="E388" t="s">
        <v>99</v>
      </c>
      <c r="F388" t="s">
        <v>12</v>
      </c>
      <c r="G388">
        <v>1</v>
      </c>
      <c r="H388">
        <v>305</v>
      </c>
      <c r="I388">
        <v>0.91044776119402904</v>
      </c>
      <c r="J388" s="25">
        <f t="shared" si="19"/>
        <v>0.91044776119402981</v>
      </c>
      <c r="K388">
        <v>3151</v>
      </c>
      <c r="L388">
        <v>12</v>
      </c>
      <c r="M388">
        <v>3.7938665823585198E-3</v>
      </c>
      <c r="N388" s="25">
        <f t="shared" si="18"/>
        <v>3.7938665823584738E-3</v>
      </c>
      <c r="O388">
        <v>0.99620613341764097</v>
      </c>
      <c r="P388" s="25">
        <f t="shared" si="20"/>
        <v>0.99620613341764153</v>
      </c>
      <c r="Q388">
        <v>30</v>
      </c>
      <c r="R388" t="s">
        <v>124</v>
      </c>
      <c r="S388" t="s">
        <v>124</v>
      </c>
      <c r="T388" t="s">
        <v>124</v>
      </c>
      <c r="U388" t="s">
        <v>124</v>
      </c>
      <c r="X388" s="19">
        <f>J388</f>
        <v>0.91044776119402981</v>
      </c>
      <c r="Y388" s="19">
        <f>N388</f>
        <v>3.7938665823584738E-3</v>
      </c>
      <c r="Z388" s="26">
        <f>(L388+Q388)/(L388+Q388+H388+K388)</f>
        <v>1.2006861063464836E-2</v>
      </c>
    </row>
    <row r="389" spans="1:26" x14ac:dyDescent="0.35">
      <c r="A389" t="s">
        <v>122</v>
      </c>
      <c r="B389" t="s">
        <v>122</v>
      </c>
      <c r="C389" t="s">
        <v>123</v>
      </c>
      <c r="D389" t="s">
        <v>100</v>
      </c>
      <c r="E389" t="s">
        <v>99</v>
      </c>
      <c r="F389" t="s">
        <v>12</v>
      </c>
      <c r="G389">
        <v>1</v>
      </c>
      <c r="H389">
        <v>305</v>
      </c>
      <c r="I389">
        <v>0.91044776119402904</v>
      </c>
      <c r="J389" s="25">
        <f t="shared" si="19"/>
        <v>0.91044776119402981</v>
      </c>
      <c r="K389">
        <v>3151</v>
      </c>
      <c r="L389">
        <v>12</v>
      </c>
      <c r="M389">
        <v>3.7938665823585198E-3</v>
      </c>
      <c r="N389" s="25">
        <f t="shared" si="18"/>
        <v>3.7938665823584738E-3</v>
      </c>
      <c r="O389">
        <v>0.99620613341764097</v>
      </c>
      <c r="P389" s="25">
        <f t="shared" si="20"/>
        <v>0.99620613341764153</v>
      </c>
      <c r="Q389">
        <v>30</v>
      </c>
      <c r="R389" t="s">
        <v>124</v>
      </c>
      <c r="S389" t="s">
        <v>124</v>
      </c>
      <c r="T389" t="s">
        <v>124</v>
      </c>
      <c r="U389" t="s">
        <v>124</v>
      </c>
      <c r="X389" s="19">
        <f>J389</f>
        <v>0.91044776119402981</v>
      </c>
      <c r="Y389" s="19">
        <f>N389</f>
        <v>3.7938665823584738E-3</v>
      </c>
      <c r="Z389" s="26">
        <f>(L389+Q389)/(L389+Q389+H389+K389)</f>
        <v>1.2006861063464836E-2</v>
      </c>
    </row>
    <row r="390" spans="1:26" x14ac:dyDescent="0.35">
      <c r="A390" t="s">
        <v>122</v>
      </c>
      <c r="B390" t="s">
        <v>122</v>
      </c>
      <c r="C390" t="s">
        <v>123</v>
      </c>
      <c r="D390" t="s">
        <v>100</v>
      </c>
      <c r="E390" t="s">
        <v>99</v>
      </c>
      <c r="F390" t="s">
        <v>12</v>
      </c>
      <c r="G390">
        <v>1</v>
      </c>
      <c r="H390">
        <v>305</v>
      </c>
      <c r="I390">
        <v>0.91044776119402904</v>
      </c>
      <c r="J390" s="25">
        <f t="shared" si="19"/>
        <v>0.91044776119402981</v>
      </c>
      <c r="K390">
        <v>3151</v>
      </c>
      <c r="L390">
        <v>12</v>
      </c>
      <c r="M390">
        <v>3.7938665823585198E-3</v>
      </c>
      <c r="N390" s="25">
        <f t="shared" si="18"/>
        <v>3.7938665823584738E-3</v>
      </c>
      <c r="O390">
        <v>0.99620613341764097</v>
      </c>
      <c r="P390" s="25">
        <f t="shared" si="20"/>
        <v>0.99620613341764153</v>
      </c>
      <c r="Q390">
        <v>30</v>
      </c>
      <c r="R390" t="s">
        <v>124</v>
      </c>
      <c r="S390" t="s">
        <v>124</v>
      </c>
      <c r="T390" t="s">
        <v>124</v>
      </c>
      <c r="U390" t="s">
        <v>124</v>
      </c>
      <c r="X390" s="19">
        <f>J390</f>
        <v>0.91044776119402981</v>
      </c>
      <c r="Y390" s="19">
        <f>N390</f>
        <v>3.7938665823584738E-3</v>
      </c>
      <c r="Z390" s="26">
        <f>(L390+Q390)/(L390+Q390+H390+K390)</f>
        <v>1.2006861063464836E-2</v>
      </c>
    </row>
    <row r="391" spans="1:26" x14ac:dyDescent="0.35">
      <c r="A391" t="s">
        <v>122</v>
      </c>
      <c r="B391" t="s">
        <v>122</v>
      </c>
      <c r="C391" t="s">
        <v>123</v>
      </c>
      <c r="D391" t="s">
        <v>100</v>
      </c>
      <c r="E391" t="s">
        <v>99</v>
      </c>
      <c r="F391" t="s">
        <v>12</v>
      </c>
      <c r="G391">
        <v>1</v>
      </c>
      <c r="H391">
        <v>305</v>
      </c>
      <c r="I391">
        <v>0.91044776119402904</v>
      </c>
      <c r="J391" s="25">
        <f t="shared" si="19"/>
        <v>0.91044776119402981</v>
      </c>
      <c r="K391">
        <v>3151</v>
      </c>
      <c r="L391">
        <v>12</v>
      </c>
      <c r="M391">
        <v>3.7938665823585198E-3</v>
      </c>
      <c r="N391" s="25">
        <f t="shared" si="18"/>
        <v>3.7938665823584738E-3</v>
      </c>
      <c r="O391">
        <v>0.99620613341764097</v>
      </c>
      <c r="P391" s="25">
        <f t="shared" si="20"/>
        <v>0.99620613341764153</v>
      </c>
      <c r="Q391">
        <v>30</v>
      </c>
      <c r="R391" t="s">
        <v>124</v>
      </c>
      <c r="S391" t="s">
        <v>124</v>
      </c>
      <c r="T391" t="s">
        <v>124</v>
      </c>
      <c r="U391" t="s">
        <v>124</v>
      </c>
      <c r="X391" s="19">
        <f>J391</f>
        <v>0.91044776119402981</v>
      </c>
      <c r="Y391" s="19">
        <f>N391</f>
        <v>3.7938665823584738E-3</v>
      </c>
      <c r="Z391" s="26">
        <f>(L391+Q391)/(L391+Q391+H391+K391)</f>
        <v>1.2006861063464836E-2</v>
      </c>
    </row>
    <row r="392" spans="1:26" x14ac:dyDescent="0.35">
      <c r="A392" t="s">
        <v>122</v>
      </c>
      <c r="B392" t="s">
        <v>122</v>
      </c>
      <c r="C392" t="s">
        <v>123</v>
      </c>
      <c r="D392" t="s">
        <v>100</v>
      </c>
      <c r="E392" t="s">
        <v>99</v>
      </c>
      <c r="F392" t="s">
        <v>12</v>
      </c>
      <c r="G392">
        <v>1</v>
      </c>
      <c r="H392">
        <v>305</v>
      </c>
      <c r="I392">
        <v>0.91044776119402904</v>
      </c>
      <c r="J392" s="25">
        <f t="shared" si="19"/>
        <v>0.91044776119402981</v>
      </c>
      <c r="K392">
        <v>3151</v>
      </c>
      <c r="L392">
        <v>12</v>
      </c>
      <c r="M392">
        <v>3.7938665823585198E-3</v>
      </c>
      <c r="N392" s="25">
        <f t="shared" si="18"/>
        <v>3.7938665823584738E-3</v>
      </c>
      <c r="O392">
        <v>0.99620613341764097</v>
      </c>
      <c r="P392" s="25">
        <f t="shared" si="20"/>
        <v>0.99620613341764153</v>
      </c>
      <c r="Q392">
        <v>30</v>
      </c>
      <c r="R392" t="s">
        <v>124</v>
      </c>
      <c r="S392" t="s">
        <v>124</v>
      </c>
      <c r="T392" t="s">
        <v>124</v>
      </c>
      <c r="U392" t="s">
        <v>124</v>
      </c>
      <c r="X392" s="19">
        <f>J392</f>
        <v>0.91044776119402981</v>
      </c>
      <c r="Y392" s="19">
        <f>N392</f>
        <v>3.7938665823584738E-3</v>
      </c>
      <c r="Z392" s="26">
        <f>(L392+Q392)/(L392+Q392+H392+K392)</f>
        <v>1.2006861063464836E-2</v>
      </c>
    </row>
    <row r="393" spans="1:26" x14ac:dyDescent="0.35">
      <c r="A393" t="s">
        <v>122</v>
      </c>
      <c r="B393" t="s">
        <v>122</v>
      </c>
      <c r="C393" t="s">
        <v>123</v>
      </c>
      <c r="D393" t="s">
        <v>100</v>
      </c>
      <c r="E393" t="s">
        <v>99</v>
      </c>
      <c r="F393" t="s">
        <v>12</v>
      </c>
      <c r="G393">
        <v>1</v>
      </c>
      <c r="H393">
        <v>305</v>
      </c>
      <c r="I393">
        <v>0.91044776119402904</v>
      </c>
      <c r="J393" s="25">
        <f t="shared" si="19"/>
        <v>0.91044776119402981</v>
      </c>
      <c r="K393">
        <v>3151</v>
      </c>
      <c r="L393">
        <v>12</v>
      </c>
      <c r="M393">
        <v>3.7938665823585198E-3</v>
      </c>
      <c r="N393" s="25">
        <f t="shared" si="18"/>
        <v>3.7938665823584738E-3</v>
      </c>
      <c r="O393">
        <v>0.99620613341764097</v>
      </c>
      <c r="P393" s="25">
        <f t="shared" si="20"/>
        <v>0.99620613341764153</v>
      </c>
      <c r="Q393">
        <v>30</v>
      </c>
      <c r="R393" t="s">
        <v>124</v>
      </c>
      <c r="S393" t="s">
        <v>124</v>
      </c>
      <c r="T393" t="s">
        <v>124</v>
      </c>
      <c r="U393" t="s">
        <v>124</v>
      </c>
      <c r="X393" s="19">
        <f>J393</f>
        <v>0.91044776119402981</v>
      </c>
      <c r="Y393" s="19">
        <f>N393</f>
        <v>3.7938665823584738E-3</v>
      </c>
      <c r="Z393" s="26">
        <f>(L393+Q393)/(L393+Q393+H393+K393)</f>
        <v>1.2006861063464836E-2</v>
      </c>
    </row>
    <row r="394" spans="1:26" x14ac:dyDescent="0.35">
      <c r="A394" t="s">
        <v>122</v>
      </c>
      <c r="B394" t="s">
        <v>122</v>
      </c>
      <c r="C394" t="s">
        <v>123</v>
      </c>
      <c r="D394" t="s">
        <v>100</v>
      </c>
      <c r="E394" t="s">
        <v>99</v>
      </c>
      <c r="F394" t="s">
        <v>12</v>
      </c>
      <c r="G394">
        <v>1</v>
      </c>
      <c r="H394">
        <v>305</v>
      </c>
      <c r="I394">
        <v>0.91044776119402904</v>
      </c>
      <c r="J394" s="25">
        <f t="shared" si="19"/>
        <v>0.91044776119402981</v>
      </c>
      <c r="K394">
        <v>3151</v>
      </c>
      <c r="L394">
        <v>12</v>
      </c>
      <c r="M394">
        <v>3.7938665823585198E-3</v>
      </c>
      <c r="N394" s="25">
        <f t="shared" si="18"/>
        <v>3.7938665823584738E-3</v>
      </c>
      <c r="O394">
        <v>0.99620613341764097</v>
      </c>
      <c r="P394" s="25">
        <f t="shared" si="20"/>
        <v>0.99620613341764153</v>
      </c>
      <c r="Q394">
        <v>30</v>
      </c>
      <c r="R394" t="s">
        <v>124</v>
      </c>
      <c r="S394" t="s">
        <v>124</v>
      </c>
      <c r="T394" t="s">
        <v>124</v>
      </c>
      <c r="U394" t="s">
        <v>124</v>
      </c>
      <c r="X394" s="19">
        <f>J394</f>
        <v>0.91044776119402981</v>
      </c>
      <c r="Y394" s="19">
        <f>N394</f>
        <v>3.7938665823584738E-3</v>
      </c>
      <c r="Z394" s="26">
        <f>(L394+Q394)/(L394+Q394+H394+K394)</f>
        <v>1.2006861063464836E-2</v>
      </c>
    </row>
    <row r="395" spans="1:26" x14ac:dyDescent="0.35">
      <c r="A395" t="s">
        <v>122</v>
      </c>
      <c r="B395" t="s">
        <v>122</v>
      </c>
      <c r="C395" t="s">
        <v>123</v>
      </c>
      <c r="D395" t="s">
        <v>100</v>
      </c>
      <c r="E395" t="s">
        <v>99</v>
      </c>
      <c r="F395" t="s">
        <v>12</v>
      </c>
      <c r="G395">
        <v>1</v>
      </c>
      <c r="H395">
        <v>305</v>
      </c>
      <c r="I395">
        <v>0.91044776119402904</v>
      </c>
      <c r="J395" s="25">
        <f t="shared" si="19"/>
        <v>0.91044776119402981</v>
      </c>
      <c r="K395">
        <v>3151</v>
      </c>
      <c r="L395">
        <v>12</v>
      </c>
      <c r="M395">
        <v>3.7938665823585198E-3</v>
      </c>
      <c r="N395" s="25">
        <f t="shared" si="18"/>
        <v>3.7938665823584738E-3</v>
      </c>
      <c r="O395">
        <v>0.99620613341764097</v>
      </c>
      <c r="P395" s="25">
        <f t="shared" si="20"/>
        <v>0.99620613341764153</v>
      </c>
      <c r="Q395">
        <v>30</v>
      </c>
      <c r="R395" t="s">
        <v>124</v>
      </c>
      <c r="S395" t="s">
        <v>124</v>
      </c>
      <c r="T395" t="s">
        <v>124</v>
      </c>
      <c r="U395" t="s">
        <v>124</v>
      </c>
      <c r="X395" s="19">
        <f>J395</f>
        <v>0.91044776119402981</v>
      </c>
      <c r="Y395" s="19">
        <f>N395</f>
        <v>3.7938665823584738E-3</v>
      </c>
      <c r="Z395" s="26">
        <f>(L395+Q395)/(L395+Q395+H395+K395)</f>
        <v>1.2006861063464836E-2</v>
      </c>
    </row>
    <row r="396" spans="1:26" x14ac:dyDescent="0.35">
      <c r="A396" t="s">
        <v>122</v>
      </c>
      <c r="B396" t="s">
        <v>122</v>
      </c>
      <c r="C396" t="s">
        <v>123</v>
      </c>
      <c r="D396" t="s">
        <v>100</v>
      </c>
      <c r="E396" t="s">
        <v>99</v>
      </c>
      <c r="F396" t="s">
        <v>12</v>
      </c>
      <c r="G396">
        <v>1</v>
      </c>
      <c r="H396">
        <v>305</v>
      </c>
      <c r="I396">
        <v>0.91044776119402904</v>
      </c>
      <c r="J396" s="25">
        <f t="shared" si="19"/>
        <v>0.91044776119402981</v>
      </c>
      <c r="K396">
        <v>3151</v>
      </c>
      <c r="L396">
        <v>12</v>
      </c>
      <c r="M396">
        <v>3.7938665823585198E-3</v>
      </c>
      <c r="N396" s="25">
        <f t="shared" si="18"/>
        <v>3.7938665823584738E-3</v>
      </c>
      <c r="O396">
        <v>0.99620613341764097</v>
      </c>
      <c r="P396" s="25">
        <f t="shared" si="20"/>
        <v>0.99620613341764153</v>
      </c>
      <c r="Q396">
        <v>30</v>
      </c>
      <c r="R396" t="s">
        <v>124</v>
      </c>
      <c r="S396" t="s">
        <v>124</v>
      </c>
      <c r="T396" t="s">
        <v>124</v>
      </c>
      <c r="U396" t="s">
        <v>124</v>
      </c>
      <c r="X396" s="19">
        <f>J396</f>
        <v>0.91044776119402981</v>
      </c>
      <c r="Y396" s="19">
        <f>N396</f>
        <v>3.7938665823584738E-3</v>
      </c>
      <c r="Z396" s="26">
        <f>(L396+Q396)/(L396+Q396+H396+K396)</f>
        <v>1.2006861063464836E-2</v>
      </c>
    </row>
    <row r="397" spans="1:26" x14ac:dyDescent="0.35">
      <c r="A397" t="s">
        <v>122</v>
      </c>
      <c r="B397" t="s">
        <v>122</v>
      </c>
      <c r="C397" t="s">
        <v>123</v>
      </c>
      <c r="D397" t="s">
        <v>100</v>
      </c>
      <c r="E397" t="s">
        <v>99</v>
      </c>
      <c r="F397" t="s">
        <v>12</v>
      </c>
      <c r="G397">
        <v>1</v>
      </c>
      <c r="H397">
        <v>305</v>
      </c>
      <c r="I397">
        <v>0.91044776119402904</v>
      </c>
      <c r="J397" s="25">
        <f t="shared" si="19"/>
        <v>0.91044776119402981</v>
      </c>
      <c r="K397">
        <v>3151</v>
      </c>
      <c r="L397">
        <v>12</v>
      </c>
      <c r="M397">
        <v>3.7938665823585198E-3</v>
      </c>
      <c r="N397" s="25">
        <f t="shared" si="18"/>
        <v>3.7938665823584738E-3</v>
      </c>
      <c r="O397">
        <v>0.99620613341764097</v>
      </c>
      <c r="P397" s="25">
        <f t="shared" si="20"/>
        <v>0.99620613341764153</v>
      </c>
      <c r="Q397">
        <v>30</v>
      </c>
      <c r="R397" t="s">
        <v>124</v>
      </c>
      <c r="S397" t="s">
        <v>124</v>
      </c>
      <c r="T397" t="s">
        <v>124</v>
      </c>
      <c r="U397" t="s">
        <v>124</v>
      </c>
      <c r="X397" s="19">
        <f>J397</f>
        <v>0.91044776119402981</v>
      </c>
      <c r="Y397" s="19">
        <f>N397</f>
        <v>3.7938665823584738E-3</v>
      </c>
      <c r="Z397" s="26">
        <f>(L397+Q397)/(L397+Q397+H397+K397)</f>
        <v>1.2006861063464836E-2</v>
      </c>
    </row>
    <row r="398" spans="1:26" x14ac:dyDescent="0.35">
      <c r="A398" t="s">
        <v>122</v>
      </c>
      <c r="B398" t="s">
        <v>122</v>
      </c>
      <c r="C398" t="s">
        <v>123</v>
      </c>
      <c r="D398" t="s">
        <v>100</v>
      </c>
      <c r="E398" t="s">
        <v>99</v>
      </c>
      <c r="F398" t="s">
        <v>12</v>
      </c>
      <c r="G398">
        <v>1</v>
      </c>
      <c r="H398">
        <v>305</v>
      </c>
      <c r="I398">
        <v>0.91044776119402904</v>
      </c>
      <c r="J398" s="25">
        <f t="shared" si="19"/>
        <v>0.91044776119402981</v>
      </c>
      <c r="K398">
        <v>3151</v>
      </c>
      <c r="L398">
        <v>12</v>
      </c>
      <c r="M398">
        <v>3.7938665823585198E-3</v>
      </c>
      <c r="N398" s="25">
        <f t="shared" si="18"/>
        <v>3.7938665823584738E-3</v>
      </c>
      <c r="O398">
        <v>0.99620613341764097</v>
      </c>
      <c r="P398" s="25">
        <f t="shared" si="20"/>
        <v>0.99620613341764153</v>
      </c>
      <c r="Q398">
        <v>30</v>
      </c>
      <c r="R398" t="s">
        <v>124</v>
      </c>
      <c r="S398" t="s">
        <v>124</v>
      </c>
      <c r="T398" t="s">
        <v>124</v>
      </c>
      <c r="U398" t="s">
        <v>124</v>
      </c>
      <c r="X398" s="19">
        <f>J398</f>
        <v>0.91044776119402981</v>
      </c>
      <c r="Y398" s="19">
        <f>N398</f>
        <v>3.7938665823584738E-3</v>
      </c>
      <c r="Z398" s="26">
        <f>(L398+Q398)/(L398+Q398+H398+K398)</f>
        <v>1.2006861063464836E-2</v>
      </c>
    </row>
    <row r="399" spans="1:26" x14ac:dyDescent="0.35">
      <c r="A399" t="s">
        <v>122</v>
      </c>
      <c r="B399" t="s">
        <v>122</v>
      </c>
      <c r="C399" t="s">
        <v>123</v>
      </c>
      <c r="D399" t="s">
        <v>100</v>
      </c>
      <c r="E399" t="s">
        <v>99</v>
      </c>
      <c r="F399" t="s">
        <v>12</v>
      </c>
      <c r="G399">
        <v>1</v>
      </c>
      <c r="H399">
        <v>305</v>
      </c>
      <c r="I399">
        <v>0.91044776119402904</v>
      </c>
      <c r="J399" s="25">
        <f t="shared" si="19"/>
        <v>0.91044776119402981</v>
      </c>
      <c r="K399">
        <v>3151</v>
      </c>
      <c r="L399">
        <v>12</v>
      </c>
      <c r="M399">
        <v>3.7938665823585198E-3</v>
      </c>
      <c r="N399" s="25">
        <f t="shared" si="18"/>
        <v>3.7938665823584738E-3</v>
      </c>
      <c r="O399">
        <v>0.99620613341764097</v>
      </c>
      <c r="P399" s="25">
        <f t="shared" si="20"/>
        <v>0.99620613341764153</v>
      </c>
      <c r="Q399">
        <v>30</v>
      </c>
      <c r="R399" t="s">
        <v>124</v>
      </c>
      <c r="S399" t="s">
        <v>124</v>
      </c>
      <c r="T399" t="s">
        <v>124</v>
      </c>
      <c r="U399" t="s">
        <v>124</v>
      </c>
      <c r="X399" s="19">
        <f>J399</f>
        <v>0.91044776119402981</v>
      </c>
      <c r="Y399" s="19">
        <f>N399</f>
        <v>3.7938665823584738E-3</v>
      </c>
      <c r="Z399" s="26">
        <f>(L399+Q399)/(L399+Q399+H399+K399)</f>
        <v>1.2006861063464836E-2</v>
      </c>
    </row>
    <row r="400" spans="1:26" x14ac:dyDescent="0.35">
      <c r="A400" t="s">
        <v>122</v>
      </c>
      <c r="B400" t="s">
        <v>122</v>
      </c>
      <c r="C400" t="s">
        <v>123</v>
      </c>
      <c r="D400" t="s">
        <v>100</v>
      </c>
      <c r="E400" t="s">
        <v>99</v>
      </c>
      <c r="F400" t="s">
        <v>12</v>
      </c>
      <c r="G400">
        <v>1</v>
      </c>
      <c r="H400">
        <v>305</v>
      </c>
      <c r="I400">
        <v>0.91044776119402904</v>
      </c>
      <c r="J400" s="25">
        <f t="shared" si="19"/>
        <v>0.91044776119402981</v>
      </c>
      <c r="K400">
        <v>3151</v>
      </c>
      <c r="L400">
        <v>12</v>
      </c>
      <c r="M400">
        <v>3.7938665823585198E-3</v>
      </c>
      <c r="N400" s="25">
        <f t="shared" si="18"/>
        <v>3.7938665823584738E-3</v>
      </c>
      <c r="O400">
        <v>0.99620613341764097</v>
      </c>
      <c r="P400" s="25">
        <f t="shared" si="20"/>
        <v>0.99620613341764153</v>
      </c>
      <c r="Q400">
        <v>30</v>
      </c>
      <c r="R400" t="s">
        <v>124</v>
      </c>
      <c r="S400" t="s">
        <v>124</v>
      </c>
      <c r="T400" t="s">
        <v>124</v>
      </c>
      <c r="U400" t="s">
        <v>124</v>
      </c>
      <c r="X400" s="19">
        <f>J400</f>
        <v>0.91044776119402981</v>
      </c>
      <c r="Y400" s="19">
        <f>N400</f>
        <v>3.7938665823584738E-3</v>
      </c>
      <c r="Z400" s="26">
        <f>(L400+Q400)/(L400+Q400+H400+K400)</f>
        <v>1.2006861063464836E-2</v>
      </c>
    </row>
    <row r="401" spans="1:26" x14ac:dyDescent="0.35">
      <c r="A401" t="s">
        <v>122</v>
      </c>
      <c r="B401" t="s">
        <v>122</v>
      </c>
      <c r="C401" t="s">
        <v>123</v>
      </c>
      <c r="D401" t="s">
        <v>100</v>
      </c>
      <c r="E401" t="s">
        <v>99</v>
      </c>
      <c r="F401" t="s">
        <v>12</v>
      </c>
      <c r="G401">
        <v>1</v>
      </c>
      <c r="H401">
        <v>305</v>
      </c>
      <c r="I401">
        <v>0.91044776119402904</v>
      </c>
      <c r="J401" s="25">
        <f t="shared" si="19"/>
        <v>0.91044776119402981</v>
      </c>
      <c r="K401">
        <v>3151</v>
      </c>
      <c r="L401">
        <v>12</v>
      </c>
      <c r="M401">
        <v>3.7938665823585198E-3</v>
      </c>
      <c r="N401" s="25">
        <f t="shared" si="18"/>
        <v>3.7938665823584738E-3</v>
      </c>
      <c r="O401">
        <v>0.99620613341764097</v>
      </c>
      <c r="P401" s="25">
        <f t="shared" si="20"/>
        <v>0.99620613341764153</v>
      </c>
      <c r="Q401">
        <v>30</v>
      </c>
      <c r="R401" t="s">
        <v>124</v>
      </c>
      <c r="S401" t="s">
        <v>124</v>
      </c>
      <c r="T401" t="s">
        <v>124</v>
      </c>
      <c r="U401" t="s">
        <v>124</v>
      </c>
      <c r="X401" s="19">
        <f>J401</f>
        <v>0.91044776119402981</v>
      </c>
      <c r="Y401" s="19">
        <f>N401</f>
        <v>3.7938665823584738E-3</v>
      </c>
      <c r="Z401" s="26">
        <f>(L401+Q401)/(L401+Q401+H401+K401)</f>
        <v>1.2006861063464836E-2</v>
      </c>
    </row>
    <row r="402" spans="1:26" x14ac:dyDescent="0.35">
      <c r="A402" t="s">
        <v>122</v>
      </c>
      <c r="B402" t="s">
        <v>122</v>
      </c>
      <c r="C402" t="s">
        <v>123</v>
      </c>
      <c r="D402" t="s">
        <v>100</v>
      </c>
      <c r="E402" t="s">
        <v>99</v>
      </c>
      <c r="F402" t="s">
        <v>12</v>
      </c>
      <c r="G402">
        <v>1</v>
      </c>
      <c r="H402">
        <v>305</v>
      </c>
      <c r="I402">
        <v>0.91044776119402904</v>
      </c>
      <c r="J402" s="25">
        <f t="shared" si="19"/>
        <v>0.91044776119402981</v>
      </c>
      <c r="K402">
        <v>3151</v>
      </c>
      <c r="L402">
        <v>12</v>
      </c>
      <c r="M402">
        <v>3.7938665823585198E-3</v>
      </c>
      <c r="N402" s="25">
        <f t="shared" si="18"/>
        <v>3.7938665823584738E-3</v>
      </c>
      <c r="O402">
        <v>0.99620613341764097</v>
      </c>
      <c r="P402" s="25">
        <f t="shared" si="20"/>
        <v>0.99620613341764153</v>
      </c>
      <c r="Q402">
        <v>30</v>
      </c>
      <c r="R402" t="s">
        <v>124</v>
      </c>
      <c r="S402" t="s">
        <v>124</v>
      </c>
      <c r="T402" t="s">
        <v>124</v>
      </c>
      <c r="U402" t="s">
        <v>124</v>
      </c>
      <c r="X402" s="19">
        <f>J402</f>
        <v>0.91044776119402981</v>
      </c>
      <c r="Y402" s="19">
        <f>N402</f>
        <v>3.7938665823584738E-3</v>
      </c>
      <c r="Z402" s="26">
        <f>(L402+Q402)/(L402+Q402+H402+K402)</f>
        <v>1.2006861063464836E-2</v>
      </c>
    </row>
    <row r="403" spans="1:26" x14ac:dyDescent="0.35">
      <c r="A403" t="s">
        <v>122</v>
      </c>
      <c r="B403" t="s">
        <v>122</v>
      </c>
      <c r="C403" t="s">
        <v>123</v>
      </c>
      <c r="D403" t="s">
        <v>100</v>
      </c>
      <c r="E403" t="s">
        <v>99</v>
      </c>
      <c r="F403" t="s">
        <v>12</v>
      </c>
      <c r="G403">
        <v>1</v>
      </c>
      <c r="H403">
        <v>305</v>
      </c>
      <c r="I403">
        <v>0.91044776119402904</v>
      </c>
      <c r="J403" s="25">
        <f t="shared" si="19"/>
        <v>0.91044776119402981</v>
      </c>
      <c r="K403">
        <v>3151</v>
      </c>
      <c r="L403">
        <v>12</v>
      </c>
      <c r="M403">
        <v>3.7938665823585198E-3</v>
      </c>
      <c r="N403" s="25">
        <f t="shared" si="18"/>
        <v>3.7938665823584738E-3</v>
      </c>
      <c r="O403">
        <v>0.99620613341764097</v>
      </c>
      <c r="P403" s="25">
        <f t="shared" si="20"/>
        <v>0.99620613341764153</v>
      </c>
      <c r="Q403">
        <v>30</v>
      </c>
      <c r="R403" t="s">
        <v>124</v>
      </c>
      <c r="S403" t="s">
        <v>124</v>
      </c>
      <c r="T403" t="s">
        <v>124</v>
      </c>
      <c r="U403" t="s">
        <v>124</v>
      </c>
      <c r="X403" s="19">
        <f>J403</f>
        <v>0.91044776119402981</v>
      </c>
      <c r="Y403" s="19">
        <f>N403</f>
        <v>3.7938665823584738E-3</v>
      </c>
      <c r="Z403" s="26">
        <f>(L403+Q403)/(L403+Q403+H403+K403)</f>
        <v>1.2006861063464836E-2</v>
      </c>
    </row>
    <row r="404" spans="1:26" x14ac:dyDescent="0.35">
      <c r="A404" t="s">
        <v>122</v>
      </c>
      <c r="B404" t="s">
        <v>122</v>
      </c>
      <c r="C404" t="s">
        <v>123</v>
      </c>
      <c r="D404" t="s">
        <v>100</v>
      </c>
      <c r="E404" t="s">
        <v>99</v>
      </c>
      <c r="F404" t="s">
        <v>12</v>
      </c>
      <c r="G404">
        <v>1</v>
      </c>
      <c r="H404">
        <v>305</v>
      </c>
      <c r="I404">
        <v>0.91044776119402904</v>
      </c>
      <c r="J404" s="25">
        <f t="shared" si="19"/>
        <v>0.91044776119402981</v>
      </c>
      <c r="K404">
        <v>3151</v>
      </c>
      <c r="L404">
        <v>12</v>
      </c>
      <c r="M404">
        <v>3.7938665823585198E-3</v>
      </c>
      <c r="N404" s="25">
        <f t="shared" si="18"/>
        <v>3.7938665823584738E-3</v>
      </c>
      <c r="O404">
        <v>0.99620613341764097</v>
      </c>
      <c r="P404" s="25">
        <f t="shared" si="20"/>
        <v>0.99620613341764153</v>
      </c>
      <c r="Q404">
        <v>30</v>
      </c>
      <c r="R404" t="s">
        <v>124</v>
      </c>
      <c r="S404" t="s">
        <v>124</v>
      </c>
      <c r="T404" t="s">
        <v>124</v>
      </c>
      <c r="U404" t="s">
        <v>124</v>
      </c>
      <c r="X404" s="19">
        <f>J404</f>
        <v>0.91044776119402981</v>
      </c>
      <c r="Y404" s="19">
        <f>N404</f>
        <v>3.7938665823584738E-3</v>
      </c>
      <c r="Z404" s="26">
        <f>(L404+Q404)/(L404+Q404+H404+K404)</f>
        <v>1.2006861063464836E-2</v>
      </c>
    </row>
    <row r="405" spans="1:26" x14ac:dyDescent="0.35">
      <c r="A405" t="s">
        <v>122</v>
      </c>
      <c r="B405" t="s">
        <v>122</v>
      </c>
      <c r="C405" t="s">
        <v>123</v>
      </c>
      <c r="D405" t="s">
        <v>100</v>
      </c>
      <c r="E405" t="s">
        <v>99</v>
      </c>
      <c r="F405" t="s">
        <v>12</v>
      </c>
      <c r="G405">
        <v>1</v>
      </c>
      <c r="H405">
        <v>305</v>
      </c>
      <c r="I405">
        <v>0.91044776119402904</v>
      </c>
      <c r="J405" s="25">
        <f t="shared" si="19"/>
        <v>0.91044776119402981</v>
      </c>
      <c r="K405">
        <v>3151</v>
      </c>
      <c r="L405">
        <v>12</v>
      </c>
      <c r="M405">
        <v>3.7938665823585198E-3</v>
      </c>
      <c r="N405" s="25">
        <f t="shared" si="18"/>
        <v>3.7938665823584738E-3</v>
      </c>
      <c r="O405">
        <v>0.99620613341764097</v>
      </c>
      <c r="P405" s="25">
        <f t="shared" si="20"/>
        <v>0.99620613341764153</v>
      </c>
      <c r="Q405">
        <v>30</v>
      </c>
      <c r="R405" t="s">
        <v>124</v>
      </c>
      <c r="S405" t="s">
        <v>124</v>
      </c>
      <c r="T405" t="s">
        <v>124</v>
      </c>
      <c r="U405" t="s">
        <v>124</v>
      </c>
      <c r="X405" s="19">
        <f>J405</f>
        <v>0.91044776119402981</v>
      </c>
      <c r="Y405" s="19">
        <f>N405</f>
        <v>3.7938665823584738E-3</v>
      </c>
      <c r="Z405" s="26">
        <f>(L405+Q405)/(L405+Q405+H405+K405)</f>
        <v>1.2006861063464836E-2</v>
      </c>
    </row>
    <row r="406" spans="1:26" x14ac:dyDescent="0.35">
      <c r="A406" t="s">
        <v>122</v>
      </c>
      <c r="B406" t="s">
        <v>122</v>
      </c>
      <c r="C406" t="s">
        <v>123</v>
      </c>
      <c r="D406" t="s">
        <v>100</v>
      </c>
      <c r="E406" t="s">
        <v>99</v>
      </c>
      <c r="F406" t="s">
        <v>12</v>
      </c>
      <c r="G406">
        <v>1</v>
      </c>
      <c r="H406">
        <v>305</v>
      </c>
      <c r="I406">
        <v>0.91044776119402904</v>
      </c>
      <c r="J406" s="25">
        <f t="shared" si="19"/>
        <v>0.91044776119402981</v>
      </c>
      <c r="K406">
        <v>3151</v>
      </c>
      <c r="L406">
        <v>12</v>
      </c>
      <c r="M406">
        <v>3.7938665823585198E-3</v>
      </c>
      <c r="N406" s="25">
        <f t="shared" si="18"/>
        <v>3.7938665823584738E-3</v>
      </c>
      <c r="O406">
        <v>0.99620613341764097</v>
      </c>
      <c r="P406" s="25">
        <f t="shared" si="20"/>
        <v>0.99620613341764153</v>
      </c>
      <c r="Q406">
        <v>30</v>
      </c>
      <c r="R406" t="s">
        <v>124</v>
      </c>
      <c r="S406" t="s">
        <v>124</v>
      </c>
      <c r="T406" t="s">
        <v>124</v>
      </c>
      <c r="U406" t="s">
        <v>124</v>
      </c>
      <c r="X406" s="19">
        <f>J406</f>
        <v>0.91044776119402981</v>
      </c>
      <c r="Y406" s="19">
        <f>N406</f>
        <v>3.7938665823584738E-3</v>
      </c>
      <c r="Z406" s="26">
        <f>(L406+Q406)/(L406+Q406+H406+K406)</f>
        <v>1.2006861063464836E-2</v>
      </c>
    </row>
    <row r="407" spans="1:26" x14ac:dyDescent="0.35">
      <c r="A407" t="s">
        <v>122</v>
      </c>
      <c r="B407" t="s">
        <v>122</v>
      </c>
      <c r="C407" t="s">
        <v>123</v>
      </c>
      <c r="D407" t="s">
        <v>100</v>
      </c>
      <c r="E407" t="s">
        <v>99</v>
      </c>
      <c r="F407" t="s">
        <v>12</v>
      </c>
      <c r="G407">
        <v>1</v>
      </c>
      <c r="H407">
        <v>305</v>
      </c>
      <c r="I407">
        <v>0.91044776119402904</v>
      </c>
      <c r="J407" s="25">
        <f t="shared" si="19"/>
        <v>0.91044776119402981</v>
      </c>
      <c r="K407">
        <v>3151</v>
      </c>
      <c r="L407">
        <v>12</v>
      </c>
      <c r="M407">
        <v>3.7938665823585198E-3</v>
      </c>
      <c r="N407" s="25">
        <f t="shared" si="18"/>
        <v>3.7938665823584738E-3</v>
      </c>
      <c r="O407">
        <v>0.99620613341764097</v>
      </c>
      <c r="P407" s="25">
        <f t="shared" si="20"/>
        <v>0.99620613341764153</v>
      </c>
      <c r="Q407">
        <v>30</v>
      </c>
      <c r="R407" t="s">
        <v>124</v>
      </c>
      <c r="S407" t="s">
        <v>124</v>
      </c>
      <c r="T407" t="s">
        <v>124</v>
      </c>
      <c r="U407" t="s">
        <v>124</v>
      </c>
      <c r="X407" s="19">
        <f>J407</f>
        <v>0.91044776119402981</v>
      </c>
      <c r="Y407" s="19">
        <f>N407</f>
        <v>3.7938665823584738E-3</v>
      </c>
      <c r="Z407" s="26">
        <f>(L407+Q407)/(L407+Q407+H407+K407)</f>
        <v>1.2006861063464836E-2</v>
      </c>
    </row>
    <row r="408" spans="1:26" x14ac:dyDescent="0.35">
      <c r="A408" t="s">
        <v>122</v>
      </c>
      <c r="B408" t="s">
        <v>122</v>
      </c>
      <c r="C408" t="s">
        <v>123</v>
      </c>
      <c r="D408" t="s">
        <v>100</v>
      </c>
      <c r="E408" t="s">
        <v>99</v>
      </c>
      <c r="F408" t="s">
        <v>12</v>
      </c>
      <c r="G408">
        <v>1</v>
      </c>
      <c r="H408">
        <v>305</v>
      </c>
      <c r="I408">
        <v>0.91044776119402904</v>
      </c>
      <c r="J408" s="25">
        <f t="shared" si="19"/>
        <v>0.91044776119402981</v>
      </c>
      <c r="K408">
        <v>3151</v>
      </c>
      <c r="L408">
        <v>12</v>
      </c>
      <c r="M408">
        <v>3.7938665823585198E-3</v>
      </c>
      <c r="N408" s="25">
        <f t="shared" si="18"/>
        <v>3.7938665823584738E-3</v>
      </c>
      <c r="O408">
        <v>0.99620613341764097</v>
      </c>
      <c r="P408" s="25">
        <f t="shared" si="20"/>
        <v>0.99620613341764153</v>
      </c>
      <c r="Q408">
        <v>30</v>
      </c>
      <c r="R408" t="s">
        <v>124</v>
      </c>
      <c r="S408" t="s">
        <v>124</v>
      </c>
      <c r="T408" t="s">
        <v>124</v>
      </c>
      <c r="U408" t="s">
        <v>124</v>
      </c>
      <c r="X408" s="19">
        <f>J408</f>
        <v>0.91044776119402981</v>
      </c>
      <c r="Y408" s="19">
        <f>N408</f>
        <v>3.7938665823584738E-3</v>
      </c>
      <c r="Z408" s="26">
        <f>(L408+Q408)/(L408+Q408+H408+K408)</f>
        <v>1.2006861063464836E-2</v>
      </c>
    </row>
    <row r="409" spans="1:26" x14ac:dyDescent="0.35">
      <c r="A409" t="s">
        <v>122</v>
      </c>
      <c r="B409" t="s">
        <v>122</v>
      </c>
      <c r="C409" t="s">
        <v>123</v>
      </c>
      <c r="D409" t="s">
        <v>100</v>
      </c>
      <c r="E409" t="s">
        <v>99</v>
      </c>
      <c r="F409" t="s">
        <v>12</v>
      </c>
      <c r="G409">
        <v>1</v>
      </c>
      <c r="H409">
        <v>305</v>
      </c>
      <c r="I409">
        <v>0.91044776119402904</v>
      </c>
      <c r="J409" s="25">
        <f t="shared" si="19"/>
        <v>0.91044776119402981</v>
      </c>
      <c r="K409">
        <v>3151</v>
      </c>
      <c r="L409">
        <v>12</v>
      </c>
      <c r="M409">
        <v>3.7938665823585198E-3</v>
      </c>
      <c r="N409" s="25">
        <f t="shared" si="18"/>
        <v>3.7938665823584738E-3</v>
      </c>
      <c r="O409">
        <v>0.99620613341764097</v>
      </c>
      <c r="P409" s="25">
        <f t="shared" si="20"/>
        <v>0.99620613341764153</v>
      </c>
      <c r="Q409">
        <v>30</v>
      </c>
      <c r="R409" t="s">
        <v>124</v>
      </c>
      <c r="S409" t="s">
        <v>124</v>
      </c>
      <c r="T409" t="s">
        <v>124</v>
      </c>
      <c r="U409" t="s">
        <v>124</v>
      </c>
      <c r="X409" s="19">
        <f>J409</f>
        <v>0.91044776119402981</v>
      </c>
      <c r="Y409" s="19">
        <f>N409</f>
        <v>3.7938665823584738E-3</v>
      </c>
      <c r="Z409" s="26">
        <f>(L409+Q409)/(L409+Q409+H409+K409)</f>
        <v>1.2006861063464836E-2</v>
      </c>
    </row>
    <row r="410" spans="1:26" x14ac:dyDescent="0.35">
      <c r="A410" t="s">
        <v>122</v>
      </c>
      <c r="B410" t="s">
        <v>122</v>
      </c>
      <c r="C410" t="s">
        <v>123</v>
      </c>
      <c r="D410" t="s">
        <v>100</v>
      </c>
      <c r="E410" t="s">
        <v>99</v>
      </c>
      <c r="F410" t="s">
        <v>12</v>
      </c>
      <c r="G410">
        <v>1</v>
      </c>
      <c r="H410">
        <v>305</v>
      </c>
      <c r="I410">
        <v>0.91044776119402904</v>
      </c>
      <c r="J410" s="25">
        <f t="shared" si="19"/>
        <v>0.91044776119402981</v>
      </c>
      <c r="K410">
        <v>3151</v>
      </c>
      <c r="L410">
        <v>12</v>
      </c>
      <c r="M410">
        <v>3.7938665823585198E-3</v>
      </c>
      <c r="N410" s="25">
        <f t="shared" si="18"/>
        <v>3.7938665823584738E-3</v>
      </c>
      <c r="O410">
        <v>0.99620613341764097</v>
      </c>
      <c r="P410" s="25">
        <f t="shared" si="20"/>
        <v>0.99620613341764153</v>
      </c>
      <c r="Q410">
        <v>30</v>
      </c>
      <c r="R410" t="s">
        <v>124</v>
      </c>
      <c r="S410" t="s">
        <v>124</v>
      </c>
      <c r="T410" t="s">
        <v>124</v>
      </c>
      <c r="U410" t="s">
        <v>124</v>
      </c>
      <c r="X410" s="19">
        <f>J410</f>
        <v>0.91044776119402981</v>
      </c>
      <c r="Y410" s="19">
        <f>N410</f>
        <v>3.7938665823584738E-3</v>
      </c>
      <c r="Z410" s="26">
        <f>(L410+Q410)/(L410+Q410+H410+K410)</f>
        <v>1.2006861063464836E-2</v>
      </c>
    </row>
    <row r="411" spans="1:26" x14ac:dyDescent="0.35">
      <c r="A411" t="s">
        <v>122</v>
      </c>
      <c r="B411" t="s">
        <v>122</v>
      </c>
      <c r="C411" t="s">
        <v>123</v>
      </c>
      <c r="D411" t="s">
        <v>100</v>
      </c>
      <c r="E411" t="s">
        <v>99</v>
      </c>
      <c r="F411" t="s">
        <v>12</v>
      </c>
      <c r="G411">
        <v>1</v>
      </c>
      <c r="H411">
        <v>305</v>
      </c>
      <c r="I411">
        <v>0.91044776119402904</v>
      </c>
      <c r="J411" s="25">
        <f t="shared" si="19"/>
        <v>0.91044776119402981</v>
      </c>
      <c r="K411">
        <v>3151</v>
      </c>
      <c r="L411">
        <v>12</v>
      </c>
      <c r="M411">
        <v>3.7938665823585198E-3</v>
      </c>
      <c r="N411" s="25">
        <f t="shared" si="18"/>
        <v>3.7938665823584738E-3</v>
      </c>
      <c r="O411">
        <v>0.99620613341764097</v>
      </c>
      <c r="P411" s="25">
        <f t="shared" si="20"/>
        <v>0.99620613341764153</v>
      </c>
      <c r="Q411">
        <v>30</v>
      </c>
      <c r="R411" t="s">
        <v>124</v>
      </c>
      <c r="S411" t="s">
        <v>124</v>
      </c>
      <c r="T411" t="s">
        <v>124</v>
      </c>
      <c r="U411" t="s">
        <v>124</v>
      </c>
      <c r="X411" s="19">
        <f>J411</f>
        <v>0.91044776119402981</v>
      </c>
      <c r="Y411" s="19">
        <f>N411</f>
        <v>3.7938665823584738E-3</v>
      </c>
      <c r="Z411" s="26">
        <f>(L411+Q411)/(L411+Q411+H411+K411)</f>
        <v>1.2006861063464836E-2</v>
      </c>
    </row>
    <row r="412" spans="1:26" x14ac:dyDescent="0.35">
      <c r="A412" t="s">
        <v>122</v>
      </c>
      <c r="B412" t="s">
        <v>122</v>
      </c>
      <c r="C412" t="s">
        <v>123</v>
      </c>
      <c r="D412" t="s">
        <v>100</v>
      </c>
      <c r="E412" t="s">
        <v>99</v>
      </c>
      <c r="F412" t="s">
        <v>12</v>
      </c>
      <c r="G412">
        <v>1</v>
      </c>
      <c r="H412">
        <v>305</v>
      </c>
      <c r="I412">
        <v>0.91044776119402904</v>
      </c>
      <c r="J412" s="25">
        <f t="shared" si="19"/>
        <v>0.91044776119402981</v>
      </c>
      <c r="K412">
        <v>3151</v>
      </c>
      <c r="L412">
        <v>12</v>
      </c>
      <c r="M412">
        <v>3.7938665823585198E-3</v>
      </c>
      <c r="N412" s="25">
        <f t="shared" si="18"/>
        <v>3.7938665823584738E-3</v>
      </c>
      <c r="O412">
        <v>0.99620613341764097</v>
      </c>
      <c r="P412" s="25">
        <f t="shared" si="20"/>
        <v>0.99620613341764153</v>
      </c>
      <c r="Q412">
        <v>30</v>
      </c>
      <c r="R412" t="s">
        <v>124</v>
      </c>
      <c r="S412" t="s">
        <v>124</v>
      </c>
      <c r="T412" t="s">
        <v>124</v>
      </c>
      <c r="U412" t="s">
        <v>124</v>
      </c>
      <c r="X412" s="19">
        <f>J412</f>
        <v>0.91044776119402981</v>
      </c>
      <c r="Y412" s="19">
        <f>N412</f>
        <v>3.7938665823584738E-3</v>
      </c>
      <c r="Z412" s="26">
        <f>(L412+Q412)/(L412+Q412+H412+K412)</f>
        <v>1.2006861063464836E-2</v>
      </c>
    </row>
    <row r="413" spans="1:26" x14ac:dyDescent="0.35">
      <c r="A413" t="s">
        <v>122</v>
      </c>
      <c r="B413" t="s">
        <v>122</v>
      </c>
      <c r="C413" t="s">
        <v>123</v>
      </c>
      <c r="D413" t="s">
        <v>100</v>
      </c>
      <c r="E413" t="s">
        <v>99</v>
      </c>
      <c r="F413" t="s">
        <v>12</v>
      </c>
      <c r="G413">
        <v>1</v>
      </c>
      <c r="H413">
        <v>305</v>
      </c>
      <c r="I413">
        <v>0.91044776119402904</v>
      </c>
      <c r="J413" s="25">
        <f t="shared" si="19"/>
        <v>0.91044776119402981</v>
      </c>
      <c r="K413">
        <v>3151</v>
      </c>
      <c r="L413">
        <v>12</v>
      </c>
      <c r="M413">
        <v>3.7938665823585198E-3</v>
      </c>
      <c r="N413" s="25">
        <f t="shared" si="18"/>
        <v>3.7938665823584738E-3</v>
      </c>
      <c r="O413">
        <v>0.99620613341764097</v>
      </c>
      <c r="P413" s="25">
        <f t="shared" si="20"/>
        <v>0.99620613341764153</v>
      </c>
      <c r="Q413">
        <v>30</v>
      </c>
      <c r="R413" t="s">
        <v>124</v>
      </c>
      <c r="S413" t="s">
        <v>124</v>
      </c>
      <c r="T413" t="s">
        <v>124</v>
      </c>
      <c r="U413" t="s">
        <v>124</v>
      </c>
      <c r="X413" s="19">
        <f>J413</f>
        <v>0.91044776119402981</v>
      </c>
      <c r="Y413" s="19">
        <f>N413</f>
        <v>3.7938665823584738E-3</v>
      </c>
      <c r="Z413" s="26">
        <f>(L413+Q413)/(L413+Q413+H413+K413)</f>
        <v>1.2006861063464836E-2</v>
      </c>
    </row>
    <row r="414" spans="1:26" x14ac:dyDescent="0.35">
      <c r="A414" t="s">
        <v>122</v>
      </c>
      <c r="B414" t="s">
        <v>122</v>
      </c>
      <c r="C414" t="s">
        <v>123</v>
      </c>
      <c r="D414" t="s">
        <v>100</v>
      </c>
      <c r="E414" t="s">
        <v>99</v>
      </c>
      <c r="F414" t="s">
        <v>12</v>
      </c>
      <c r="G414">
        <v>1</v>
      </c>
      <c r="H414">
        <v>305</v>
      </c>
      <c r="I414">
        <v>0.91044776119402904</v>
      </c>
      <c r="J414" s="25">
        <f t="shared" si="19"/>
        <v>0.91044776119402981</v>
      </c>
      <c r="K414">
        <v>3151</v>
      </c>
      <c r="L414">
        <v>12</v>
      </c>
      <c r="M414">
        <v>3.7938665823585198E-3</v>
      </c>
      <c r="N414" s="25">
        <f t="shared" si="18"/>
        <v>3.7938665823584738E-3</v>
      </c>
      <c r="O414">
        <v>0.99620613341764097</v>
      </c>
      <c r="P414" s="25">
        <f t="shared" si="20"/>
        <v>0.99620613341764153</v>
      </c>
      <c r="Q414">
        <v>30</v>
      </c>
      <c r="R414" t="s">
        <v>124</v>
      </c>
      <c r="S414" t="s">
        <v>124</v>
      </c>
      <c r="T414" t="s">
        <v>124</v>
      </c>
      <c r="U414" t="s">
        <v>124</v>
      </c>
      <c r="X414" s="19">
        <f>J414</f>
        <v>0.91044776119402981</v>
      </c>
      <c r="Y414" s="19">
        <f>N414</f>
        <v>3.7938665823584738E-3</v>
      </c>
      <c r="Z414" s="26">
        <f>(L414+Q414)/(L414+Q414+H414+K414)</f>
        <v>1.2006861063464836E-2</v>
      </c>
    </row>
    <row r="415" spans="1:26" x14ac:dyDescent="0.35">
      <c r="A415" t="s">
        <v>122</v>
      </c>
      <c r="B415" t="s">
        <v>122</v>
      </c>
      <c r="C415" t="s">
        <v>123</v>
      </c>
      <c r="D415" t="s">
        <v>100</v>
      </c>
      <c r="E415" t="s">
        <v>99</v>
      </c>
      <c r="F415" t="s">
        <v>12</v>
      </c>
      <c r="G415">
        <v>1</v>
      </c>
      <c r="H415">
        <v>305</v>
      </c>
      <c r="I415">
        <v>0.91044776119402904</v>
      </c>
      <c r="J415" s="25">
        <f t="shared" si="19"/>
        <v>0.91044776119402981</v>
      </c>
      <c r="K415">
        <v>3151</v>
      </c>
      <c r="L415">
        <v>12</v>
      </c>
      <c r="M415">
        <v>3.7938665823585198E-3</v>
      </c>
      <c r="N415" s="25">
        <f t="shared" si="18"/>
        <v>3.7938665823584738E-3</v>
      </c>
      <c r="O415">
        <v>0.99620613341764097</v>
      </c>
      <c r="P415" s="25">
        <f t="shared" si="20"/>
        <v>0.99620613341764153</v>
      </c>
      <c r="Q415">
        <v>30</v>
      </c>
      <c r="R415" t="s">
        <v>124</v>
      </c>
      <c r="S415" t="s">
        <v>124</v>
      </c>
      <c r="T415" t="s">
        <v>124</v>
      </c>
      <c r="U415" t="s">
        <v>124</v>
      </c>
      <c r="X415" s="19">
        <f>J415</f>
        <v>0.91044776119402981</v>
      </c>
      <c r="Y415" s="19">
        <f>N415</f>
        <v>3.7938665823584738E-3</v>
      </c>
      <c r="Z415" s="26">
        <f>(L415+Q415)/(L415+Q415+H415+K415)</f>
        <v>1.2006861063464836E-2</v>
      </c>
    </row>
    <row r="416" spans="1:26" x14ac:dyDescent="0.35">
      <c r="A416" t="s">
        <v>122</v>
      </c>
      <c r="B416" t="s">
        <v>122</v>
      </c>
      <c r="C416" t="s">
        <v>123</v>
      </c>
      <c r="D416" t="s">
        <v>100</v>
      </c>
      <c r="E416" t="s">
        <v>99</v>
      </c>
      <c r="F416" t="s">
        <v>12</v>
      </c>
      <c r="G416">
        <v>1</v>
      </c>
      <c r="H416">
        <v>305</v>
      </c>
      <c r="I416">
        <v>0.91044776119402904</v>
      </c>
      <c r="J416" s="25">
        <f t="shared" si="19"/>
        <v>0.91044776119402981</v>
      </c>
      <c r="K416">
        <v>3151</v>
      </c>
      <c r="L416">
        <v>12</v>
      </c>
      <c r="M416">
        <v>3.7938665823585198E-3</v>
      </c>
      <c r="N416" s="25">
        <f t="shared" si="18"/>
        <v>3.7938665823584738E-3</v>
      </c>
      <c r="O416">
        <v>0.99620613341764097</v>
      </c>
      <c r="P416" s="25">
        <f t="shared" si="20"/>
        <v>0.99620613341764153</v>
      </c>
      <c r="Q416">
        <v>30</v>
      </c>
      <c r="R416" t="s">
        <v>124</v>
      </c>
      <c r="S416" t="s">
        <v>124</v>
      </c>
      <c r="T416" t="s">
        <v>124</v>
      </c>
      <c r="U416" t="s">
        <v>124</v>
      </c>
      <c r="X416" s="19">
        <f>J416</f>
        <v>0.91044776119402981</v>
      </c>
      <c r="Y416" s="19">
        <f>N416</f>
        <v>3.7938665823584738E-3</v>
      </c>
      <c r="Z416" s="26">
        <f>(L416+Q416)/(L416+Q416+H416+K416)</f>
        <v>1.2006861063464836E-2</v>
      </c>
    </row>
    <row r="417" spans="1:26" x14ac:dyDescent="0.35">
      <c r="A417" t="s">
        <v>122</v>
      </c>
      <c r="B417" t="s">
        <v>122</v>
      </c>
      <c r="C417" t="s">
        <v>123</v>
      </c>
      <c r="D417" t="s">
        <v>100</v>
      </c>
      <c r="E417" t="s">
        <v>99</v>
      </c>
      <c r="F417" t="s">
        <v>12</v>
      </c>
      <c r="G417">
        <v>1</v>
      </c>
      <c r="H417">
        <v>305</v>
      </c>
      <c r="I417">
        <v>0.91044776119402904</v>
      </c>
      <c r="J417" s="25">
        <f t="shared" si="19"/>
        <v>0.91044776119402981</v>
      </c>
      <c r="K417">
        <v>3151</v>
      </c>
      <c r="L417">
        <v>12</v>
      </c>
      <c r="M417">
        <v>3.7938665823585198E-3</v>
      </c>
      <c r="N417" s="25">
        <f t="shared" si="18"/>
        <v>3.7938665823584738E-3</v>
      </c>
      <c r="O417">
        <v>0.99620613341764097</v>
      </c>
      <c r="P417" s="25">
        <f t="shared" si="20"/>
        <v>0.99620613341764153</v>
      </c>
      <c r="Q417">
        <v>30</v>
      </c>
      <c r="R417" t="s">
        <v>124</v>
      </c>
      <c r="S417" t="s">
        <v>124</v>
      </c>
      <c r="T417" t="s">
        <v>124</v>
      </c>
      <c r="U417" t="s">
        <v>124</v>
      </c>
      <c r="X417" s="19">
        <f>J417</f>
        <v>0.91044776119402981</v>
      </c>
      <c r="Y417" s="19">
        <f>N417</f>
        <v>3.7938665823584738E-3</v>
      </c>
      <c r="Z417" s="26">
        <f>(L417+Q417)/(L417+Q417+H417+K417)</f>
        <v>1.2006861063464836E-2</v>
      </c>
    </row>
    <row r="418" spans="1:26" x14ac:dyDescent="0.35">
      <c r="A418" t="s">
        <v>122</v>
      </c>
      <c r="B418" t="s">
        <v>122</v>
      </c>
      <c r="C418" t="s">
        <v>123</v>
      </c>
      <c r="D418" t="s">
        <v>100</v>
      </c>
      <c r="E418" t="s">
        <v>99</v>
      </c>
      <c r="F418" t="s">
        <v>12</v>
      </c>
      <c r="G418">
        <v>1</v>
      </c>
      <c r="H418">
        <v>305</v>
      </c>
      <c r="I418">
        <v>0.91044776119402904</v>
      </c>
      <c r="J418" s="25">
        <f t="shared" si="19"/>
        <v>0.91044776119402981</v>
      </c>
      <c r="K418">
        <v>3151</v>
      </c>
      <c r="L418">
        <v>12</v>
      </c>
      <c r="M418">
        <v>3.7938665823585198E-3</v>
      </c>
      <c r="N418" s="25">
        <f t="shared" si="18"/>
        <v>3.7938665823584738E-3</v>
      </c>
      <c r="O418">
        <v>0.99620613341764097</v>
      </c>
      <c r="P418" s="25">
        <f t="shared" si="20"/>
        <v>0.99620613341764153</v>
      </c>
      <c r="Q418">
        <v>30</v>
      </c>
      <c r="R418" t="s">
        <v>124</v>
      </c>
      <c r="S418" t="s">
        <v>124</v>
      </c>
      <c r="T418" t="s">
        <v>124</v>
      </c>
      <c r="U418" t="s">
        <v>124</v>
      </c>
      <c r="X418" s="19">
        <f>J418</f>
        <v>0.91044776119402981</v>
      </c>
      <c r="Y418" s="19">
        <f>N418</f>
        <v>3.7938665823584738E-3</v>
      </c>
      <c r="Z418" s="26">
        <f>(L418+Q418)/(L418+Q418+H418+K418)</f>
        <v>1.2006861063464836E-2</v>
      </c>
    </row>
    <row r="419" spans="1:26" x14ac:dyDescent="0.35">
      <c r="A419" t="s">
        <v>122</v>
      </c>
      <c r="B419" t="s">
        <v>122</v>
      </c>
      <c r="C419" t="s">
        <v>123</v>
      </c>
      <c r="D419" t="s">
        <v>100</v>
      </c>
      <c r="E419" t="s">
        <v>99</v>
      </c>
      <c r="F419" t="s">
        <v>12</v>
      </c>
      <c r="G419">
        <v>1</v>
      </c>
      <c r="H419">
        <v>305</v>
      </c>
      <c r="I419">
        <v>0.91044776119402904</v>
      </c>
      <c r="J419" s="25">
        <f t="shared" si="19"/>
        <v>0.91044776119402981</v>
      </c>
      <c r="K419">
        <v>3151</v>
      </c>
      <c r="L419">
        <v>12</v>
      </c>
      <c r="M419">
        <v>3.7938665823585198E-3</v>
      </c>
      <c r="N419" s="25">
        <f t="shared" si="18"/>
        <v>3.7938665823584738E-3</v>
      </c>
      <c r="O419">
        <v>0.99620613341764097</v>
      </c>
      <c r="P419" s="25">
        <f t="shared" si="20"/>
        <v>0.99620613341764153</v>
      </c>
      <c r="Q419">
        <v>30</v>
      </c>
      <c r="R419" t="s">
        <v>124</v>
      </c>
      <c r="S419" t="s">
        <v>124</v>
      </c>
      <c r="T419" t="s">
        <v>124</v>
      </c>
      <c r="U419" t="s">
        <v>124</v>
      </c>
      <c r="X419" s="19">
        <f>J419</f>
        <v>0.91044776119402981</v>
      </c>
      <c r="Y419" s="19">
        <f>N419</f>
        <v>3.7938665823584738E-3</v>
      </c>
      <c r="Z419" s="26">
        <f>(L419+Q419)/(L419+Q419+H419+K419)</f>
        <v>1.2006861063464836E-2</v>
      </c>
    </row>
    <row r="420" spans="1:26" x14ac:dyDescent="0.35">
      <c r="A420" t="s">
        <v>122</v>
      </c>
      <c r="B420" t="s">
        <v>122</v>
      </c>
      <c r="C420" t="s">
        <v>123</v>
      </c>
      <c r="D420" t="s">
        <v>100</v>
      </c>
      <c r="E420" t="s">
        <v>99</v>
      </c>
      <c r="F420" t="s">
        <v>12</v>
      </c>
      <c r="G420">
        <v>1</v>
      </c>
      <c r="H420">
        <v>305</v>
      </c>
      <c r="I420">
        <v>0.91044776119402904</v>
      </c>
      <c r="J420" s="25">
        <f t="shared" si="19"/>
        <v>0.91044776119402981</v>
      </c>
      <c r="K420">
        <v>3151</v>
      </c>
      <c r="L420">
        <v>12</v>
      </c>
      <c r="M420">
        <v>3.7938665823585198E-3</v>
      </c>
      <c r="N420" s="25">
        <f t="shared" si="18"/>
        <v>3.7938665823584738E-3</v>
      </c>
      <c r="O420">
        <v>0.99620613341764097</v>
      </c>
      <c r="P420" s="25">
        <f t="shared" si="20"/>
        <v>0.99620613341764153</v>
      </c>
      <c r="Q420">
        <v>30</v>
      </c>
      <c r="R420" t="s">
        <v>124</v>
      </c>
      <c r="S420" t="s">
        <v>124</v>
      </c>
      <c r="T420" t="s">
        <v>124</v>
      </c>
      <c r="U420" t="s">
        <v>124</v>
      </c>
      <c r="X420" s="19">
        <f>J420</f>
        <v>0.91044776119402981</v>
      </c>
      <c r="Y420" s="19">
        <f>N420</f>
        <v>3.7938665823584738E-3</v>
      </c>
      <c r="Z420" s="26">
        <f>(L420+Q420)/(L420+Q420+H420+K420)</f>
        <v>1.2006861063464836E-2</v>
      </c>
    </row>
    <row r="421" spans="1:26" x14ac:dyDescent="0.35">
      <c r="A421" t="s">
        <v>122</v>
      </c>
      <c r="B421" t="s">
        <v>122</v>
      </c>
      <c r="C421" t="s">
        <v>123</v>
      </c>
      <c r="D421" t="s">
        <v>100</v>
      </c>
      <c r="E421" t="s">
        <v>99</v>
      </c>
      <c r="F421" t="s">
        <v>12</v>
      </c>
      <c r="G421">
        <v>1</v>
      </c>
      <c r="H421">
        <v>305</v>
      </c>
      <c r="I421">
        <v>0.91044776119402904</v>
      </c>
      <c r="J421" s="25">
        <f t="shared" si="19"/>
        <v>0.91044776119402981</v>
      </c>
      <c r="K421">
        <v>3151</v>
      </c>
      <c r="L421">
        <v>12</v>
      </c>
      <c r="M421">
        <v>3.7938665823585198E-3</v>
      </c>
      <c r="N421" s="25">
        <f t="shared" si="18"/>
        <v>3.7938665823584738E-3</v>
      </c>
      <c r="O421">
        <v>0.99620613341764097</v>
      </c>
      <c r="P421" s="25">
        <f t="shared" si="20"/>
        <v>0.99620613341764153</v>
      </c>
      <c r="Q421">
        <v>30</v>
      </c>
      <c r="R421" t="s">
        <v>124</v>
      </c>
      <c r="S421" t="s">
        <v>124</v>
      </c>
      <c r="T421" t="s">
        <v>124</v>
      </c>
      <c r="U421" t="s">
        <v>124</v>
      </c>
      <c r="X421" s="19">
        <f>J421</f>
        <v>0.91044776119402981</v>
      </c>
      <c r="Y421" s="19">
        <f>N421</f>
        <v>3.7938665823584738E-3</v>
      </c>
      <c r="Z421" s="26">
        <f>(L421+Q421)/(L421+Q421+H421+K421)</f>
        <v>1.2006861063464836E-2</v>
      </c>
    </row>
    <row r="422" spans="1:26" x14ac:dyDescent="0.35">
      <c r="A422" t="s">
        <v>122</v>
      </c>
      <c r="B422" t="s">
        <v>122</v>
      </c>
      <c r="C422" t="s">
        <v>123</v>
      </c>
      <c r="D422" t="s">
        <v>100</v>
      </c>
      <c r="E422" t="s">
        <v>99</v>
      </c>
      <c r="F422" t="s">
        <v>12</v>
      </c>
      <c r="G422">
        <v>1</v>
      </c>
      <c r="H422">
        <v>305</v>
      </c>
      <c r="I422">
        <v>0.91044776119402904</v>
      </c>
      <c r="J422" s="25">
        <f t="shared" si="19"/>
        <v>0.91044776119402981</v>
      </c>
      <c r="K422">
        <v>3151</v>
      </c>
      <c r="L422">
        <v>12</v>
      </c>
      <c r="M422">
        <v>3.7938665823585198E-3</v>
      </c>
      <c r="N422" s="25">
        <f t="shared" si="18"/>
        <v>3.7938665823584738E-3</v>
      </c>
      <c r="O422">
        <v>0.99620613341764097</v>
      </c>
      <c r="P422" s="25">
        <f t="shared" si="20"/>
        <v>0.99620613341764153</v>
      </c>
      <c r="Q422">
        <v>30</v>
      </c>
      <c r="R422" t="s">
        <v>124</v>
      </c>
      <c r="S422" t="s">
        <v>124</v>
      </c>
      <c r="T422" t="s">
        <v>124</v>
      </c>
      <c r="U422" t="s">
        <v>124</v>
      </c>
      <c r="X422" s="19">
        <f>J422</f>
        <v>0.91044776119402981</v>
      </c>
      <c r="Y422" s="19">
        <f>N422</f>
        <v>3.7938665823584738E-3</v>
      </c>
      <c r="Z422" s="26">
        <f>(L422+Q422)/(L422+Q422+H422+K422)</f>
        <v>1.2006861063464836E-2</v>
      </c>
    </row>
    <row r="423" spans="1:26" x14ac:dyDescent="0.35">
      <c r="A423" t="s">
        <v>122</v>
      </c>
      <c r="B423" t="s">
        <v>122</v>
      </c>
      <c r="C423" t="s">
        <v>123</v>
      </c>
      <c r="D423" t="s">
        <v>100</v>
      </c>
      <c r="E423" t="s">
        <v>99</v>
      </c>
      <c r="F423" t="s">
        <v>12</v>
      </c>
      <c r="G423">
        <v>1</v>
      </c>
      <c r="H423">
        <v>305</v>
      </c>
      <c r="I423">
        <v>0.91044776119402904</v>
      </c>
      <c r="J423" s="25">
        <f t="shared" si="19"/>
        <v>0.91044776119402981</v>
      </c>
      <c r="K423">
        <v>3151</v>
      </c>
      <c r="L423">
        <v>12</v>
      </c>
      <c r="M423">
        <v>3.7938665823585198E-3</v>
      </c>
      <c r="N423" s="25">
        <f t="shared" si="18"/>
        <v>3.7938665823584738E-3</v>
      </c>
      <c r="O423">
        <v>0.99620613341764097</v>
      </c>
      <c r="P423" s="25">
        <f t="shared" si="20"/>
        <v>0.99620613341764153</v>
      </c>
      <c r="Q423">
        <v>30</v>
      </c>
      <c r="R423" t="s">
        <v>124</v>
      </c>
      <c r="S423" t="s">
        <v>124</v>
      </c>
      <c r="T423" t="s">
        <v>124</v>
      </c>
      <c r="U423" t="s">
        <v>124</v>
      </c>
      <c r="X423" s="19">
        <f>J423</f>
        <v>0.91044776119402981</v>
      </c>
      <c r="Y423" s="19">
        <f>N423</f>
        <v>3.7938665823584738E-3</v>
      </c>
      <c r="Z423" s="26">
        <f>(L423+Q423)/(L423+Q423+H423+K423)</f>
        <v>1.2006861063464836E-2</v>
      </c>
    </row>
    <row r="424" spans="1:26" x14ac:dyDescent="0.35">
      <c r="A424" t="s">
        <v>122</v>
      </c>
      <c r="B424" t="s">
        <v>122</v>
      </c>
      <c r="C424" t="s">
        <v>123</v>
      </c>
      <c r="D424" t="s">
        <v>100</v>
      </c>
      <c r="E424" t="s">
        <v>99</v>
      </c>
      <c r="F424" t="s">
        <v>12</v>
      </c>
      <c r="G424">
        <v>1</v>
      </c>
      <c r="H424">
        <v>305</v>
      </c>
      <c r="I424">
        <v>0.91044776119402904</v>
      </c>
      <c r="J424" s="25">
        <f t="shared" si="19"/>
        <v>0.91044776119402981</v>
      </c>
      <c r="K424">
        <v>3151</v>
      </c>
      <c r="L424">
        <v>12</v>
      </c>
      <c r="M424">
        <v>3.7938665823585198E-3</v>
      </c>
      <c r="N424" s="25">
        <f t="shared" si="18"/>
        <v>3.7938665823584738E-3</v>
      </c>
      <c r="O424">
        <v>0.99620613341764097</v>
      </c>
      <c r="P424" s="25">
        <f t="shared" si="20"/>
        <v>0.99620613341764153</v>
      </c>
      <c r="Q424">
        <v>30</v>
      </c>
      <c r="R424" t="s">
        <v>124</v>
      </c>
      <c r="S424" t="s">
        <v>124</v>
      </c>
      <c r="T424" t="s">
        <v>124</v>
      </c>
      <c r="U424" t="s">
        <v>124</v>
      </c>
      <c r="X424" s="19">
        <f>J424</f>
        <v>0.91044776119402981</v>
      </c>
      <c r="Y424" s="19">
        <f>N424</f>
        <v>3.7938665823584738E-3</v>
      </c>
      <c r="Z424" s="26">
        <f>(L424+Q424)/(L424+Q424+H424+K424)</f>
        <v>1.2006861063464836E-2</v>
      </c>
    </row>
    <row r="425" spans="1:26" x14ac:dyDescent="0.35">
      <c r="A425" t="s">
        <v>122</v>
      </c>
      <c r="B425" t="s">
        <v>122</v>
      </c>
      <c r="C425" t="s">
        <v>123</v>
      </c>
      <c r="D425" t="s">
        <v>100</v>
      </c>
      <c r="E425" t="s">
        <v>99</v>
      </c>
      <c r="F425" t="s">
        <v>12</v>
      </c>
      <c r="G425">
        <v>1</v>
      </c>
      <c r="H425">
        <v>305</v>
      </c>
      <c r="I425">
        <v>0.91044776119402904</v>
      </c>
      <c r="J425" s="25">
        <f t="shared" si="19"/>
        <v>0.91044776119402981</v>
      </c>
      <c r="K425">
        <v>3151</v>
      </c>
      <c r="L425">
        <v>12</v>
      </c>
      <c r="M425">
        <v>3.7938665823585198E-3</v>
      </c>
      <c r="N425" s="25">
        <f t="shared" si="18"/>
        <v>3.7938665823584738E-3</v>
      </c>
      <c r="O425">
        <v>0.99620613341764097</v>
      </c>
      <c r="P425" s="25">
        <f t="shared" si="20"/>
        <v>0.99620613341764153</v>
      </c>
      <c r="Q425">
        <v>30</v>
      </c>
      <c r="R425" t="s">
        <v>124</v>
      </c>
      <c r="S425" t="s">
        <v>124</v>
      </c>
      <c r="T425" t="s">
        <v>124</v>
      </c>
      <c r="U425" t="s">
        <v>124</v>
      </c>
      <c r="X425" s="19">
        <f>J425</f>
        <v>0.91044776119402981</v>
      </c>
      <c r="Y425" s="19">
        <f>N425</f>
        <v>3.7938665823584738E-3</v>
      </c>
      <c r="Z425" s="26">
        <f>(L425+Q425)/(L425+Q425+H425+K425)</f>
        <v>1.2006861063464836E-2</v>
      </c>
    </row>
    <row r="426" spans="1:26" x14ac:dyDescent="0.35">
      <c r="A426" t="s">
        <v>122</v>
      </c>
      <c r="B426" t="s">
        <v>122</v>
      </c>
      <c r="C426" t="s">
        <v>123</v>
      </c>
      <c r="D426" t="s">
        <v>100</v>
      </c>
      <c r="E426" t="s">
        <v>99</v>
      </c>
      <c r="F426" t="s">
        <v>12</v>
      </c>
      <c r="G426">
        <v>1</v>
      </c>
      <c r="H426">
        <v>305</v>
      </c>
      <c r="I426">
        <v>0.91044776119402904</v>
      </c>
      <c r="J426" s="25">
        <f t="shared" si="19"/>
        <v>0.91044776119402981</v>
      </c>
      <c r="K426">
        <v>3151</v>
      </c>
      <c r="L426">
        <v>12</v>
      </c>
      <c r="M426">
        <v>3.7938665823585198E-3</v>
      </c>
      <c r="N426" s="25">
        <f t="shared" si="18"/>
        <v>3.7938665823584738E-3</v>
      </c>
      <c r="O426">
        <v>0.99620613341764097</v>
      </c>
      <c r="P426" s="25">
        <f t="shared" si="20"/>
        <v>0.99620613341764153</v>
      </c>
      <c r="Q426">
        <v>30</v>
      </c>
      <c r="R426" t="s">
        <v>124</v>
      </c>
      <c r="S426" t="s">
        <v>124</v>
      </c>
      <c r="T426" t="s">
        <v>124</v>
      </c>
      <c r="U426" t="s">
        <v>124</v>
      </c>
      <c r="X426" s="19">
        <f>J426</f>
        <v>0.91044776119402981</v>
      </c>
      <c r="Y426" s="19">
        <f>N426</f>
        <v>3.7938665823584738E-3</v>
      </c>
      <c r="Z426" s="26">
        <f>(L426+Q426)/(L426+Q426+H426+K426)</f>
        <v>1.2006861063464836E-2</v>
      </c>
    </row>
    <row r="427" spans="1:26" x14ac:dyDescent="0.35">
      <c r="A427" t="s">
        <v>122</v>
      </c>
      <c r="B427" t="s">
        <v>122</v>
      </c>
      <c r="C427" t="s">
        <v>123</v>
      </c>
      <c r="D427" t="s">
        <v>100</v>
      </c>
      <c r="E427" t="s">
        <v>99</v>
      </c>
      <c r="F427" t="s">
        <v>12</v>
      </c>
      <c r="G427">
        <v>1</v>
      </c>
      <c r="H427">
        <v>305</v>
      </c>
      <c r="I427">
        <v>0.91044776119402904</v>
      </c>
      <c r="J427" s="25">
        <f t="shared" si="19"/>
        <v>0.91044776119402981</v>
      </c>
      <c r="K427">
        <v>3151</v>
      </c>
      <c r="L427">
        <v>12</v>
      </c>
      <c r="M427">
        <v>3.7938665823585198E-3</v>
      </c>
      <c r="N427" s="25">
        <f t="shared" si="18"/>
        <v>3.7938665823584738E-3</v>
      </c>
      <c r="O427">
        <v>0.99620613341764097</v>
      </c>
      <c r="P427" s="25">
        <f t="shared" si="20"/>
        <v>0.99620613341764153</v>
      </c>
      <c r="Q427">
        <v>30</v>
      </c>
      <c r="R427" t="s">
        <v>124</v>
      </c>
      <c r="S427" t="s">
        <v>124</v>
      </c>
      <c r="T427" t="s">
        <v>124</v>
      </c>
      <c r="U427" t="s">
        <v>124</v>
      </c>
      <c r="X427" s="19">
        <f>J427</f>
        <v>0.91044776119402981</v>
      </c>
      <c r="Y427" s="19">
        <f>N427</f>
        <v>3.7938665823584738E-3</v>
      </c>
      <c r="Z427" s="26">
        <f>(L427+Q427)/(L427+Q427+H427+K427)</f>
        <v>1.2006861063464836E-2</v>
      </c>
    </row>
    <row r="428" spans="1:26" x14ac:dyDescent="0.35">
      <c r="A428" t="s">
        <v>122</v>
      </c>
      <c r="B428" t="s">
        <v>122</v>
      </c>
      <c r="C428" t="s">
        <v>123</v>
      </c>
      <c r="D428" t="s">
        <v>100</v>
      </c>
      <c r="E428" t="s">
        <v>99</v>
      </c>
      <c r="F428" t="s">
        <v>12</v>
      </c>
      <c r="G428">
        <v>1</v>
      </c>
      <c r="H428">
        <v>305</v>
      </c>
      <c r="I428">
        <v>0.91044776119402904</v>
      </c>
      <c r="J428" s="25">
        <f t="shared" si="19"/>
        <v>0.91044776119402981</v>
      </c>
      <c r="K428">
        <v>3151</v>
      </c>
      <c r="L428">
        <v>12</v>
      </c>
      <c r="M428">
        <v>3.7938665823585198E-3</v>
      </c>
      <c r="N428" s="25">
        <f t="shared" si="18"/>
        <v>3.7938665823584738E-3</v>
      </c>
      <c r="O428">
        <v>0.99620613341764097</v>
      </c>
      <c r="P428" s="25">
        <f t="shared" si="20"/>
        <v>0.99620613341764153</v>
      </c>
      <c r="Q428">
        <v>30</v>
      </c>
      <c r="R428" t="s">
        <v>124</v>
      </c>
      <c r="S428" t="s">
        <v>124</v>
      </c>
      <c r="T428" t="s">
        <v>124</v>
      </c>
      <c r="U428" t="s">
        <v>124</v>
      </c>
      <c r="X428" s="19">
        <f>J428</f>
        <v>0.91044776119402981</v>
      </c>
      <c r="Y428" s="19">
        <f>N428</f>
        <v>3.7938665823584738E-3</v>
      </c>
      <c r="Z428" s="26">
        <f>(L428+Q428)/(L428+Q428+H428+K428)</f>
        <v>1.2006861063464836E-2</v>
      </c>
    </row>
    <row r="429" spans="1:26" x14ac:dyDescent="0.35">
      <c r="A429" t="s">
        <v>122</v>
      </c>
      <c r="B429" t="s">
        <v>122</v>
      </c>
      <c r="C429" t="s">
        <v>123</v>
      </c>
      <c r="D429" t="s">
        <v>100</v>
      </c>
      <c r="E429" t="s">
        <v>99</v>
      </c>
      <c r="F429" t="s">
        <v>12</v>
      </c>
      <c r="G429">
        <v>1</v>
      </c>
      <c r="H429">
        <v>305</v>
      </c>
      <c r="I429">
        <v>0.91044776119402904</v>
      </c>
      <c r="J429" s="25">
        <f t="shared" si="19"/>
        <v>0.91044776119402981</v>
      </c>
      <c r="K429">
        <v>3151</v>
      </c>
      <c r="L429">
        <v>12</v>
      </c>
      <c r="M429">
        <v>3.7938665823585198E-3</v>
      </c>
      <c r="N429" s="25">
        <f t="shared" si="18"/>
        <v>3.7938665823584738E-3</v>
      </c>
      <c r="O429">
        <v>0.99620613341764097</v>
      </c>
      <c r="P429" s="25">
        <f t="shared" si="20"/>
        <v>0.99620613341764153</v>
      </c>
      <c r="Q429">
        <v>30</v>
      </c>
      <c r="R429" t="s">
        <v>124</v>
      </c>
      <c r="S429" t="s">
        <v>124</v>
      </c>
      <c r="T429" t="s">
        <v>124</v>
      </c>
      <c r="U429" t="s">
        <v>124</v>
      </c>
      <c r="X429" s="19">
        <f>J429</f>
        <v>0.91044776119402981</v>
      </c>
      <c r="Y429" s="19">
        <f>N429</f>
        <v>3.7938665823584738E-3</v>
      </c>
      <c r="Z429" s="26">
        <f>(L429+Q429)/(L429+Q429+H429+K429)</f>
        <v>1.2006861063464836E-2</v>
      </c>
    </row>
    <row r="430" spans="1:26" x14ac:dyDescent="0.35">
      <c r="A430" t="s">
        <v>122</v>
      </c>
      <c r="B430" t="s">
        <v>122</v>
      </c>
      <c r="C430" t="s">
        <v>123</v>
      </c>
      <c r="D430" t="s">
        <v>100</v>
      </c>
      <c r="E430" t="s">
        <v>99</v>
      </c>
      <c r="F430" t="s">
        <v>12</v>
      </c>
      <c r="G430">
        <v>1</v>
      </c>
      <c r="H430">
        <v>305</v>
      </c>
      <c r="I430">
        <v>0.91044776119402904</v>
      </c>
      <c r="J430" s="25">
        <f t="shared" si="19"/>
        <v>0.91044776119402981</v>
      </c>
      <c r="K430">
        <v>3151</v>
      </c>
      <c r="L430">
        <v>12</v>
      </c>
      <c r="M430">
        <v>3.7938665823585198E-3</v>
      </c>
      <c r="N430" s="25">
        <f t="shared" si="18"/>
        <v>3.7938665823584738E-3</v>
      </c>
      <c r="O430">
        <v>0.99620613341764097</v>
      </c>
      <c r="P430" s="25">
        <f t="shared" si="20"/>
        <v>0.99620613341764153</v>
      </c>
      <c r="Q430">
        <v>30</v>
      </c>
      <c r="R430" t="s">
        <v>124</v>
      </c>
      <c r="S430" t="s">
        <v>124</v>
      </c>
      <c r="T430" t="s">
        <v>124</v>
      </c>
      <c r="U430" t="s">
        <v>124</v>
      </c>
      <c r="X430" s="19">
        <f>J430</f>
        <v>0.91044776119402981</v>
      </c>
      <c r="Y430" s="19">
        <f>N430</f>
        <v>3.7938665823584738E-3</v>
      </c>
      <c r="Z430" s="26">
        <f>(L430+Q430)/(L430+Q430+H430+K430)</f>
        <v>1.2006861063464836E-2</v>
      </c>
    </row>
    <row r="431" spans="1:26" x14ac:dyDescent="0.35">
      <c r="A431" t="s">
        <v>122</v>
      </c>
      <c r="B431" t="s">
        <v>122</v>
      </c>
      <c r="C431" t="s">
        <v>123</v>
      </c>
      <c r="D431" t="s">
        <v>100</v>
      </c>
      <c r="E431" t="s">
        <v>99</v>
      </c>
      <c r="F431" t="s">
        <v>12</v>
      </c>
      <c r="G431">
        <v>1</v>
      </c>
      <c r="H431">
        <v>305</v>
      </c>
      <c r="I431">
        <v>0.91044776119402904</v>
      </c>
      <c r="J431" s="25">
        <f t="shared" si="19"/>
        <v>0.91044776119402981</v>
      </c>
      <c r="K431">
        <v>3151</v>
      </c>
      <c r="L431">
        <v>12</v>
      </c>
      <c r="M431">
        <v>3.7938665823585198E-3</v>
      </c>
      <c r="N431" s="25">
        <f t="shared" si="18"/>
        <v>3.7938665823584738E-3</v>
      </c>
      <c r="O431">
        <v>0.99620613341764097</v>
      </c>
      <c r="P431" s="25">
        <f t="shared" si="20"/>
        <v>0.99620613341764153</v>
      </c>
      <c r="Q431">
        <v>30</v>
      </c>
      <c r="R431" t="s">
        <v>124</v>
      </c>
      <c r="S431" t="s">
        <v>124</v>
      </c>
      <c r="T431" t="s">
        <v>124</v>
      </c>
      <c r="U431" t="s">
        <v>124</v>
      </c>
      <c r="X431" s="19">
        <f>J431</f>
        <v>0.91044776119402981</v>
      </c>
      <c r="Y431" s="19">
        <f>N431</f>
        <v>3.7938665823584738E-3</v>
      </c>
      <c r="Z431" s="26">
        <f>(L431+Q431)/(L431+Q431+H431+K431)</f>
        <v>1.2006861063464836E-2</v>
      </c>
    </row>
    <row r="432" spans="1:26" x14ac:dyDescent="0.35">
      <c r="A432" t="s">
        <v>122</v>
      </c>
      <c r="B432" t="s">
        <v>122</v>
      </c>
      <c r="C432" t="s">
        <v>123</v>
      </c>
      <c r="D432" t="s">
        <v>100</v>
      </c>
      <c r="E432" t="s">
        <v>99</v>
      </c>
      <c r="F432" t="s">
        <v>12</v>
      </c>
      <c r="G432">
        <v>1</v>
      </c>
      <c r="H432">
        <v>305</v>
      </c>
      <c r="I432">
        <v>0.91044776119402904</v>
      </c>
      <c r="J432" s="25">
        <f t="shared" si="19"/>
        <v>0.91044776119402981</v>
      </c>
      <c r="K432">
        <v>3151</v>
      </c>
      <c r="L432">
        <v>12</v>
      </c>
      <c r="M432">
        <v>3.7938665823585198E-3</v>
      </c>
      <c r="N432" s="25">
        <f t="shared" si="18"/>
        <v>3.7938665823584738E-3</v>
      </c>
      <c r="O432">
        <v>0.99620613341764097</v>
      </c>
      <c r="P432" s="25">
        <f t="shared" si="20"/>
        <v>0.99620613341764153</v>
      </c>
      <c r="Q432">
        <v>30</v>
      </c>
      <c r="R432" t="s">
        <v>124</v>
      </c>
      <c r="S432" t="s">
        <v>124</v>
      </c>
      <c r="T432" t="s">
        <v>124</v>
      </c>
      <c r="U432" t="s">
        <v>124</v>
      </c>
      <c r="X432" s="19">
        <f>J432</f>
        <v>0.91044776119402981</v>
      </c>
      <c r="Y432" s="19">
        <f>N432</f>
        <v>3.7938665823584738E-3</v>
      </c>
      <c r="Z432" s="26">
        <f>(L432+Q432)/(L432+Q432+H432+K432)</f>
        <v>1.2006861063464836E-2</v>
      </c>
    </row>
    <row r="433" spans="1:26" x14ac:dyDescent="0.35">
      <c r="A433" t="s">
        <v>122</v>
      </c>
      <c r="B433" t="s">
        <v>122</v>
      </c>
      <c r="C433" t="s">
        <v>123</v>
      </c>
      <c r="D433" t="s">
        <v>100</v>
      </c>
      <c r="E433" t="s">
        <v>99</v>
      </c>
      <c r="F433" t="s">
        <v>12</v>
      </c>
      <c r="G433">
        <v>1</v>
      </c>
      <c r="H433">
        <v>305</v>
      </c>
      <c r="I433">
        <v>0.91044776119402904</v>
      </c>
      <c r="J433" s="25">
        <f t="shared" si="19"/>
        <v>0.91044776119402981</v>
      </c>
      <c r="K433">
        <v>3151</v>
      </c>
      <c r="L433">
        <v>12</v>
      </c>
      <c r="M433">
        <v>3.7938665823585198E-3</v>
      </c>
      <c r="N433" s="25">
        <f t="shared" si="18"/>
        <v>3.7938665823584738E-3</v>
      </c>
      <c r="O433">
        <v>0.99620613341764097</v>
      </c>
      <c r="P433" s="25">
        <f t="shared" si="20"/>
        <v>0.99620613341764153</v>
      </c>
      <c r="Q433">
        <v>30</v>
      </c>
      <c r="R433" t="s">
        <v>124</v>
      </c>
      <c r="S433" t="s">
        <v>124</v>
      </c>
      <c r="T433" t="s">
        <v>124</v>
      </c>
      <c r="U433" t="s">
        <v>124</v>
      </c>
      <c r="X433" s="19">
        <f>J433</f>
        <v>0.91044776119402981</v>
      </c>
      <c r="Y433" s="19">
        <f>N433</f>
        <v>3.7938665823584738E-3</v>
      </c>
      <c r="Z433" s="26">
        <f>(L433+Q433)/(L433+Q433+H433+K433)</f>
        <v>1.2006861063464836E-2</v>
      </c>
    </row>
    <row r="434" spans="1:26" x14ac:dyDescent="0.35">
      <c r="A434" t="s">
        <v>122</v>
      </c>
      <c r="B434" t="s">
        <v>122</v>
      </c>
      <c r="C434" t="s">
        <v>123</v>
      </c>
      <c r="D434" t="s">
        <v>100</v>
      </c>
      <c r="E434" t="s">
        <v>99</v>
      </c>
      <c r="F434" t="s">
        <v>12</v>
      </c>
      <c r="G434">
        <v>1</v>
      </c>
      <c r="H434">
        <v>305</v>
      </c>
      <c r="I434">
        <v>0.91044776119402904</v>
      </c>
      <c r="J434" s="25">
        <f t="shared" si="19"/>
        <v>0.91044776119402981</v>
      </c>
      <c r="K434">
        <v>3151</v>
      </c>
      <c r="L434">
        <v>12</v>
      </c>
      <c r="M434">
        <v>3.7938665823585198E-3</v>
      </c>
      <c r="N434" s="25">
        <f t="shared" si="18"/>
        <v>3.7938665823584738E-3</v>
      </c>
      <c r="O434">
        <v>0.99620613341764097</v>
      </c>
      <c r="P434" s="25">
        <f t="shared" si="20"/>
        <v>0.99620613341764153</v>
      </c>
      <c r="Q434">
        <v>30</v>
      </c>
      <c r="R434" t="s">
        <v>124</v>
      </c>
      <c r="S434" t="s">
        <v>124</v>
      </c>
      <c r="T434" t="s">
        <v>124</v>
      </c>
      <c r="U434" t="s">
        <v>124</v>
      </c>
      <c r="X434" s="19">
        <f>J434</f>
        <v>0.91044776119402981</v>
      </c>
      <c r="Y434" s="19">
        <f>N434</f>
        <v>3.7938665823584738E-3</v>
      </c>
      <c r="Z434" s="26">
        <f>(L434+Q434)/(L434+Q434+H434+K434)</f>
        <v>1.2006861063464836E-2</v>
      </c>
    </row>
    <row r="435" spans="1:26" x14ac:dyDescent="0.35">
      <c r="A435" t="s">
        <v>122</v>
      </c>
      <c r="B435" t="s">
        <v>122</v>
      </c>
      <c r="C435" t="s">
        <v>123</v>
      </c>
      <c r="D435" t="s">
        <v>100</v>
      </c>
      <c r="E435" t="s">
        <v>99</v>
      </c>
      <c r="F435" t="s">
        <v>12</v>
      </c>
      <c r="G435">
        <v>1</v>
      </c>
      <c r="H435">
        <v>305</v>
      </c>
      <c r="I435">
        <v>0.91044776119402904</v>
      </c>
      <c r="J435" s="25">
        <f t="shared" si="19"/>
        <v>0.91044776119402981</v>
      </c>
      <c r="K435">
        <v>3151</v>
      </c>
      <c r="L435">
        <v>12</v>
      </c>
      <c r="M435">
        <v>3.7938665823585198E-3</v>
      </c>
      <c r="N435" s="25">
        <f t="shared" si="18"/>
        <v>3.7938665823584738E-3</v>
      </c>
      <c r="O435">
        <v>0.99620613341764097</v>
      </c>
      <c r="P435" s="25">
        <f t="shared" si="20"/>
        <v>0.99620613341764153</v>
      </c>
      <c r="Q435">
        <v>30</v>
      </c>
      <c r="R435" t="s">
        <v>124</v>
      </c>
      <c r="S435" t="s">
        <v>124</v>
      </c>
      <c r="T435" t="s">
        <v>124</v>
      </c>
      <c r="U435" t="s">
        <v>124</v>
      </c>
      <c r="X435" s="19">
        <f>J435</f>
        <v>0.91044776119402981</v>
      </c>
      <c r="Y435" s="19">
        <f>N435</f>
        <v>3.7938665823584738E-3</v>
      </c>
      <c r="Z435" s="26">
        <f>(L435+Q435)/(L435+Q435+H435+K435)</f>
        <v>1.2006861063464836E-2</v>
      </c>
    </row>
    <row r="436" spans="1:26" x14ac:dyDescent="0.35">
      <c r="A436" t="s">
        <v>122</v>
      </c>
      <c r="B436" t="s">
        <v>122</v>
      </c>
      <c r="C436" t="s">
        <v>123</v>
      </c>
      <c r="D436" t="s">
        <v>100</v>
      </c>
      <c r="E436" t="s">
        <v>99</v>
      </c>
      <c r="F436" t="s">
        <v>12</v>
      </c>
      <c r="G436">
        <v>1</v>
      </c>
      <c r="H436">
        <v>305</v>
      </c>
      <c r="I436">
        <v>0.91044776119402904</v>
      </c>
      <c r="J436" s="25">
        <f t="shared" si="19"/>
        <v>0.91044776119402981</v>
      </c>
      <c r="K436">
        <v>3151</v>
      </c>
      <c r="L436">
        <v>12</v>
      </c>
      <c r="M436">
        <v>3.7938665823585198E-3</v>
      </c>
      <c r="N436" s="25">
        <f t="shared" si="18"/>
        <v>3.7938665823584738E-3</v>
      </c>
      <c r="O436">
        <v>0.99620613341764097</v>
      </c>
      <c r="P436" s="25">
        <f t="shared" si="20"/>
        <v>0.99620613341764153</v>
      </c>
      <c r="Q436">
        <v>30</v>
      </c>
      <c r="R436" t="s">
        <v>124</v>
      </c>
      <c r="S436" t="s">
        <v>124</v>
      </c>
      <c r="T436" t="s">
        <v>124</v>
      </c>
      <c r="U436" t="s">
        <v>124</v>
      </c>
      <c r="X436" s="19">
        <f>J436</f>
        <v>0.91044776119402981</v>
      </c>
      <c r="Y436" s="19">
        <f>N436</f>
        <v>3.7938665823584738E-3</v>
      </c>
      <c r="Z436" s="26">
        <f>(L436+Q436)/(L436+Q436+H436+K436)</f>
        <v>1.2006861063464836E-2</v>
      </c>
    </row>
    <row r="437" spans="1:26" x14ac:dyDescent="0.35">
      <c r="A437" t="s">
        <v>122</v>
      </c>
      <c r="B437" t="s">
        <v>122</v>
      </c>
      <c r="C437" t="s">
        <v>123</v>
      </c>
      <c r="D437" t="s">
        <v>100</v>
      </c>
      <c r="E437" t="s">
        <v>99</v>
      </c>
      <c r="F437" t="s">
        <v>12</v>
      </c>
      <c r="G437">
        <v>1</v>
      </c>
      <c r="H437">
        <v>305</v>
      </c>
      <c r="I437">
        <v>0.91044776119402904</v>
      </c>
      <c r="J437" s="25">
        <f t="shared" si="19"/>
        <v>0.91044776119402981</v>
      </c>
      <c r="K437">
        <v>3151</v>
      </c>
      <c r="L437">
        <v>12</v>
      </c>
      <c r="M437">
        <v>3.7938665823585198E-3</v>
      </c>
      <c r="N437" s="25">
        <f t="shared" si="18"/>
        <v>3.7938665823584738E-3</v>
      </c>
      <c r="O437">
        <v>0.99620613341764097</v>
      </c>
      <c r="P437" s="25">
        <f t="shared" si="20"/>
        <v>0.99620613341764153</v>
      </c>
      <c r="Q437">
        <v>30</v>
      </c>
      <c r="R437" t="s">
        <v>124</v>
      </c>
      <c r="S437" t="s">
        <v>124</v>
      </c>
      <c r="T437" t="s">
        <v>124</v>
      </c>
      <c r="U437" t="s">
        <v>124</v>
      </c>
      <c r="X437" s="19">
        <f>J437</f>
        <v>0.91044776119402981</v>
      </c>
      <c r="Y437" s="19">
        <f>N437</f>
        <v>3.7938665823584738E-3</v>
      </c>
      <c r="Z437" s="26">
        <f>(L437+Q437)/(L437+Q437+H437+K437)</f>
        <v>1.2006861063464836E-2</v>
      </c>
    </row>
    <row r="438" spans="1:26" x14ac:dyDescent="0.35">
      <c r="A438" t="s">
        <v>122</v>
      </c>
      <c r="B438" t="s">
        <v>122</v>
      </c>
      <c r="C438" t="s">
        <v>123</v>
      </c>
      <c r="D438" t="s">
        <v>100</v>
      </c>
      <c r="E438" t="s">
        <v>99</v>
      </c>
      <c r="F438" t="s">
        <v>12</v>
      </c>
      <c r="G438">
        <v>1</v>
      </c>
      <c r="H438">
        <v>305</v>
      </c>
      <c r="I438">
        <v>0.91044776119402904</v>
      </c>
      <c r="J438" s="25">
        <f t="shared" si="19"/>
        <v>0.91044776119402981</v>
      </c>
      <c r="K438">
        <v>3151</v>
      </c>
      <c r="L438">
        <v>12</v>
      </c>
      <c r="M438">
        <v>3.7938665823585198E-3</v>
      </c>
      <c r="N438" s="25">
        <f t="shared" si="18"/>
        <v>3.7938665823584738E-3</v>
      </c>
      <c r="O438">
        <v>0.99620613341764097</v>
      </c>
      <c r="P438" s="25">
        <f t="shared" si="20"/>
        <v>0.99620613341764153</v>
      </c>
      <c r="Q438">
        <v>30</v>
      </c>
      <c r="R438" t="s">
        <v>124</v>
      </c>
      <c r="S438" t="s">
        <v>124</v>
      </c>
      <c r="T438" t="s">
        <v>124</v>
      </c>
      <c r="U438" t="s">
        <v>124</v>
      </c>
      <c r="X438" s="19">
        <f>J438</f>
        <v>0.91044776119402981</v>
      </c>
      <c r="Y438" s="19">
        <f>N438</f>
        <v>3.7938665823584738E-3</v>
      </c>
      <c r="Z438" s="26">
        <f>(L438+Q438)/(L438+Q438+H438+K438)</f>
        <v>1.2006861063464836E-2</v>
      </c>
    </row>
    <row r="439" spans="1:26" x14ac:dyDescent="0.35">
      <c r="A439" t="s">
        <v>122</v>
      </c>
      <c r="B439" t="s">
        <v>122</v>
      </c>
      <c r="C439" t="s">
        <v>123</v>
      </c>
      <c r="D439" t="s">
        <v>100</v>
      </c>
      <c r="E439" t="s">
        <v>99</v>
      </c>
      <c r="F439" t="s">
        <v>12</v>
      </c>
      <c r="G439">
        <v>1</v>
      </c>
      <c r="H439">
        <v>305</v>
      </c>
      <c r="I439">
        <v>0.91044776119402904</v>
      </c>
      <c r="J439" s="25">
        <f t="shared" si="19"/>
        <v>0.91044776119402981</v>
      </c>
      <c r="K439">
        <v>3151</v>
      </c>
      <c r="L439">
        <v>12</v>
      </c>
      <c r="M439">
        <v>3.7938665823585198E-3</v>
      </c>
      <c r="N439" s="25">
        <f t="shared" si="18"/>
        <v>3.7938665823584738E-3</v>
      </c>
      <c r="O439">
        <v>0.99620613341764097</v>
      </c>
      <c r="P439" s="25">
        <f t="shared" si="20"/>
        <v>0.99620613341764153</v>
      </c>
      <c r="Q439">
        <v>30</v>
      </c>
      <c r="R439" t="s">
        <v>124</v>
      </c>
      <c r="S439" t="s">
        <v>124</v>
      </c>
      <c r="T439" t="s">
        <v>124</v>
      </c>
      <c r="U439" t="s">
        <v>124</v>
      </c>
      <c r="X439" s="19">
        <f>J439</f>
        <v>0.91044776119402981</v>
      </c>
      <c r="Y439" s="19">
        <f>N439</f>
        <v>3.7938665823584738E-3</v>
      </c>
      <c r="Z439" s="26">
        <f>(L439+Q439)/(L439+Q439+H439+K439)</f>
        <v>1.2006861063464836E-2</v>
      </c>
    </row>
    <row r="440" spans="1:26" x14ac:dyDescent="0.35">
      <c r="A440" t="s">
        <v>122</v>
      </c>
      <c r="B440" t="s">
        <v>122</v>
      </c>
      <c r="C440" t="s">
        <v>123</v>
      </c>
      <c r="D440" t="s">
        <v>100</v>
      </c>
      <c r="E440" t="s">
        <v>99</v>
      </c>
      <c r="F440" t="s">
        <v>12</v>
      </c>
      <c r="G440">
        <v>1</v>
      </c>
      <c r="H440">
        <v>305</v>
      </c>
      <c r="I440">
        <v>0.91044776119402904</v>
      </c>
      <c r="J440" s="25">
        <f t="shared" si="19"/>
        <v>0.91044776119402981</v>
      </c>
      <c r="K440">
        <v>3151</v>
      </c>
      <c r="L440">
        <v>12</v>
      </c>
      <c r="M440">
        <v>3.7938665823585198E-3</v>
      </c>
      <c r="N440" s="25">
        <f t="shared" si="18"/>
        <v>3.7938665823584738E-3</v>
      </c>
      <c r="O440">
        <v>0.99620613341764097</v>
      </c>
      <c r="P440" s="25">
        <f t="shared" si="20"/>
        <v>0.99620613341764153</v>
      </c>
      <c r="Q440">
        <v>30</v>
      </c>
      <c r="R440" t="s">
        <v>124</v>
      </c>
      <c r="S440" t="s">
        <v>124</v>
      </c>
      <c r="T440" t="s">
        <v>124</v>
      </c>
      <c r="U440" t="s">
        <v>124</v>
      </c>
      <c r="X440" s="19">
        <f>J440</f>
        <v>0.91044776119402981</v>
      </c>
      <c r="Y440" s="19">
        <f>N440</f>
        <v>3.7938665823584738E-3</v>
      </c>
      <c r="Z440" s="26">
        <f>(L440+Q440)/(L440+Q440+H440+K440)</f>
        <v>1.2006861063464836E-2</v>
      </c>
    </row>
    <row r="441" spans="1:26" x14ac:dyDescent="0.35">
      <c r="A441" t="s">
        <v>122</v>
      </c>
      <c r="B441" t="s">
        <v>122</v>
      </c>
      <c r="C441" t="s">
        <v>123</v>
      </c>
      <c r="D441" t="s">
        <v>100</v>
      </c>
      <c r="E441" t="s">
        <v>99</v>
      </c>
      <c r="F441" t="s">
        <v>12</v>
      </c>
      <c r="G441">
        <v>1</v>
      </c>
      <c r="H441">
        <v>305</v>
      </c>
      <c r="I441">
        <v>0.91044776119402904</v>
      </c>
      <c r="J441" s="25">
        <f t="shared" si="19"/>
        <v>0.91044776119402981</v>
      </c>
      <c r="K441">
        <v>3151</v>
      </c>
      <c r="L441">
        <v>12</v>
      </c>
      <c r="M441">
        <v>3.7938665823585198E-3</v>
      </c>
      <c r="N441" s="25">
        <f t="shared" si="18"/>
        <v>3.7938665823584738E-3</v>
      </c>
      <c r="O441">
        <v>0.99620613341764097</v>
      </c>
      <c r="P441" s="25">
        <f t="shared" si="20"/>
        <v>0.99620613341764153</v>
      </c>
      <c r="Q441">
        <v>30</v>
      </c>
      <c r="R441" t="s">
        <v>124</v>
      </c>
      <c r="S441" t="s">
        <v>124</v>
      </c>
      <c r="T441" t="s">
        <v>124</v>
      </c>
      <c r="U441" t="s">
        <v>124</v>
      </c>
      <c r="X441" s="19">
        <f>J441</f>
        <v>0.91044776119402981</v>
      </c>
      <c r="Y441" s="19">
        <f>N441</f>
        <v>3.7938665823584738E-3</v>
      </c>
      <c r="Z441" s="26">
        <f>(L441+Q441)/(L441+Q441+H441+K441)</f>
        <v>1.2006861063464836E-2</v>
      </c>
    </row>
    <row r="442" spans="1:26" x14ac:dyDescent="0.35">
      <c r="A442" t="s">
        <v>122</v>
      </c>
      <c r="B442" t="s">
        <v>122</v>
      </c>
      <c r="C442" t="s">
        <v>123</v>
      </c>
      <c r="D442" t="s">
        <v>100</v>
      </c>
      <c r="E442" t="s">
        <v>99</v>
      </c>
      <c r="F442" t="s">
        <v>12</v>
      </c>
      <c r="G442">
        <v>1</v>
      </c>
      <c r="H442">
        <v>305</v>
      </c>
      <c r="I442">
        <v>0.91044776119402904</v>
      </c>
      <c r="J442" s="25">
        <f t="shared" si="19"/>
        <v>0.91044776119402981</v>
      </c>
      <c r="K442">
        <v>3151</v>
      </c>
      <c r="L442">
        <v>12</v>
      </c>
      <c r="M442">
        <v>3.7938665823585198E-3</v>
      </c>
      <c r="N442" s="25">
        <f t="shared" si="18"/>
        <v>3.7938665823584738E-3</v>
      </c>
      <c r="O442">
        <v>0.99620613341764097</v>
      </c>
      <c r="P442" s="25">
        <f t="shared" si="20"/>
        <v>0.99620613341764153</v>
      </c>
      <c r="Q442">
        <v>30</v>
      </c>
      <c r="R442" t="s">
        <v>124</v>
      </c>
      <c r="S442" t="s">
        <v>124</v>
      </c>
      <c r="T442" t="s">
        <v>124</v>
      </c>
      <c r="U442" t="s">
        <v>124</v>
      </c>
      <c r="X442" s="19">
        <f>J442</f>
        <v>0.91044776119402981</v>
      </c>
      <c r="Y442" s="19">
        <f>N442</f>
        <v>3.7938665823584738E-3</v>
      </c>
      <c r="Z442" s="26">
        <f>(L442+Q442)/(L442+Q442+H442+K442)</f>
        <v>1.2006861063464836E-2</v>
      </c>
    </row>
    <row r="443" spans="1:26" x14ac:dyDescent="0.35">
      <c r="A443" t="s">
        <v>122</v>
      </c>
      <c r="B443" t="s">
        <v>122</v>
      </c>
      <c r="C443" t="s">
        <v>123</v>
      </c>
      <c r="D443" t="s">
        <v>100</v>
      </c>
      <c r="E443" t="s">
        <v>99</v>
      </c>
      <c r="F443" t="s">
        <v>12</v>
      </c>
      <c r="G443">
        <v>1</v>
      </c>
      <c r="H443">
        <v>305</v>
      </c>
      <c r="I443">
        <v>0.91044776119402904</v>
      </c>
      <c r="J443" s="25">
        <f t="shared" si="19"/>
        <v>0.91044776119402981</v>
      </c>
      <c r="K443">
        <v>3151</v>
      </c>
      <c r="L443">
        <v>12</v>
      </c>
      <c r="M443">
        <v>3.7938665823585198E-3</v>
      </c>
      <c r="N443" s="25">
        <f t="shared" si="18"/>
        <v>3.7938665823584738E-3</v>
      </c>
      <c r="O443">
        <v>0.99620613341764097</v>
      </c>
      <c r="P443" s="25">
        <f t="shared" si="20"/>
        <v>0.99620613341764153</v>
      </c>
      <c r="Q443">
        <v>30</v>
      </c>
      <c r="R443" t="s">
        <v>124</v>
      </c>
      <c r="S443" t="s">
        <v>124</v>
      </c>
      <c r="T443" t="s">
        <v>124</v>
      </c>
      <c r="U443" t="s">
        <v>124</v>
      </c>
      <c r="X443" s="19">
        <f>J443</f>
        <v>0.91044776119402981</v>
      </c>
      <c r="Y443" s="19">
        <f>N443</f>
        <v>3.7938665823584738E-3</v>
      </c>
      <c r="Z443" s="26">
        <f>(L443+Q443)/(L443+Q443+H443+K443)</f>
        <v>1.2006861063464836E-2</v>
      </c>
    </row>
    <row r="444" spans="1:26" x14ac:dyDescent="0.35">
      <c r="A444" t="s">
        <v>122</v>
      </c>
      <c r="B444" t="s">
        <v>122</v>
      </c>
      <c r="C444" t="s">
        <v>123</v>
      </c>
      <c r="D444" t="s">
        <v>100</v>
      </c>
      <c r="E444" t="s">
        <v>99</v>
      </c>
      <c r="F444" t="s">
        <v>12</v>
      </c>
      <c r="G444">
        <v>1</v>
      </c>
      <c r="H444">
        <v>305</v>
      </c>
      <c r="I444">
        <v>0.91044776119402904</v>
      </c>
      <c r="J444" s="25">
        <f t="shared" si="19"/>
        <v>0.91044776119402981</v>
      </c>
      <c r="K444">
        <v>3151</v>
      </c>
      <c r="L444">
        <v>12</v>
      </c>
      <c r="M444">
        <v>3.7938665823585198E-3</v>
      </c>
      <c r="N444" s="25">
        <f t="shared" si="18"/>
        <v>3.7938665823584738E-3</v>
      </c>
      <c r="O444">
        <v>0.99620613341764097</v>
      </c>
      <c r="P444" s="25">
        <f t="shared" si="20"/>
        <v>0.99620613341764153</v>
      </c>
      <c r="Q444">
        <v>30</v>
      </c>
      <c r="R444" t="s">
        <v>124</v>
      </c>
      <c r="S444" t="s">
        <v>124</v>
      </c>
      <c r="T444" t="s">
        <v>124</v>
      </c>
      <c r="U444" t="s">
        <v>124</v>
      </c>
      <c r="X444" s="19">
        <f>J444</f>
        <v>0.91044776119402981</v>
      </c>
      <c r="Y444" s="19">
        <f>N444</f>
        <v>3.7938665823584738E-3</v>
      </c>
      <c r="Z444" s="26">
        <f>(L444+Q444)/(L444+Q444+H444+K444)</f>
        <v>1.2006861063464836E-2</v>
      </c>
    </row>
    <row r="445" spans="1:26" x14ac:dyDescent="0.35">
      <c r="A445" t="s">
        <v>122</v>
      </c>
      <c r="B445" t="s">
        <v>122</v>
      </c>
      <c r="C445" t="s">
        <v>123</v>
      </c>
      <c r="D445" t="s">
        <v>100</v>
      </c>
      <c r="E445" t="s">
        <v>99</v>
      </c>
      <c r="F445" t="s">
        <v>12</v>
      </c>
      <c r="G445">
        <v>1</v>
      </c>
      <c r="H445">
        <v>305</v>
      </c>
      <c r="I445">
        <v>0.91044776119402904</v>
      </c>
      <c r="J445" s="25">
        <f t="shared" si="19"/>
        <v>0.91044776119402981</v>
      </c>
      <c r="K445">
        <v>3151</v>
      </c>
      <c r="L445">
        <v>12</v>
      </c>
      <c r="M445">
        <v>3.7938665823585198E-3</v>
      </c>
      <c r="N445" s="25">
        <f t="shared" si="18"/>
        <v>3.7938665823584738E-3</v>
      </c>
      <c r="O445">
        <v>0.99620613341764097</v>
      </c>
      <c r="P445" s="25">
        <f t="shared" si="20"/>
        <v>0.99620613341764153</v>
      </c>
      <c r="Q445">
        <v>30</v>
      </c>
      <c r="R445" t="s">
        <v>124</v>
      </c>
      <c r="S445" t="s">
        <v>124</v>
      </c>
      <c r="T445" t="s">
        <v>124</v>
      </c>
      <c r="U445" t="s">
        <v>124</v>
      </c>
      <c r="X445" s="19">
        <f>J445</f>
        <v>0.91044776119402981</v>
      </c>
      <c r="Y445" s="19">
        <f>N445</f>
        <v>3.7938665823584738E-3</v>
      </c>
      <c r="Z445" s="26">
        <f>(L445+Q445)/(L445+Q445+H445+K445)</f>
        <v>1.2006861063464836E-2</v>
      </c>
    </row>
    <row r="446" spans="1:26" x14ac:dyDescent="0.35">
      <c r="A446" t="s">
        <v>122</v>
      </c>
      <c r="B446" t="s">
        <v>122</v>
      </c>
      <c r="C446" t="s">
        <v>123</v>
      </c>
      <c r="D446" t="s">
        <v>100</v>
      </c>
      <c r="E446" t="s">
        <v>99</v>
      </c>
      <c r="F446" t="s">
        <v>12</v>
      </c>
      <c r="G446">
        <v>1</v>
      </c>
      <c r="H446">
        <v>305</v>
      </c>
      <c r="I446">
        <v>0.91044776119402904</v>
      </c>
      <c r="J446" s="25">
        <f t="shared" si="19"/>
        <v>0.91044776119402981</v>
      </c>
      <c r="K446">
        <v>3151</v>
      </c>
      <c r="L446">
        <v>12</v>
      </c>
      <c r="M446">
        <v>3.7938665823585198E-3</v>
      </c>
      <c r="N446" s="25">
        <f t="shared" si="18"/>
        <v>3.7938665823584738E-3</v>
      </c>
      <c r="O446">
        <v>0.99620613341764097</v>
      </c>
      <c r="P446" s="25">
        <f t="shared" si="20"/>
        <v>0.99620613341764153</v>
      </c>
      <c r="Q446">
        <v>30</v>
      </c>
      <c r="R446" t="s">
        <v>124</v>
      </c>
      <c r="S446" t="s">
        <v>124</v>
      </c>
      <c r="T446" t="s">
        <v>124</v>
      </c>
      <c r="U446" t="s">
        <v>124</v>
      </c>
      <c r="X446" s="19">
        <f>J446</f>
        <v>0.91044776119402981</v>
      </c>
      <c r="Y446" s="19">
        <f>N446</f>
        <v>3.7938665823584738E-3</v>
      </c>
      <c r="Z446" s="26">
        <f>(L446+Q446)/(L446+Q446+H446+K446)</f>
        <v>1.2006861063464836E-2</v>
      </c>
    </row>
    <row r="447" spans="1:26" x14ac:dyDescent="0.35">
      <c r="A447" t="s">
        <v>122</v>
      </c>
      <c r="B447" t="s">
        <v>122</v>
      </c>
      <c r="C447" t="s">
        <v>123</v>
      </c>
      <c r="D447" t="s">
        <v>100</v>
      </c>
      <c r="E447" t="s">
        <v>99</v>
      </c>
      <c r="F447" t="s">
        <v>12</v>
      </c>
      <c r="G447">
        <v>1</v>
      </c>
      <c r="H447">
        <v>305</v>
      </c>
      <c r="I447">
        <v>0.91044776119402904</v>
      </c>
      <c r="J447" s="25">
        <f t="shared" si="19"/>
        <v>0.91044776119402981</v>
      </c>
      <c r="K447">
        <v>3151</v>
      </c>
      <c r="L447">
        <v>12</v>
      </c>
      <c r="M447">
        <v>3.7938665823585198E-3</v>
      </c>
      <c r="N447" s="25">
        <f t="shared" si="18"/>
        <v>3.7938665823584738E-3</v>
      </c>
      <c r="O447">
        <v>0.99620613341764097</v>
      </c>
      <c r="P447" s="25">
        <f t="shared" si="20"/>
        <v>0.99620613341764153</v>
      </c>
      <c r="Q447">
        <v>30</v>
      </c>
      <c r="R447" t="s">
        <v>124</v>
      </c>
      <c r="S447" t="s">
        <v>124</v>
      </c>
      <c r="T447" t="s">
        <v>124</v>
      </c>
      <c r="U447" t="s">
        <v>124</v>
      </c>
      <c r="X447" s="19">
        <f>J447</f>
        <v>0.91044776119402981</v>
      </c>
      <c r="Y447" s="19">
        <f>N447</f>
        <v>3.7938665823584738E-3</v>
      </c>
      <c r="Z447" s="26">
        <f>(L447+Q447)/(L447+Q447+H447+K447)</f>
        <v>1.2006861063464836E-2</v>
      </c>
    </row>
    <row r="448" spans="1:26" x14ac:dyDescent="0.35">
      <c r="A448" t="s">
        <v>122</v>
      </c>
      <c r="B448" t="s">
        <v>122</v>
      </c>
      <c r="C448" t="s">
        <v>123</v>
      </c>
      <c r="D448" t="s">
        <v>100</v>
      </c>
      <c r="E448" t="s">
        <v>99</v>
      </c>
      <c r="F448" t="s">
        <v>12</v>
      </c>
      <c r="G448">
        <v>1</v>
      </c>
      <c r="H448">
        <v>305</v>
      </c>
      <c r="I448">
        <v>0.91044776119402904</v>
      </c>
      <c r="J448" s="25">
        <f t="shared" si="19"/>
        <v>0.91044776119402981</v>
      </c>
      <c r="K448">
        <v>3151</v>
      </c>
      <c r="L448">
        <v>12</v>
      </c>
      <c r="M448">
        <v>3.7938665823585198E-3</v>
      </c>
      <c r="N448" s="25">
        <f t="shared" si="18"/>
        <v>3.7938665823584738E-3</v>
      </c>
      <c r="O448">
        <v>0.99620613341764097</v>
      </c>
      <c r="P448" s="25">
        <f t="shared" si="20"/>
        <v>0.99620613341764153</v>
      </c>
      <c r="Q448">
        <v>30</v>
      </c>
      <c r="R448" t="s">
        <v>124</v>
      </c>
      <c r="S448" t="s">
        <v>124</v>
      </c>
      <c r="T448" t="s">
        <v>124</v>
      </c>
      <c r="U448" t="s">
        <v>124</v>
      </c>
      <c r="X448" s="19">
        <f>J448</f>
        <v>0.91044776119402981</v>
      </c>
      <c r="Y448" s="19">
        <f>N448</f>
        <v>3.7938665823584738E-3</v>
      </c>
      <c r="Z448" s="26">
        <f>(L448+Q448)/(L448+Q448+H448+K448)</f>
        <v>1.2006861063464836E-2</v>
      </c>
    </row>
    <row r="449" spans="1:26" x14ac:dyDescent="0.35">
      <c r="A449" t="s">
        <v>122</v>
      </c>
      <c r="B449" t="s">
        <v>122</v>
      </c>
      <c r="C449" t="s">
        <v>123</v>
      </c>
      <c r="D449" t="s">
        <v>100</v>
      </c>
      <c r="E449" t="s">
        <v>99</v>
      </c>
      <c r="F449" t="s">
        <v>12</v>
      </c>
      <c r="G449">
        <v>1</v>
      </c>
      <c r="H449">
        <v>305</v>
      </c>
      <c r="I449">
        <v>0.91044776119402904</v>
      </c>
      <c r="J449" s="25">
        <f t="shared" si="19"/>
        <v>0.91044776119402981</v>
      </c>
      <c r="K449">
        <v>3151</v>
      </c>
      <c r="L449">
        <v>12</v>
      </c>
      <c r="M449">
        <v>3.7938665823585198E-3</v>
      </c>
      <c r="N449" s="25">
        <f t="shared" si="18"/>
        <v>3.7938665823584738E-3</v>
      </c>
      <c r="O449">
        <v>0.99620613341764097</v>
      </c>
      <c r="P449" s="25">
        <f t="shared" si="20"/>
        <v>0.99620613341764153</v>
      </c>
      <c r="Q449">
        <v>30</v>
      </c>
      <c r="R449" t="s">
        <v>124</v>
      </c>
      <c r="S449" t="s">
        <v>124</v>
      </c>
      <c r="T449" t="s">
        <v>124</v>
      </c>
      <c r="U449" t="s">
        <v>124</v>
      </c>
      <c r="X449" s="19">
        <f>J449</f>
        <v>0.91044776119402981</v>
      </c>
      <c r="Y449" s="19">
        <f>N449</f>
        <v>3.7938665823584738E-3</v>
      </c>
      <c r="Z449" s="26">
        <f>(L449+Q449)/(L449+Q449+H449+K449)</f>
        <v>1.2006861063464836E-2</v>
      </c>
    </row>
    <row r="450" spans="1:26" x14ac:dyDescent="0.35">
      <c r="A450" t="s">
        <v>122</v>
      </c>
      <c r="B450" t="s">
        <v>122</v>
      </c>
      <c r="C450" t="s">
        <v>123</v>
      </c>
      <c r="D450" t="s">
        <v>100</v>
      </c>
      <c r="E450" t="s">
        <v>99</v>
      </c>
      <c r="F450" t="s">
        <v>12</v>
      </c>
      <c r="G450">
        <v>1</v>
      </c>
      <c r="H450">
        <v>305</v>
      </c>
      <c r="I450">
        <v>0.91044776119402904</v>
      </c>
      <c r="J450" s="25">
        <f t="shared" si="19"/>
        <v>0.91044776119402981</v>
      </c>
      <c r="K450">
        <v>3151</v>
      </c>
      <c r="L450">
        <v>12</v>
      </c>
      <c r="M450">
        <v>3.7938665823585198E-3</v>
      </c>
      <c r="N450" s="25">
        <f t="shared" ref="N450:N513" si="21">1-P450</f>
        <v>3.7938665823584738E-3</v>
      </c>
      <c r="O450">
        <v>0.99620613341764097</v>
      </c>
      <c r="P450" s="25">
        <f t="shared" si="20"/>
        <v>0.99620613341764153</v>
      </c>
      <c r="Q450">
        <v>30</v>
      </c>
      <c r="R450" t="s">
        <v>124</v>
      </c>
      <c r="S450" t="s">
        <v>124</v>
      </c>
      <c r="T450" t="s">
        <v>124</v>
      </c>
      <c r="U450" t="s">
        <v>124</v>
      </c>
      <c r="X450" s="19">
        <f>J450</f>
        <v>0.91044776119402981</v>
      </c>
      <c r="Y450" s="19">
        <f>N450</f>
        <v>3.7938665823584738E-3</v>
      </c>
      <c r="Z450" s="26">
        <f>(L450+Q450)/(L450+Q450+H450+K450)</f>
        <v>1.2006861063464836E-2</v>
      </c>
    </row>
    <row r="451" spans="1:26" x14ac:dyDescent="0.35">
      <c r="A451" t="s">
        <v>122</v>
      </c>
      <c r="B451" t="s">
        <v>122</v>
      </c>
      <c r="C451" t="s">
        <v>123</v>
      </c>
      <c r="D451" t="s">
        <v>100</v>
      </c>
      <c r="E451" t="s">
        <v>99</v>
      </c>
      <c r="F451" t="s">
        <v>12</v>
      </c>
      <c r="G451">
        <v>1</v>
      </c>
      <c r="H451">
        <v>305</v>
      </c>
      <c r="I451">
        <v>0.91044776119402904</v>
      </c>
      <c r="J451" s="25">
        <f t="shared" ref="J451:J514" si="22">H451/(H451+Q451)</f>
        <v>0.91044776119402981</v>
      </c>
      <c r="K451">
        <v>3151</v>
      </c>
      <c r="L451">
        <v>12</v>
      </c>
      <c r="M451">
        <v>3.7938665823585198E-3</v>
      </c>
      <c r="N451" s="25">
        <f t="shared" si="21"/>
        <v>3.7938665823584738E-3</v>
      </c>
      <c r="O451">
        <v>0.99620613341764097</v>
      </c>
      <c r="P451" s="25">
        <f t="shared" ref="P451:P514" si="23">K451/(K451+L451)</f>
        <v>0.99620613341764153</v>
      </c>
      <c r="Q451">
        <v>30</v>
      </c>
      <c r="R451" t="s">
        <v>124</v>
      </c>
      <c r="S451" t="s">
        <v>124</v>
      </c>
      <c r="T451" t="s">
        <v>124</v>
      </c>
      <c r="U451" t="s">
        <v>124</v>
      </c>
      <c r="X451" s="19">
        <f>J451</f>
        <v>0.91044776119402981</v>
      </c>
      <c r="Y451" s="19">
        <f>N451</f>
        <v>3.7938665823584738E-3</v>
      </c>
      <c r="Z451" s="26">
        <f>(L451+Q451)/(L451+Q451+H451+K451)</f>
        <v>1.2006861063464836E-2</v>
      </c>
    </row>
    <row r="452" spans="1:26" x14ac:dyDescent="0.35">
      <c r="A452" t="s">
        <v>122</v>
      </c>
      <c r="B452" t="s">
        <v>122</v>
      </c>
      <c r="C452" t="s">
        <v>123</v>
      </c>
      <c r="D452" t="s">
        <v>100</v>
      </c>
      <c r="E452" t="s">
        <v>99</v>
      </c>
      <c r="F452" t="s">
        <v>12</v>
      </c>
      <c r="G452">
        <v>1</v>
      </c>
      <c r="H452">
        <v>305</v>
      </c>
      <c r="I452">
        <v>0.91044776119402904</v>
      </c>
      <c r="J452" s="25">
        <f t="shared" si="22"/>
        <v>0.91044776119402981</v>
      </c>
      <c r="K452">
        <v>3151</v>
      </c>
      <c r="L452">
        <v>12</v>
      </c>
      <c r="M452">
        <v>3.7938665823585198E-3</v>
      </c>
      <c r="N452" s="25">
        <f t="shared" si="21"/>
        <v>3.7938665823584738E-3</v>
      </c>
      <c r="O452">
        <v>0.99620613341764097</v>
      </c>
      <c r="P452" s="25">
        <f t="shared" si="23"/>
        <v>0.99620613341764153</v>
      </c>
      <c r="Q452">
        <v>30</v>
      </c>
      <c r="R452" t="s">
        <v>124</v>
      </c>
      <c r="S452" t="s">
        <v>124</v>
      </c>
      <c r="T452" t="s">
        <v>124</v>
      </c>
      <c r="U452" t="s">
        <v>124</v>
      </c>
      <c r="X452" s="19">
        <f>J452</f>
        <v>0.91044776119402981</v>
      </c>
      <c r="Y452" s="19">
        <f>N452</f>
        <v>3.7938665823584738E-3</v>
      </c>
      <c r="Z452" s="26">
        <f>(L452+Q452)/(L452+Q452+H452+K452)</f>
        <v>1.2006861063464836E-2</v>
      </c>
    </row>
    <row r="453" spans="1:26" x14ac:dyDescent="0.35">
      <c r="A453" t="s">
        <v>122</v>
      </c>
      <c r="B453" t="s">
        <v>122</v>
      </c>
      <c r="C453" t="s">
        <v>123</v>
      </c>
      <c r="D453" t="s">
        <v>100</v>
      </c>
      <c r="E453" t="s">
        <v>99</v>
      </c>
      <c r="F453" t="s">
        <v>12</v>
      </c>
      <c r="G453">
        <v>1</v>
      </c>
      <c r="H453">
        <v>305</v>
      </c>
      <c r="I453">
        <v>0.91044776119402904</v>
      </c>
      <c r="J453" s="25">
        <f t="shared" si="22"/>
        <v>0.91044776119402981</v>
      </c>
      <c r="K453">
        <v>3151</v>
      </c>
      <c r="L453">
        <v>12</v>
      </c>
      <c r="M453">
        <v>3.7938665823585198E-3</v>
      </c>
      <c r="N453" s="25">
        <f t="shared" si="21"/>
        <v>3.7938665823584738E-3</v>
      </c>
      <c r="O453">
        <v>0.99620613341764097</v>
      </c>
      <c r="P453" s="25">
        <f t="shared" si="23"/>
        <v>0.99620613341764153</v>
      </c>
      <c r="Q453">
        <v>30</v>
      </c>
      <c r="R453" t="s">
        <v>124</v>
      </c>
      <c r="S453" t="s">
        <v>124</v>
      </c>
      <c r="T453" t="s">
        <v>124</v>
      </c>
      <c r="U453" t="s">
        <v>124</v>
      </c>
      <c r="X453" s="19">
        <f>J453</f>
        <v>0.91044776119402981</v>
      </c>
      <c r="Y453" s="19">
        <f>N453</f>
        <v>3.7938665823584738E-3</v>
      </c>
      <c r="Z453" s="26">
        <f>(L453+Q453)/(L453+Q453+H453+K453)</f>
        <v>1.2006861063464836E-2</v>
      </c>
    </row>
    <row r="454" spans="1:26" x14ac:dyDescent="0.35">
      <c r="A454" t="s">
        <v>122</v>
      </c>
      <c r="B454" t="s">
        <v>122</v>
      </c>
      <c r="C454" t="s">
        <v>123</v>
      </c>
      <c r="D454" t="s">
        <v>100</v>
      </c>
      <c r="E454" t="s">
        <v>99</v>
      </c>
      <c r="F454" t="s">
        <v>12</v>
      </c>
      <c r="G454">
        <v>1</v>
      </c>
      <c r="H454">
        <v>305</v>
      </c>
      <c r="I454">
        <v>0.91044776119402904</v>
      </c>
      <c r="J454" s="25">
        <f t="shared" si="22"/>
        <v>0.91044776119402981</v>
      </c>
      <c r="K454">
        <v>3151</v>
      </c>
      <c r="L454">
        <v>12</v>
      </c>
      <c r="M454">
        <v>3.7938665823585198E-3</v>
      </c>
      <c r="N454" s="25">
        <f t="shared" si="21"/>
        <v>3.7938665823584738E-3</v>
      </c>
      <c r="O454">
        <v>0.99620613341764097</v>
      </c>
      <c r="P454" s="25">
        <f t="shared" si="23"/>
        <v>0.99620613341764153</v>
      </c>
      <c r="Q454">
        <v>30</v>
      </c>
      <c r="R454" t="s">
        <v>124</v>
      </c>
      <c r="S454" t="s">
        <v>124</v>
      </c>
      <c r="T454" t="s">
        <v>124</v>
      </c>
      <c r="U454" t="s">
        <v>124</v>
      </c>
      <c r="X454" s="19">
        <f>J454</f>
        <v>0.91044776119402981</v>
      </c>
      <c r="Y454" s="19">
        <f>N454</f>
        <v>3.7938665823584738E-3</v>
      </c>
      <c r="Z454" s="26">
        <f>(L454+Q454)/(L454+Q454+H454+K454)</f>
        <v>1.2006861063464836E-2</v>
      </c>
    </row>
    <row r="455" spans="1:26" x14ac:dyDescent="0.35">
      <c r="A455" t="s">
        <v>122</v>
      </c>
      <c r="B455" t="s">
        <v>122</v>
      </c>
      <c r="C455" t="s">
        <v>123</v>
      </c>
      <c r="D455" t="s">
        <v>100</v>
      </c>
      <c r="E455" t="s">
        <v>99</v>
      </c>
      <c r="F455" t="s">
        <v>12</v>
      </c>
      <c r="G455">
        <v>1</v>
      </c>
      <c r="H455">
        <v>305</v>
      </c>
      <c r="I455">
        <v>0.91044776119402904</v>
      </c>
      <c r="J455" s="25">
        <f t="shared" si="22"/>
        <v>0.91044776119402981</v>
      </c>
      <c r="K455">
        <v>3151</v>
      </c>
      <c r="L455">
        <v>12</v>
      </c>
      <c r="M455">
        <v>3.7938665823585198E-3</v>
      </c>
      <c r="N455" s="25">
        <f t="shared" si="21"/>
        <v>3.7938665823584738E-3</v>
      </c>
      <c r="O455">
        <v>0.99620613341764097</v>
      </c>
      <c r="P455" s="25">
        <f t="shared" si="23"/>
        <v>0.99620613341764153</v>
      </c>
      <c r="Q455">
        <v>30</v>
      </c>
      <c r="R455" t="s">
        <v>124</v>
      </c>
      <c r="S455" t="s">
        <v>124</v>
      </c>
      <c r="T455" t="s">
        <v>124</v>
      </c>
      <c r="U455" t="s">
        <v>124</v>
      </c>
      <c r="X455" s="19">
        <f>J455</f>
        <v>0.91044776119402981</v>
      </c>
      <c r="Y455" s="19">
        <f>N455</f>
        <v>3.7938665823584738E-3</v>
      </c>
      <c r="Z455" s="26">
        <f>(L455+Q455)/(L455+Q455+H455+K455)</f>
        <v>1.2006861063464836E-2</v>
      </c>
    </row>
    <row r="456" spans="1:26" x14ac:dyDescent="0.35">
      <c r="A456" t="s">
        <v>122</v>
      </c>
      <c r="B456" t="s">
        <v>122</v>
      </c>
      <c r="C456" t="s">
        <v>123</v>
      </c>
      <c r="D456" t="s">
        <v>100</v>
      </c>
      <c r="E456" t="s">
        <v>99</v>
      </c>
      <c r="F456" t="s">
        <v>12</v>
      </c>
      <c r="G456">
        <v>1</v>
      </c>
      <c r="H456">
        <v>305</v>
      </c>
      <c r="I456">
        <v>0.91044776119402904</v>
      </c>
      <c r="J456" s="25">
        <f t="shared" si="22"/>
        <v>0.91044776119402981</v>
      </c>
      <c r="K456">
        <v>3151</v>
      </c>
      <c r="L456">
        <v>12</v>
      </c>
      <c r="M456">
        <v>3.7938665823585198E-3</v>
      </c>
      <c r="N456" s="25">
        <f t="shared" si="21"/>
        <v>3.7938665823584738E-3</v>
      </c>
      <c r="O456">
        <v>0.99620613341764097</v>
      </c>
      <c r="P456" s="25">
        <f t="shared" si="23"/>
        <v>0.99620613341764153</v>
      </c>
      <c r="Q456">
        <v>30</v>
      </c>
      <c r="R456" t="s">
        <v>124</v>
      </c>
      <c r="S456" t="s">
        <v>124</v>
      </c>
      <c r="T456" t="s">
        <v>124</v>
      </c>
      <c r="U456" t="s">
        <v>124</v>
      </c>
      <c r="X456" s="19">
        <f>J456</f>
        <v>0.91044776119402981</v>
      </c>
      <c r="Y456" s="19">
        <f>N456</f>
        <v>3.7938665823584738E-3</v>
      </c>
      <c r="Z456" s="26">
        <f>(L456+Q456)/(L456+Q456+H456+K456)</f>
        <v>1.2006861063464836E-2</v>
      </c>
    </row>
    <row r="457" spans="1:26" x14ac:dyDescent="0.35">
      <c r="A457" t="s">
        <v>122</v>
      </c>
      <c r="B457" t="s">
        <v>122</v>
      </c>
      <c r="C457" t="s">
        <v>123</v>
      </c>
      <c r="D457" t="s">
        <v>100</v>
      </c>
      <c r="E457" t="s">
        <v>99</v>
      </c>
      <c r="F457" t="s">
        <v>12</v>
      </c>
      <c r="G457">
        <v>1</v>
      </c>
      <c r="H457">
        <v>305</v>
      </c>
      <c r="I457">
        <v>0.91044776119402904</v>
      </c>
      <c r="J457" s="25">
        <f t="shared" si="22"/>
        <v>0.91044776119402981</v>
      </c>
      <c r="K457">
        <v>3151</v>
      </c>
      <c r="L457">
        <v>12</v>
      </c>
      <c r="M457">
        <v>3.7938665823585198E-3</v>
      </c>
      <c r="N457" s="25">
        <f t="shared" si="21"/>
        <v>3.7938665823584738E-3</v>
      </c>
      <c r="O457">
        <v>0.99620613341764097</v>
      </c>
      <c r="P457" s="25">
        <f t="shared" si="23"/>
        <v>0.99620613341764153</v>
      </c>
      <c r="Q457">
        <v>30</v>
      </c>
      <c r="R457" t="s">
        <v>124</v>
      </c>
      <c r="S457" t="s">
        <v>124</v>
      </c>
      <c r="T457" t="s">
        <v>124</v>
      </c>
      <c r="U457" t="s">
        <v>124</v>
      </c>
      <c r="X457" s="19">
        <f>J457</f>
        <v>0.91044776119402981</v>
      </c>
      <c r="Y457" s="19">
        <f>N457</f>
        <v>3.7938665823584738E-3</v>
      </c>
      <c r="Z457" s="26">
        <f>(L457+Q457)/(L457+Q457+H457+K457)</f>
        <v>1.2006861063464836E-2</v>
      </c>
    </row>
    <row r="458" spans="1:26" x14ac:dyDescent="0.35">
      <c r="A458" t="s">
        <v>122</v>
      </c>
      <c r="B458" t="s">
        <v>122</v>
      </c>
      <c r="C458" t="s">
        <v>123</v>
      </c>
      <c r="D458" t="s">
        <v>100</v>
      </c>
      <c r="E458" t="s">
        <v>99</v>
      </c>
      <c r="F458" t="s">
        <v>12</v>
      </c>
      <c r="G458">
        <v>1</v>
      </c>
      <c r="H458">
        <v>305</v>
      </c>
      <c r="I458">
        <v>0.91044776119402904</v>
      </c>
      <c r="J458" s="25">
        <f t="shared" si="22"/>
        <v>0.91044776119402981</v>
      </c>
      <c r="K458">
        <v>3151</v>
      </c>
      <c r="L458">
        <v>12</v>
      </c>
      <c r="M458">
        <v>3.7938665823585198E-3</v>
      </c>
      <c r="N458" s="25">
        <f t="shared" si="21"/>
        <v>3.7938665823584738E-3</v>
      </c>
      <c r="O458">
        <v>0.99620613341764097</v>
      </c>
      <c r="P458" s="25">
        <f t="shared" si="23"/>
        <v>0.99620613341764153</v>
      </c>
      <c r="Q458">
        <v>30</v>
      </c>
      <c r="R458" t="s">
        <v>124</v>
      </c>
      <c r="S458" t="s">
        <v>124</v>
      </c>
      <c r="T458" t="s">
        <v>124</v>
      </c>
      <c r="U458" t="s">
        <v>124</v>
      </c>
      <c r="X458" s="19">
        <f>J458</f>
        <v>0.91044776119402981</v>
      </c>
      <c r="Y458" s="19">
        <f>N458</f>
        <v>3.7938665823584738E-3</v>
      </c>
      <c r="Z458" s="26">
        <f>(L458+Q458)/(L458+Q458+H458+K458)</f>
        <v>1.2006861063464836E-2</v>
      </c>
    </row>
    <row r="459" spans="1:26" x14ac:dyDescent="0.35">
      <c r="A459" t="s">
        <v>122</v>
      </c>
      <c r="B459" t="s">
        <v>122</v>
      </c>
      <c r="C459" t="s">
        <v>123</v>
      </c>
      <c r="D459" t="s">
        <v>100</v>
      </c>
      <c r="E459" t="s">
        <v>99</v>
      </c>
      <c r="F459" t="s">
        <v>12</v>
      </c>
      <c r="G459">
        <v>1</v>
      </c>
      <c r="H459">
        <v>305</v>
      </c>
      <c r="I459">
        <v>0.91044776119402904</v>
      </c>
      <c r="J459" s="25">
        <f t="shared" si="22"/>
        <v>0.91044776119402981</v>
      </c>
      <c r="K459">
        <v>3151</v>
      </c>
      <c r="L459">
        <v>12</v>
      </c>
      <c r="M459">
        <v>3.7938665823585198E-3</v>
      </c>
      <c r="N459" s="25">
        <f t="shared" si="21"/>
        <v>3.7938665823584738E-3</v>
      </c>
      <c r="O459">
        <v>0.99620613341764097</v>
      </c>
      <c r="P459" s="25">
        <f t="shared" si="23"/>
        <v>0.99620613341764153</v>
      </c>
      <c r="Q459">
        <v>30</v>
      </c>
      <c r="R459" t="s">
        <v>124</v>
      </c>
      <c r="S459" t="s">
        <v>124</v>
      </c>
      <c r="T459" t="s">
        <v>124</v>
      </c>
      <c r="U459" t="s">
        <v>124</v>
      </c>
      <c r="X459" s="19">
        <f>J459</f>
        <v>0.91044776119402981</v>
      </c>
      <c r="Y459" s="19">
        <f>N459</f>
        <v>3.7938665823584738E-3</v>
      </c>
      <c r="Z459" s="26">
        <f>(L459+Q459)/(L459+Q459+H459+K459)</f>
        <v>1.2006861063464836E-2</v>
      </c>
    </row>
    <row r="460" spans="1:26" x14ac:dyDescent="0.35">
      <c r="A460" t="s">
        <v>122</v>
      </c>
      <c r="B460" t="s">
        <v>122</v>
      </c>
      <c r="C460" t="s">
        <v>123</v>
      </c>
      <c r="D460" t="s">
        <v>100</v>
      </c>
      <c r="E460" t="s">
        <v>99</v>
      </c>
      <c r="F460" t="s">
        <v>12</v>
      </c>
      <c r="G460">
        <v>1</v>
      </c>
      <c r="H460">
        <v>305</v>
      </c>
      <c r="I460">
        <v>0.91044776119402904</v>
      </c>
      <c r="J460" s="25">
        <f t="shared" si="22"/>
        <v>0.91044776119402981</v>
      </c>
      <c r="K460">
        <v>3151</v>
      </c>
      <c r="L460">
        <v>12</v>
      </c>
      <c r="M460">
        <v>3.7938665823585198E-3</v>
      </c>
      <c r="N460" s="25">
        <f t="shared" si="21"/>
        <v>3.7938665823584738E-3</v>
      </c>
      <c r="O460">
        <v>0.99620613341764097</v>
      </c>
      <c r="P460" s="25">
        <f t="shared" si="23"/>
        <v>0.99620613341764153</v>
      </c>
      <c r="Q460">
        <v>30</v>
      </c>
      <c r="R460" t="s">
        <v>124</v>
      </c>
      <c r="S460" t="s">
        <v>124</v>
      </c>
      <c r="T460" t="s">
        <v>124</v>
      </c>
      <c r="U460" t="s">
        <v>124</v>
      </c>
      <c r="X460" s="19">
        <f>J460</f>
        <v>0.91044776119402981</v>
      </c>
      <c r="Y460" s="19">
        <f>N460</f>
        <v>3.7938665823584738E-3</v>
      </c>
      <c r="Z460" s="26">
        <f>(L460+Q460)/(L460+Q460+H460+K460)</f>
        <v>1.2006861063464836E-2</v>
      </c>
    </row>
    <row r="461" spans="1:26" x14ac:dyDescent="0.35">
      <c r="A461" t="s">
        <v>122</v>
      </c>
      <c r="B461" t="s">
        <v>122</v>
      </c>
      <c r="C461" t="s">
        <v>123</v>
      </c>
      <c r="D461" t="s">
        <v>100</v>
      </c>
      <c r="E461" t="s">
        <v>99</v>
      </c>
      <c r="F461" t="s">
        <v>12</v>
      </c>
      <c r="G461">
        <v>1</v>
      </c>
      <c r="H461">
        <v>305</v>
      </c>
      <c r="I461">
        <v>0.91044776119402904</v>
      </c>
      <c r="J461" s="25">
        <f t="shared" si="22"/>
        <v>0.91044776119402981</v>
      </c>
      <c r="K461">
        <v>3151</v>
      </c>
      <c r="L461">
        <v>12</v>
      </c>
      <c r="M461">
        <v>3.7938665823585198E-3</v>
      </c>
      <c r="N461" s="25">
        <f t="shared" si="21"/>
        <v>3.7938665823584738E-3</v>
      </c>
      <c r="O461">
        <v>0.99620613341764097</v>
      </c>
      <c r="P461" s="25">
        <f t="shared" si="23"/>
        <v>0.99620613341764153</v>
      </c>
      <c r="Q461">
        <v>30</v>
      </c>
      <c r="R461" t="s">
        <v>124</v>
      </c>
      <c r="S461" t="s">
        <v>124</v>
      </c>
      <c r="T461" t="s">
        <v>124</v>
      </c>
      <c r="U461" t="s">
        <v>124</v>
      </c>
      <c r="X461" s="19">
        <f>J461</f>
        <v>0.91044776119402981</v>
      </c>
      <c r="Y461" s="19">
        <f>N461</f>
        <v>3.7938665823584738E-3</v>
      </c>
      <c r="Z461" s="26">
        <f>(L461+Q461)/(L461+Q461+H461+K461)</f>
        <v>1.2006861063464836E-2</v>
      </c>
    </row>
    <row r="462" spans="1:26" x14ac:dyDescent="0.35">
      <c r="A462" t="s">
        <v>122</v>
      </c>
      <c r="B462" t="s">
        <v>122</v>
      </c>
      <c r="C462" t="s">
        <v>123</v>
      </c>
      <c r="D462" t="s">
        <v>100</v>
      </c>
      <c r="E462" t="s">
        <v>99</v>
      </c>
      <c r="F462" t="s">
        <v>12</v>
      </c>
      <c r="G462">
        <v>1</v>
      </c>
      <c r="H462">
        <v>305</v>
      </c>
      <c r="I462">
        <v>0.91044776119402904</v>
      </c>
      <c r="J462" s="25">
        <f t="shared" si="22"/>
        <v>0.91044776119402981</v>
      </c>
      <c r="K462">
        <v>3151</v>
      </c>
      <c r="L462">
        <v>12</v>
      </c>
      <c r="M462">
        <v>3.7938665823585198E-3</v>
      </c>
      <c r="N462" s="25">
        <f t="shared" si="21"/>
        <v>3.7938665823584738E-3</v>
      </c>
      <c r="O462">
        <v>0.99620613341764097</v>
      </c>
      <c r="P462" s="25">
        <f t="shared" si="23"/>
        <v>0.99620613341764153</v>
      </c>
      <c r="Q462">
        <v>30</v>
      </c>
      <c r="R462" t="s">
        <v>124</v>
      </c>
      <c r="S462" t="s">
        <v>124</v>
      </c>
      <c r="T462" t="s">
        <v>124</v>
      </c>
      <c r="U462" t="s">
        <v>124</v>
      </c>
      <c r="X462" s="19">
        <f>J462</f>
        <v>0.91044776119402981</v>
      </c>
      <c r="Y462" s="19">
        <f>N462</f>
        <v>3.7938665823584738E-3</v>
      </c>
      <c r="Z462" s="26">
        <f>(L462+Q462)/(L462+Q462+H462+K462)</f>
        <v>1.2006861063464836E-2</v>
      </c>
    </row>
    <row r="463" spans="1:26" x14ac:dyDescent="0.35">
      <c r="A463" t="s">
        <v>122</v>
      </c>
      <c r="B463" t="s">
        <v>122</v>
      </c>
      <c r="C463" t="s">
        <v>123</v>
      </c>
      <c r="D463" t="s">
        <v>100</v>
      </c>
      <c r="E463" t="s">
        <v>99</v>
      </c>
      <c r="F463" t="s">
        <v>12</v>
      </c>
      <c r="G463">
        <v>1</v>
      </c>
      <c r="H463">
        <v>305</v>
      </c>
      <c r="I463">
        <v>0.91044776119402904</v>
      </c>
      <c r="J463" s="25">
        <f t="shared" si="22"/>
        <v>0.91044776119402981</v>
      </c>
      <c r="K463">
        <v>3151</v>
      </c>
      <c r="L463">
        <v>12</v>
      </c>
      <c r="M463">
        <v>3.7938665823585198E-3</v>
      </c>
      <c r="N463" s="25">
        <f t="shared" si="21"/>
        <v>3.7938665823584738E-3</v>
      </c>
      <c r="O463">
        <v>0.99620613341764097</v>
      </c>
      <c r="P463" s="25">
        <f t="shared" si="23"/>
        <v>0.99620613341764153</v>
      </c>
      <c r="Q463">
        <v>30</v>
      </c>
      <c r="R463" t="s">
        <v>124</v>
      </c>
      <c r="S463" t="s">
        <v>124</v>
      </c>
      <c r="T463" t="s">
        <v>124</v>
      </c>
      <c r="U463" t="s">
        <v>124</v>
      </c>
      <c r="X463" s="19">
        <f>J463</f>
        <v>0.91044776119402981</v>
      </c>
      <c r="Y463" s="19">
        <f>N463</f>
        <v>3.7938665823584738E-3</v>
      </c>
      <c r="Z463" s="26">
        <f>(L463+Q463)/(L463+Q463+H463+K463)</f>
        <v>1.2006861063464836E-2</v>
      </c>
    </row>
    <row r="464" spans="1:26" x14ac:dyDescent="0.35">
      <c r="A464" t="s">
        <v>122</v>
      </c>
      <c r="B464" t="s">
        <v>122</v>
      </c>
      <c r="C464" t="s">
        <v>123</v>
      </c>
      <c r="D464" t="s">
        <v>100</v>
      </c>
      <c r="E464" t="s">
        <v>99</v>
      </c>
      <c r="F464" t="s">
        <v>12</v>
      </c>
      <c r="G464">
        <v>1</v>
      </c>
      <c r="H464">
        <v>305</v>
      </c>
      <c r="I464">
        <v>0.91044776119402904</v>
      </c>
      <c r="J464" s="25">
        <f t="shared" si="22"/>
        <v>0.91044776119402981</v>
      </c>
      <c r="K464">
        <v>3151</v>
      </c>
      <c r="L464">
        <v>12</v>
      </c>
      <c r="M464">
        <v>3.7938665823585198E-3</v>
      </c>
      <c r="N464" s="25">
        <f t="shared" si="21"/>
        <v>3.7938665823584738E-3</v>
      </c>
      <c r="O464">
        <v>0.99620613341764097</v>
      </c>
      <c r="P464" s="25">
        <f t="shared" si="23"/>
        <v>0.99620613341764153</v>
      </c>
      <c r="Q464">
        <v>30</v>
      </c>
      <c r="R464" t="s">
        <v>124</v>
      </c>
      <c r="S464" t="s">
        <v>124</v>
      </c>
      <c r="T464" t="s">
        <v>124</v>
      </c>
      <c r="U464" t="s">
        <v>124</v>
      </c>
      <c r="X464" s="19">
        <f>J464</f>
        <v>0.91044776119402981</v>
      </c>
      <c r="Y464" s="19">
        <f>N464</f>
        <v>3.7938665823584738E-3</v>
      </c>
      <c r="Z464" s="26">
        <f>(L464+Q464)/(L464+Q464+H464+K464)</f>
        <v>1.2006861063464836E-2</v>
      </c>
    </row>
    <row r="465" spans="1:26" x14ac:dyDescent="0.35">
      <c r="A465" t="s">
        <v>122</v>
      </c>
      <c r="B465" t="s">
        <v>122</v>
      </c>
      <c r="C465" t="s">
        <v>123</v>
      </c>
      <c r="D465" t="s">
        <v>100</v>
      </c>
      <c r="E465" t="s">
        <v>99</v>
      </c>
      <c r="F465" t="s">
        <v>12</v>
      </c>
      <c r="G465">
        <v>1</v>
      </c>
      <c r="H465">
        <v>305</v>
      </c>
      <c r="I465">
        <v>0.91044776119402904</v>
      </c>
      <c r="J465" s="25">
        <f t="shared" si="22"/>
        <v>0.91044776119402981</v>
      </c>
      <c r="K465">
        <v>3151</v>
      </c>
      <c r="L465">
        <v>12</v>
      </c>
      <c r="M465">
        <v>3.7938665823585198E-3</v>
      </c>
      <c r="N465" s="25">
        <f t="shared" si="21"/>
        <v>3.7938665823584738E-3</v>
      </c>
      <c r="O465">
        <v>0.99620613341764097</v>
      </c>
      <c r="P465" s="25">
        <f t="shared" si="23"/>
        <v>0.99620613341764153</v>
      </c>
      <c r="Q465">
        <v>30</v>
      </c>
      <c r="R465" t="s">
        <v>124</v>
      </c>
      <c r="S465" t="s">
        <v>124</v>
      </c>
      <c r="T465" t="s">
        <v>124</v>
      </c>
      <c r="U465" t="s">
        <v>124</v>
      </c>
      <c r="X465" s="19">
        <f>J465</f>
        <v>0.91044776119402981</v>
      </c>
      <c r="Y465" s="19">
        <f>N465</f>
        <v>3.7938665823584738E-3</v>
      </c>
      <c r="Z465" s="26">
        <f>(L465+Q465)/(L465+Q465+H465+K465)</f>
        <v>1.2006861063464836E-2</v>
      </c>
    </row>
    <row r="466" spans="1:26" x14ac:dyDescent="0.35">
      <c r="A466" t="s">
        <v>122</v>
      </c>
      <c r="B466" t="s">
        <v>122</v>
      </c>
      <c r="C466" t="s">
        <v>123</v>
      </c>
      <c r="D466" t="s">
        <v>100</v>
      </c>
      <c r="E466" t="s">
        <v>99</v>
      </c>
      <c r="F466" t="s">
        <v>12</v>
      </c>
      <c r="G466">
        <v>1</v>
      </c>
      <c r="H466">
        <v>305</v>
      </c>
      <c r="I466">
        <v>0.91044776119402904</v>
      </c>
      <c r="J466" s="25">
        <f t="shared" si="22"/>
        <v>0.91044776119402981</v>
      </c>
      <c r="K466">
        <v>3151</v>
      </c>
      <c r="L466">
        <v>12</v>
      </c>
      <c r="M466">
        <v>3.7938665823585198E-3</v>
      </c>
      <c r="N466" s="25">
        <f t="shared" si="21"/>
        <v>3.7938665823584738E-3</v>
      </c>
      <c r="O466">
        <v>0.99620613341764097</v>
      </c>
      <c r="P466" s="25">
        <f t="shared" si="23"/>
        <v>0.99620613341764153</v>
      </c>
      <c r="Q466">
        <v>30</v>
      </c>
      <c r="R466" t="s">
        <v>124</v>
      </c>
      <c r="S466" t="s">
        <v>124</v>
      </c>
      <c r="T466" t="s">
        <v>124</v>
      </c>
      <c r="U466" t="s">
        <v>124</v>
      </c>
      <c r="X466" s="19">
        <f>J466</f>
        <v>0.91044776119402981</v>
      </c>
      <c r="Y466" s="19">
        <f>N466</f>
        <v>3.7938665823584738E-3</v>
      </c>
      <c r="Z466" s="26">
        <f>(L466+Q466)/(L466+Q466+H466+K466)</f>
        <v>1.2006861063464836E-2</v>
      </c>
    </row>
    <row r="467" spans="1:26" x14ac:dyDescent="0.35">
      <c r="A467" t="s">
        <v>122</v>
      </c>
      <c r="B467" t="s">
        <v>122</v>
      </c>
      <c r="C467" t="s">
        <v>123</v>
      </c>
      <c r="D467" t="s">
        <v>100</v>
      </c>
      <c r="E467" t="s">
        <v>99</v>
      </c>
      <c r="F467" t="s">
        <v>12</v>
      </c>
      <c r="G467">
        <v>1</v>
      </c>
      <c r="H467">
        <v>305</v>
      </c>
      <c r="I467">
        <v>0.91044776119402904</v>
      </c>
      <c r="J467" s="25">
        <f t="shared" si="22"/>
        <v>0.91044776119402981</v>
      </c>
      <c r="K467">
        <v>3151</v>
      </c>
      <c r="L467">
        <v>12</v>
      </c>
      <c r="M467">
        <v>3.7938665823585198E-3</v>
      </c>
      <c r="N467" s="25">
        <f t="shared" si="21"/>
        <v>3.7938665823584738E-3</v>
      </c>
      <c r="O467">
        <v>0.99620613341764097</v>
      </c>
      <c r="P467" s="25">
        <f t="shared" si="23"/>
        <v>0.99620613341764153</v>
      </c>
      <c r="Q467">
        <v>30</v>
      </c>
      <c r="R467" t="s">
        <v>124</v>
      </c>
      <c r="S467" t="s">
        <v>124</v>
      </c>
      <c r="T467" t="s">
        <v>124</v>
      </c>
      <c r="U467" t="s">
        <v>124</v>
      </c>
      <c r="X467" s="19">
        <f>J467</f>
        <v>0.91044776119402981</v>
      </c>
      <c r="Y467" s="19">
        <f>N467</f>
        <v>3.7938665823584738E-3</v>
      </c>
      <c r="Z467" s="26">
        <f>(L467+Q467)/(L467+Q467+H467+K467)</f>
        <v>1.2006861063464836E-2</v>
      </c>
    </row>
    <row r="468" spans="1:26" x14ac:dyDescent="0.35">
      <c r="A468" t="s">
        <v>122</v>
      </c>
      <c r="B468" t="s">
        <v>122</v>
      </c>
      <c r="C468" t="s">
        <v>123</v>
      </c>
      <c r="D468" t="s">
        <v>100</v>
      </c>
      <c r="E468" t="s">
        <v>99</v>
      </c>
      <c r="F468" t="s">
        <v>12</v>
      </c>
      <c r="G468">
        <v>1</v>
      </c>
      <c r="H468">
        <v>305</v>
      </c>
      <c r="I468">
        <v>0.91044776119402904</v>
      </c>
      <c r="J468" s="25">
        <f t="shared" si="22"/>
        <v>0.91044776119402981</v>
      </c>
      <c r="K468">
        <v>3151</v>
      </c>
      <c r="L468">
        <v>12</v>
      </c>
      <c r="M468">
        <v>3.7938665823585198E-3</v>
      </c>
      <c r="N468" s="25">
        <f t="shared" si="21"/>
        <v>3.7938665823584738E-3</v>
      </c>
      <c r="O468">
        <v>0.99620613341764097</v>
      </c>
      <c r="P468" s="25">
        <f t="shared" si="23"/>
        <v>0.99620613341764153</v>
      </c>
      <c r="Q468">
        <v>30</v>
      </c>
      <c r="R468" t="s">
        <v>124</v>
      </c>
      <c r="S468" t="s">
        <v>124</v>
      </c>
      <c r="T468" t="s">
        <v>124</v>
      </c>
      <c r="U468" t="s">
        <v>124</v>
      </c>
      <c r="X468" s="19">
        <f>J468</f>
        <v>0.91044776119402981</v>
      </c>
      <c r="Y468" s="19">
        <f>N468</f>
        <v>3.7938665823584738E-3</v>
      </c>
      <c r="Z468" s="26">
        <f>(L468+Q468)/(L468+Q468+H468+K468)</f>
        <v>1.2006861063464836E-2</v>
      </c>
    </row>
    <row r="469" spans="1:26" x14ac:dyDescent="0.35">
      <c r="A469" t="s">
        <v>122</v>
      </c>
      <c r="B469" t="s">
        <v>122</v>
      </c>
      <c r="C469" t="s">
        <v>123</v>
      </c>
      <c r="D469" t="s">
        <v>100</v>
      </c>
      <c r="E469" t="s">
        <v>99</v>
      </c>
      <c r="F469" t="s">
        <v>12</v>
      </c>
      <c r="G469">
        <v>1</v>
      </c>
      <c r="H469">
        <v>305</v>
      </c>
      <c r="I469">
        <v>0.91044776119402904</v>
      </c>
      <c r="J469" s="25">
        <f t="shared" si="22"/>
        <v>0.91044776119402981</v>
      </c>
      <c r="K469">
        <v>3151</v>
      </c>
      <c r="L469">
        <v>12</v>
      </c>
      <c r="M469">
        <v>3.7938665823585198E-3</v>
      </c>
      <c r="N469" s="25">
        <f t="shared" si="21"/>
        <v>3.7938665823584738E-3</v>
      </c>
      <c r="O469">
        <v>0.99620613341764097</v>
      </c>
      <c r="P469" s="25">
        <f t="shared" si="23"/>
        <v>0.99620613341764153</v>
      </c>
      <c r="Q469">
        <v>30</v>
      </c>
      <c r="R469" t="s">
        <v>124</v>
      </c>
      <c r="S469" t="s">
        <v>124</v>
      </c>
      <c r="T469" t="s">
        <v>124</v>
      </c>
      <c r="U469" t="s">
        <v>124</v>
      </c>
      <c r="X469" s="19">
        <f>J469</f>
        <v>0.91044776119402981</v>
      </c>
      <c r="Y469" s="19">
        <f>N469</f>
        <v>3.7938665823584738E-3</v>
      </c>
      <c r="Z469" s="26">
        <f>(L469+Q469)/(L469+Q469+H469+K469)</f>
        <v>1.2006861063464836E-2</v>
      </c>
    </row>
    <row r="470" spans="1:26" x14ac:dyDescent="0.35">
      <c r="A470" t="s">
        <v>122</v>
      </c>
      <c r="B470" t="s">
        <v>122</v>
      </c>
      <c r="C470" t="s">
        <v>123</v>
      </c>
      <c r="D470" t="s">
        <v>100</v>
      </c>
      <c r="E470" t="s">
        <v>99</v>
      </c>
      <c r="F470" t="s">
        <v>12</v>
      </c>
      <c r="G470">
        <v>1</v>
      </c>
      <c r="H470">
        <v>305</v>
      </c>
      <c r="I470">
        <v>0.91044776119402904</v>
      </c>
      <c r="J470" s="25">
        <f t="shared" si="22"/>
        <v>0.91044776119402981</v>
      </c>
      <c r="K470">
        <v>3151</v>
      </c>
      <c r="L470">
        <v>12</v>
      </c>
      <c r="M470">
        <v>3.7938665823585198E-3</v>
      </c>
      <c r="N470" s="25">
        <f t="shared" si="21"/>
        <v>3.7938665823584738E-3</v>
      </c>
      <c r="O470">
        <v>0.99620613341764097</v>
      </c>
      <c r="P470" s="25">
        <f t="shared" si="23"/>
        <v>0.99620613341764153</v>
      </c>
      <c r="Q470">
        <v>30</v>
      </c>
      <c r="R470" t="s">
        <v>124</v>
      </c>
      <c r="S470" t="s">
        <v>124</v>
      </c>
      <c r="T470" t="s">
        <v>124</v>
      </c>
      <c r="U470" t="s">
        <v>124</v>
      </c>
      <c r="X470" s="19">
        <f>J470</f>
        <v>0.91044776119402981</v>
      </c>
      <c r="Y470" s="19">
        <f>N470</f>
        <v>3.7938665823584738E-3</v>
      </c>
      <c r="Z470" s="26">
        <f>(L470+Q470)/(L470+Q470+H470+K470)</f>
        <v>1.2006861063464836E-2</v>
      </c>
    </row>
    <row r="471" spans="1:26" x14ac:dyDescent="0.35">
      <c r="A471" t="s">
        <v>122</v>
      </c>
      <c r="B471" t="s">
        <v>122</v>
      </c>
      <c r="C471" t="s">
        <v>123</v>
      </c>
      <c r="D471" t="s">
        <v>100</v>
      </c>
      <c r="E471" t="s">
        <v>99</v>
      </c>
      <c r="F471" t="s">
        <v>12</v>
      </c>
      <c r="G471">
        <v>1</v>
      </c>
      <c r="H471">
        <v>305</v>
      </c>
      <c r="I471">
        <v>0.91044776119402904</v>
      </c>
      <c r="J471" s="25">
        <f t="shared" si="22"/>
        <v>0.91044776119402981</v>
      </c>
      <c r="K471">
        <v>3151</v>
      </c>
      <c r="L471">
        <v>12</v>
      </c>
      <c r="M471">
        <v>3.7938665823585198E-3</v>
      </c>
      <c r="N471" s="25">
        <f t="shared" si="21"/>
        <v>3.7938665823584738E-3</v>
      </c>
      <c r="O471">
        <v>0.99620613341764097</v>
      </c>
      <c r="P471" s="25">
        <f t="shared" si="23"/>
        <v>0.99620613341764153</v>
      </c>
      <c r="Q471">
        <v>30</v>
      </c>
      <c r="R471" t="s">
        <v>124</v>
      </c>
      <c r="S471" t="s">
        <v>124</v>
      </c>
      <c r="T471" t="s">
        <v>124</v>
      </c>
      <c r="U471" t="s">
        <v>124</v>
      </c>
      <c r="X471" s="19">
        <f>J471</f>
        <v>0.91044776119402981</v>
      </c>
      <c r="Y471" s="19">
        <f>N471</f>
        <v>3.7938665823584738E-3</v>
      </c>
      <c r="Z471" s="26">
        <f>(L471+Q471)/(L471+Q471+H471+K471)</f>
        <v>1.2006861063464836E-2</v>
      </c>
    </row>
    <row r="472" spans="1:26" x14ac:dyDescent="0.35">
      <c r="A472" t="s">
        <v>122</v>
      </c>
      <c r="B472" t="s">
        <v>122</v>
      </c>
      <c r="C472" t="s">
        <v>123</v>
      </c>
      <c r="D472" t="s">
        <v>100</v>
      </c>
      <c r="E472" t="s">
        <v>99</v>
      </c>
      <c r="F472" t="s">
        <v>12</v>
      </c>
      <c r="G472">
        <v>1</v>
      </c>
      <c r="H472">
        <v>305</v>
      </c>
      <c r="I472">
        <v>0.91044776119402904</v>
      </c>
      <c r="J472" s="25">
        <f t="shared" si="22"/>
        <v>0.91044776119402981</v>
      </c>
      <c r="K472">
        <v>3151</v>
      </c>
      <c r="L472">
        <v>12</v>
      </c>
      <c r="M472">
        <v>3.7938665823585198E-3</v>
      </c>
      <c r="N472" s="25">
        <f t="shared" si="21"/>
        <v>3.7938665823584738E-3</v>
      </c>
      <c r="O472">
        <v>0.99620613341764097</v>
      </c>
      <c r="P472" s="25">
        <f t="shared" si="23"/>
        <v>0.99620613341764153</v>
      </c>
      <c r="Q472">
        <v>30</v>
      </c>
      <c r="R472" t="s">
        <v>124</v>
      </c>
      <c r="S472" t="s">
        <v>124</v>
      </c>
      <c r="T472" t="s">
        <v>124</v>
      </c>
      <c r="U472" t="s">
        <v>124</v>
      </c>
      <c r="X472" s="19">
        <f>J472</f>
        <v>0.91044776119402981</v>
      </c>
      <c r="Y472" s="19">
        <f>N472</f>
        <v>3.7938665823584738E-3</v>
      </c>
      <c r="Z472" s="26">
        <f>(L472+Q472)/(L472+Q472+H472+K472)</f>
        <v>1.2006861063464836E-2</v>
      </c>
    </row>
    <row r="473" spans="1:26" x14ac:dyDescent="0.35">
      <c r="A473" t="s">
        <v>122</v>
      </c>
      <c r="B473" t="s">
        <v>122</v>
      </c>
      <c r="C473" t="s">
        <v>123</v>
      </c>
      <c r="D473" t="s">
        <v>100</v>
      </c>
      <c r="E473" t="s">
        <v>99</v>
      </c>
      <c r="F473" t="s">
        <v>12</v>
      </c>
      <c r="G473">
        <v>1</v>
      </c>
      <c r="H473">
        <v>305</v>
      </c>
      <c r="I473">
        <v>0.91044776119402904</v>
      </c>
      <c r="J473" s="25">
        <f t="shared" si="22"/>
        <v>0.91044776119402981</v>
      </c>
      <c r="K473">
        <v>3151</v>
      </c>
      <c r="L473">
        <v>12</v>
      </c>
      <c r="M473">
        <v>3.7938665823585198E-3</v>
      </c>
      <c r="N473" s="25">
        <f t="shared" si="21"/>
        <v>3.7938665823584738E-3</v>
      </c>
      <c r="O473">
        <v>0.99620613341764097</v>
      </c>
      <c r="P473" s="25">
        <f t="shared" si="23"/>
        <v>0.99620613341764153</v>
      </c>
      <c r="Q473">
        <v>30</v>
      </c>
      <c r="R473" t="s">
        <v>124</v>
      </c>
      <c r="S473" t="s">
        <v>124</v>
      </c>
      <c r="T473" t="s">
        <v>124</v>
      </c>
      <c r="U473" t="s">
        <v>124</v>
      </c>
      <c r="X473" s="19">
        <f>J473</f>
        <v>0.91044776119402981</v>
      </c>
      <c r="Y473" s="19">
        <f>N473</f>
        <v>3.7938665823584738E-3</v>
      </c>
      <c r="Z473" s="26">
        <f>(L473+Q473)/(L473+Q473+H473+K473)</f>
        <v>1.2006861063464836E-2</v>
      </c>
    </row>
    <row r="474" spans="1:26" x14ac:dyDescent="0.35">
      <c r="A474" t="s">
        <v>122</v>
      </c>
      <c r="B474" t="s">
        <v>122</v>
      </c>
      <c r="C474" t="s">
        <v>123</v>
      </c>
      <c r="D474" t="s">
        <v>100</v>
      </c>
      <c r="E474" t="s">
        <v>99</v>
      </c>
      <c r="F474" t="s">
        <v>12</v>
      </c>
      <c r="G474">
        <v>1</v>
      </c>
      <c r="H474">
        <v>305</v>
      </c>
      <c r="I474">
        <v>0.91044776119402904</v>
      </c>
      <c r="J474" s="25">
        <f t="shared" si="22"/>
        <v>0.91044776119402981</v>
      </c>
      <c r="K474">
        <v>3151</v>
      </c>
      <c r="L474">
        <v>12</v>
      </c>
      <c r="M474">
        <v>3.7938665823585198E-3</v>
      </c>
      <c r="N474" s="25">
        <f t="shared" si="21"/>
        <v>3.7938665823584738E-3</v>
      </c>
      <c r="O474">
        <v>0.99620613341764097</v>
      </c>
      <c r="P474" s="25">
        <f t="shared" si="23"/>
        <v>0.99620613341764153</v>
      </c>
      <c r="Q474">
        <v>30</v>
      </c>
      <c r="R474" t="s">
        <v>124</v>
      </c>
      <c r="S474" t="s">
        <v>124</v>
      </c>
      <c r="T474" t="s">
        <v>124</v>
      </c>
      <c r="U474" t="s">
        <v>124</v>
      </c>
      <c r="X474" s="19">
        <f>J474</f>
        <v>0.91044776119402981</v>
      </c>
      <c r="Y474" s="19">
        <f>N474</f>
        <v>3.7938665823584738E-3</v>
      </c>
      <c r="Z474" s="26">
        <f>(L474+Q474)/(L474+Q474+H474+K474)</f>
        <v>1.2006861063464836E-2</v>
      </c>
    </row>
    <row r="475" spans="1:26" x14ac:dyDescent="0.35">
      <c r="A475" t="s">
        <v>122</v>
      </c>
      <c r="B475" t="s">
        <v>122</v>
      </c>
      <c r="C475" t="s">
        <v>123</v>
      </c>
      <c r="D475" t="s">
        <v>100</v>
      </c>
      <c r="E475" t="s">
        <v>99</v>
      </c>
      <c r="F475" t="s">
        <v>12</v>
      </c>
      <c r="G475">
        <v>1</v>
      </c>
      <c r="H475">
        <v>305</v>
      </c>
      <c r="I475">
        <v>0.91044776119402904</v>
      </c>
      <c r="J475" s="25">
        <f t="shared" si="22"/>
        <v>0.91044776119402981</v>
      </c>
      <c r="K475">
        <v>3151</v>
      </c>
      <c r="L475">
        <v>12</v>
      </c>
      <c r="M475">
        <v>3.7938665823585198E-3</v>
      </c>
      <c r="N475" s="25">
        <f t="shared" si="21"/>
        <v>3.7938665823584738E-3</v>
      </c>
      <c r="O475">
        <v>0.99620613341764097</v>
      </c>
      <c r="P475" s="25">
        <f t="shared" si="23"/>
        <v>0.99620613341764153</v>
      </c>
      <c r="Q475">
        <v>30</v>
      </c>
      <c r="R475" t="s">
        <v>124</v>
      </c>
      <c r="S475" t="s">
        <v>124</v>
      </c>
      <c r="T475" t="s">
        <v>124</v>
      </c>
      <c r="U475" t="s">
        <v>124</v>
      </c>
      <c r="X475" s="19">
        <f>J475</f>
        <v>0.91044776119402981</v>
      </c>
      <c r="Y475" s="19">
        <f>N475</f>
        <v>3.7938665823584738E-3</v>
      </c>
      <c r="Z475" s="26">
        <f>(L475+Q475)/(L475+Q475+H475+K475)</f>
        <v>1.2006861063464836E-2</v>
      </c>
    </row>
    <row r="476" spans="1:26" x14ac:dyDescent="0.35">
      <c r="A476" t="s">
        <v>122</v>
      </c>
      <c r="B476" t="s">
        <v>122</v>
      </c>
      <c r="C476" t="s">
        <v>123</v>
      </c>
      <c r="D476" t="s">
        <v>100</v>
      </c>
      <c r="E476" t="s">
        <v>99</v>
      </c>
      <c r="F476" t="s">
        <v>12</v>
      </c>
      <c r="G476">
        <v>1</v>
      </c>
      <c r="H476">
        <v>305</v>
      </c>
      <c r="I476">
        <v>0.91044776119402904</v>
      </c>
      <c r="J476" s="25">
        <f t="shared" si="22"/>
        <v>0.91044776119402981</v>
      </c>
      <c r="K476">
        <v>3151</v>
      </c>
      <c r="L476">
        <v>12</v>
      </c>
      <c r="M476">
        <v>3.7938665823585198E-3</v>
      </c>
      <c r="N476" s="25">
        <f t="shared" si="21"/>
        <v>3.7938665823584738E-3</v>
      </c>
      <c r="O476">
        <v>0.99620613341764097</v>
      </c>
      <c r="P476" s="25">
        <f t="shared" si="23"/>
        <v>0.99620613341764153</v>
      </c>
      <c r="Q476">
        <v>30</v>
      </c>
      <c r="R476" t="s">
        <v>124</v>
      </c>
      <c r="S476" t="s">
        <v>124</v>
      </c>
      <c r="T476" t="s">
        <v>124</v>
      </c>
      <c r="U476" t="s">
        <v>124</v>
      </c>
      <c r="X476" s="19">
        <f>J476</f>
        <v>0.91044776119402981</v>
      </c>
      <c r="Y476" s="19">
        <f>N476</f>
        <v>3.7938665823584738E-3</v>
      </c>
      <c r="Z476" s="26">
        <f>(L476+Q476)/(L476+Q476+H476+K476)</f>
        <v>1.2006861063464836E-2</v>
      </c>
    </row>
    <row r="477" spans="1:26" x14ac:dyDescent="0.35">
      <c r="A477" t="s">
        <v>122</v>
      </c>
      <c r="B477" t="s">
        <v>122</v>
      </c>
      <c r="C477" t="s">
        <v>123</v>
      </c>
      <c r="D477" t="s">
        <v>100</v>
      </c>
      <c r="E477" t="s">
        <v>99</v>
      </c>
      <c r="F477" t="s">
        <v>12</v>
      </c>
      <c r="G477">
        <v>1</v>
      </c>
      <c r="H477">
        <v>305</v>
      </c>
      <c r="I477">
        <v>0.91044776119402904</v>
      </c>
      <c r="J477" s="25">
        <f t="shared" si="22"/>
        <v>0.91044776119402981</v>
      </c>
      <c r="K477">
        <v>3151</v>
      </c>
      <c r="L477">
        <v>12</v>
      </c>
      <c r="M477">
        <v>3.7938665823585198E-3</v>
      </c>
      <c r="N477" s="25">
        <f t="shared" si="21"/>
        <v>3.7938665823584738E-3</v>
      </c>
      <c r="O477">
        <v>0.99620613341764097</v>
      </c>
      <c r="P477" s="25">
        <f t="shared" si="23"/>
        <v>0.99620613341764153</v>
      </c>
      <c r="Q477">
        <v>30</v>
      </c>
      <c r="R477" t="s">
        <v>124</v>
      </c>
      <c r="S477" t="s">
        <v>124</v>
      </c>
      <c r="T477" t="s">
        <v>124</v>
      </c>
      <c r="U477" t="s">
        <v>124</v>
      </c>
      <c r="X477" s="19">
        <f>J477</f>
        <v>0.91044776119402981</v>
      </c>
      <c r="Y477" s="19">
        <f>N477</f>
        <v>3.7938665823584738E-3</v>
      </c>
      <c r="Z477" s="26">
        <f>(L477+Q477)/(L477+Q477+H477+K477)</f>
        <v>1.2006861063464836E-2</v>
      </c>
    </row>
    <row r="478" spans="1:26" x14ac:dyDescent="0.35">
      <c r="A478" t="s">
        <v>122</v>
      </c>
      <c r="B478" t="s">
        <v>122</v>
      </c>
      <c r="C478" t="s">
        <v>123</v>
      </c>
      <c r="D478" t="s">
        <v>100</v>
      </c>
      <c r="E478" t="s">
        <v>99</v>
      </c>
      <c r="F478" t="s">
        <v>12</v>
      </c>
      <c r="G478">
        <v>1</v>
      </c>
      <c r="H478">
        <v>305</v>
      </c>
      <c r="I478">
        <v>0.91044776119402904</v>
      </c>
      <c r="J478" s="25">
        <f t="shared" si="22"/>
        <v>0.91044776119402981</v>
      </c>
      <c r="K478">
        <v>3151</v>
      </c>
      <c r="L478">
        <v>12</v>
      </c>
      <c r="M478">
        <v>3.7938665823585198E-3</v>
      </c>
      <c r="N478" s="25">
        <f t="shared" si="21"/>
        <v>3.7938665823584738E-3</v>
      </c>
      <c r="O478">
        <v>0.99620613341764097</v>
      </c>
      <c r="P478" s="25">
        <f t="shared" si="23"/>
        <v>0.99620613341764153</v>
      </c>
      <c r="Q478">
        <v>30</v>
      </c>
      <c r="R478" t="s">
        <v>124</v>
      </c>
      <c r="S478" t="s">
        <v>124</v>
      </c>
      <c r="T478" t="s">
        <v>124</v>
      </c>
      <c r="U478" t="s">
        <v>124</v>
      </c>
      <c r="X478" s="19">
        <f>J478</f>
        <v>0.91044776119402981</v>
      </c>
      <c r="Y478" s="19">
        <f>N478</f>
        <v>3.7938665823584738E-3</v>
      </c>
      <c r="Z478" s="26">
        <f>(L478+Q478)/(L478+Q478+H478+K478)</f>
        <v>1.2006861063464836E-2</v>
      </c>
    </row>
    <row r="479" spans="1:26" x14ac:dyDescent="0.35">
      <c r="A479" t="s">
        <v>122</v>
      </c>
      <c r="B479" t="s">
        <v>122</v>
      </c>
      <c r="C479" t="s">
        <v>123</v>
      </c>
      <c r="D479" t="s">
        <v>100</v>
      </c>
      <c r="E479" t="s">
        <v>99</v>
      </c>
      <c r="F479" t="s">
        <v>12</v>
      </c>
      <c r="G479">
        <v>1</v>
      </c>
      <c r="H479">
        <v>305</v>
      </c>
      <c r="I479">
        <v>0.91044776119402904</v>
      </c>
      <c r="J479" s="25">
        <f t="shared" si="22"/>
        <v>0.91044776119402981</v>
      </c>
      <c r="K479">
        <v>3151</v>
      </c>
      <c r="L479">
        <v>12</v>
      </c>
      <c r="M479">
        <v>3.7938665823585198E-3</v>
      </c>
      <c r="N479" s="25">
        <f t="shared" si="21"/>
        <v>3.7938665823584738E-3</v>
      </c>
      <c r="O479">
        <v>0.99620613341764097</v>
      </c>
      <c r="P479" s="25">
        <f t="shared" si="23"/>
        <v>0.99620613341764153</v>
      </c>
      <c r="Q479">
        <v>30</v>
      </c>
      <c r="R479" t="s">
        <v>124</v>
      </c>
      <c r="S479" t="s">
        <v>124</v>
      </c>
      <c r="T479" t="s">
        <v>124</v>
      </c>
      <c r="U479" t="s">
        <v>124</v>
      </c>
      <c r="X479" s="19">
        <f>J479</f>
        <v>0.91044776119402981</v>
      </c>
      <c r="Y479" s="19">
        <f>N479</f>
        <v>3.7938665823584738E-3</v>
      </c>
      <c r="Z479" s="26">
        <f>(L479+Q479)/(L479+Q479+H479+K479)</f>
        <v>1.2006861063464836E-2</v>
      </c>
    </row>
    <row r="480" spans="1:26" x14ac:dyDescent="0.35">
      <c r="A480" t="s">
        <v>122</v>
      </c>
      <c r="B480" t="s">
        <v>122</v>
      </c>
      <c r="C480" t="s">
        <v>123</v>
      </c>
      <c r="D480" t="s">
        <v>100</v>
      </c>
      <c r="E480" t="s">
        <v>99</v>
      </c>
      <c r="F480" t="s">
        <v>12</v>
      </c>
      <c r="G480">
        <v>1</v>
      </c>
      <c r="H480">
        <v>305</v>
      </c>
      <c r="I480">
        <v>0.91044776119402904</v>
      </c>
      <c r="J480" s="25">
        <f t="shared" si="22"/>
        <v>0.91044776119402981</v>
      </c>
      <c r="K480">
        <v>3151</v>
      </c>
      <c r="L480">
        <v>12</v>
      </c>
      <c r="M480">
        <v>3.7938665823585198E-3</v>
      </c>
      <c r="N480" s="25">
        <f t="shared" si="21"/>
        <v>3.7938665823584738E-3</v>
      </c>
      <c r="O480">
        <v>0.99620613341764097</v>
      </c>
      <c r="P480" s="25">
        <f t="shared" si="23"/>
        <v>0.99620613341764153</v>
      </c>
      <c r="Q480">
        <v>30</v>
      </c>
      <c r="R480" t="s">
        <v>124</v>
      </c>
      <c r="S480" t="s">
        <v>124</v>
      </c>
      <c r="T480" t="s">
        <v>124</v>
      </c>
      <c r="U480" t="s">
        <v>124</v>
      </c>
      <c r="X480" s="19">
        <f>J480</f>
        <v>0.91044776119402981</v>
      </c>
      <c r="Y480" s="19">
        <f>N480</f>
        <v>3.7938665823584738E-3</v>
      </c>
      <c r="Z480" s="26">
        <f>(L480+Q480)/(L480+Q480+H480+K480)</f>
        <v>1.2006861063464836E-2</v>
      </c>
    </row>
    <row r="481" spans="1:26" x14ac:dyDescent="0.35">
      <c r="A481" t="s">
        <v>122</v>
      </c>
      <c r="B481" t="s">
        <v>122</v>
      </c>
      <c r="C481" t="s">
        <v>123</v>
      </c>
      <c r="D481" t="s">
        <v>100</v>
      </c>
      <c r="E481" t="s">
        <v>99</v>
      </c>
      <c r="F481" t="s">
        <v>12</v>
      </c>
      <c r="G481">
        <v>1</v>
      </c>
      <c r="H481">
        <v>305</v>
      </c>
      <c r="I481">
        <v>0.91044776119402904</v>
      </c>
      <c r="J481" s="25">
        <f t="shared" si="22"/>
        <v>0.91044776119402981</v>
      </c>
      <c r="K481">
        <v>3151</v>
      </c>
      <c r="L481">
        <v>12</v>
      </c>
      <c r="M481">
        <v>3.7938665823585198E-3</v>
      </c>
      <c r="N481" s="25">
        <f t="shared" si="21"/>
        <v>3.7938665823584738E-3</v>
      </c>
      <c r="O481">
        <v>0.99620613341764097</v>
      </c>
      <c r="P481" s="25">
        <f t="shared" si="23"/>
        <v>0.99620613341764153</v>
      </c>
      <c r="Q481">
        <v>30</v>
      </c>
      <c r="R481" t="s">
        <v>124</v>
      </c>
      <c r="S481" t="s">
        <v>124</v>
      </c>
      <c r="T481" t="s">
        <v>124</v>
      </c>
      <c r="U481" t="s">
        <v>124</v>
      </c>
      <c r="X481" s="19">
        <f>J481</f>
        <v>0.91044776119402981</v>
      </c>
      <c r="Y481" s="19">
        <f>N481</f>
        <v>3.7938665823584738E-3</v>
      </c>
      <c r="Z481" s="26">
        <f>(L481+Q481)/(L481+Q481+H481+K481)</f>
        <v>1.2006861063464836E-2</v>
      </c>
    </row>
    <row r="482" spans="1:26" x14ac:dyDescent="0.35">
      <c r="A482" t="s">
        <v>122</v>
      </c>
      <c r="B482" t="s">
        <v>122</v>
      </c>
      <c r="C482" t="s">
        <v>123</v>
      </c>
      <c r="D482" t="s">
        <v>100</v>
      </c>
      <c r="E482" t="s">
        <v>99</v>
      </c>
      <c r="F482" t="s">
        <v>12</v>
      </c>
      <c r="G482">
        <v>1</v>
      </c>
      <c r="H482">
        <v>305</v>
      </c>
      <c r="I482">
        <v>0.91044776119402904</v>
      </c>
      <c r="J482" s="25">
        <f t="shared" si="22"/>
        <v>0.91044776119402981</v>
      </c>
      <c r="K482">
        <v>3151</v>
      </c>
      <c r="L482">
        <v>12</v>
      </c>
      <c r="M482">
        <v>3.7938665823585198E-3</v>
      </c>
      <c r="N482" s="25">
        <f t="shared" si="21"/>
        <v>3.7938665823584738E-3</v>
      </c>
      <c r="O482">
        <v>0.99620613341764097</v>
      </c>
      <c r="P482" s="25">
        <f t="shared" si="23"/>
        <v>0.99620613341764153</v>
      </c>
      <c r="Q482">
        <v>30</v>
      </c>
      <c r="R482" t="s">
        <v>124</v>
      </c>
      <c r="S482" t="s">
        <v>124</v>
      </c>
      <c r="T482" t="s">
        <v>124</v>
      </c>
      <c r="U482" t="s">
        <v>124</v>
      </c>
      <c r="X482" s="19">
        <f>J482</f>
        <v>0.91044776119402981</v>
      </c>
      <c r="Y482" s="19">
        <f>N482</f>
        <v>3.7938665823584738E-3</v>
      </c>
      <c r="Z482" s="26">
        <f>(L482+Q482)/(L482+Q482+H482+K482)</f>
        <v>1.2006861063464836E-2</v>
      </c>
    </row>
    <row r="483" spans="1:26" x14ac:dyDescent="0.35">
      <c r="A483" t="s">
        <v>122</v>
      </c>
      <c r="B483" t="s">
        <v>122</v>
      </c>
      <c r="C483" t="s">
        <v>123</v>
      </c>
      <c r="D483" t="s">
        <v>100</v>
      </c>
      <c r="E483" t="s">
        <v>99</v>
      </c>
      <c r="F483" t="s">
        <v>12</v>
      </c>
      <c r="G483">
        <v>1</v>
      </c>
      <c r="H483">
        <v>305</v>
      </c>
      <c r="I483">
        <v>0.91044776119402904</v>
      </c>
      <c r="J483" s="25">
        <f t="shared" si="22"/>
        <v>0.91044776119402981</v>
      </c>
      <c r="K483">
        <v>3151</v>
      </c>
      <c r="L483">
        <v>12</v>
      </c>
      <c r="M483">
        <v>3.7938665823585198E-3</v>
      </c>
      <c r="N483" s="25">
        <f t="shared" si="21"/>
        <v>3.7938665823584738E-3</v>
      </c>
      <c r="O483">
        <v>0.99620613341764097</v>
      </c>
      <c r="P483" s="25">
        <f t="shared" si="23"/>
        <v>0.99620613341764153</v>
      </c>
      <c r="Q483">
        <v>30</v>
      </c>
      <c r="R483" t="s">
        <v>124</v>
      </c>
      <c r="S483" t="s">
        <v>124</v>
      </c>
      <c r="T483" t="s">
        <v>124</v>
      </c>
      <c r="U483" t="s">
        <v>124</v>
      </c>
      <c r="X483" s="19">
        <f>J483</f>
        <v>0.91044776119402981</v>
      </c>
      <c r="Y483" s="19">
        <f>N483</f>
        <v>3.7938665823584738E-3</v>
      </c>
      <c r="Z483" s="26">
        <f>(L483+Q483)/(L483+Q483+H483+K483)</f>
        <v>1.2006861063464836E-2</v>
      </c>
    </row>
    <row r="484" spans="1:26" x14ac:dyDescent="0.35">
      <c r="A484" t="s">
        <v>122</v>
      </c>
      <c r="B484" t="s">
        <v>122</v>
      </c>
      <c r="C484" t="s">
        <v>123</v>
      </c>
      <c r="D484" t="s">
        <v>100</v>
      </c>
      <c r="E484" t="s">
        <v>99</v>
      </c>
      <c r="F484" t="s">
        <v>12</v>
      </c>
      <c r="G484">
        <v>1</v>
      </c>
      <c r="H484">
        <v>305</v>
      </c>
      <c r="I484">
        <v>0.91044776119402904</v>
      </c>
      <c r="J484" s="25">
        <f t="shared" si="22"/>
        <v>0.91044776119402981</v>
      </c>
      <c r="K484">
        <v>3151</v>
      </c>
      <c r="L484">
        <v>12</v>
      </c>
      <c r="M484">
        <v>3.7938665823585198E-3</v>
      </c>
      <c r="N484" s="25">
        <f t="shared" si="21"/>
        <v>3.7938665823584738E-3</v>
      </c>
      <c r="O484">
        <v>0.99620613341764097</v>
      </c>
      <c r="P484" s="25">
        <f t="shared" si="23"/>
        <v>0.99620613341764153</v>
      </c>
      <c r="Q484">
        <v>30</v>
      </c>
      <c r="R484" t="s">
        <v>124</v>
      </c>
      <c r="S484" t="s">
        <v>124</v>
      </c>
      <c r="T484" t="s">
        <v>124</v>
      </c>
      <c r="U484" t="s">
        <v>124</v>
      </c>
      <c r="X484" s="19">
        <f>J484</f>
        <v>0.91044776119402981</v>
      </c>
      <c r="Y484" s="19">
        <f>N484</f>
        <v>3.7938665823584738E-3</v>
      </c>
      <c r="Z484" s="26">
        <f>(L484+Q484)/(L484+Q484+H484+K484)</f>
        <v>1.2006861063464836E-2</v>
      </c>
    </row>
    <row r="485" spans="1:26" x14ac:dyDescent="0.35">
      <c r="A485" t="s">
        <v>122</v>
      </c>
      <c r="B485" t="s">
        <v>122</v>
      </c>
      <c r="C485" t="s">
        <v>123</v>
      </c>
      <c r="D485" t="s">
        <v>100</v>
      </c>
      <c r="E485" t="s">
        <v>99</v>
      </c>
      <c r="F485" t="s">
        <v>12</v>
      </c>
      <c r="G485">
        <v>1</v>
      </c>
      <c r="H485">
        <v>305</v>
      </c>
      <c r="I485">
        <v>0.91044776119402904</v>
      </c>
      <c r="J485" s="25">
        <f t="shared" si="22"/>
        <v>0.91044776119402981</v>
      </c>
      <c r="K485">
        <v>3151</v>
      </c>
      <c r="L485">
        <v>12</v>
      </c>
      <c r="M485">
        <v>3.7938665823585198E-3</v>
      </c>
      <c r="N485" s="25">
        <f t="shared" si="21"/>
        <v>3.7938665823584738E-3</v>
      </c>
      <c r="O485">
        <v>0.99620613341764097</v>
      </c>
      <c r="P485" s="25">
        <f t="shared" si="23"/>
        <v>0.99620613341764153</v>
      </c>
      <c r="Q485">
        <v>30</v>
      </c>
      <c r="R485" t="s">
        <v>124</v>
      </c>
      <c r="S485" t="s">
        <v>124</v>
      </c>
      <c r="T485" t="s">
        <v>124</v>
      </c>
      <c r="U485" t="s">
        <v>124</v>
      </c>
      <c r="X485" s="19">
        <f>J485</f>
        <v>0.91044776119402981</v>
      </c>
      <c r="Y485" s="19">
        <f>N485</f>
        <v>3.7938665823584738E-3</v>
      </c>
      <c r="Z485" s="26">
        <f>(L485+Q485)/(L485+Q485+H485+K485)</f>
        <v>1.2006861063464836E-2</v>
      </c>
    </row>
    <row r="486" spans="1:26" x14ac:dyDescent="0.35">
      <c r="A486" t="s">
        <v>122</v>
      </c>
      <c r="B486" t="s">
        <v>122</v>
      </c>
      <c r="C486" t="s">
        <v>123</v>
      </c>
      <c r="D486" t="s">
        <v>100</v>
      </c>
      <c r="E486" t="s">
        <v>99</v>
      </c>
      <c r="F486" t="s">
        <v>12</v>
      </c>
      <c r="G486">
        <v>1</v>
      </c>
      <c r="H486">
        <v>305</v>
      </c>
      <c r="I486">
        <v>0.91044776119402904</v>
      </c>
      <c r="J486" s="25">
        <f t="shared" si="22"/>
        <v>0.91044776119402981</v>
      </c>
      <c r="K486">
        <v>3151</v>
      </c>
      <c r="L486">
        <v>12</v>
      </c>
      <c r="M486">
        <v>3.7938665823585198E-3</v>
      </c>
      <c r="N486" s="25">
        <f t="shared" si="21"/>
        <v>3.7938665823584738E-3</v>
      </c>
      <c r="O486">
        <v>0.99620613341764097</v>
      </c>
      <c r="P486" s="25">
        <f t="shared" si="23"/>
        <v>0.99620613341764153</v>
      </c>
      <c r="Q486">
        <v>30</v>
      </c>
      <c r="R486" t="s">
        <v>124</v>
      </c>
      <c r="S486" t="s">
        <v>124</v>
      </c>
      <c r="T486" t="s">
        <v>124</v>
      </c>
      <c r="U486" t="s">
        <v>124</v>
      </c>
      <c r="X486" s="19">
        <f>J486</f>
        <v>0.91044776119402981</v>
      </c>
      <c r="Y486" s="19">
        <f>N486</f>
        <v>3.7938665823584738E-3</v>
      </c>
      <c r="Z486" s="26">
        <f>(L486+Q486)/(L486+Q486+H486+K486)</f>
        <v>1.2006861063464836E-2</v>
      </c>
    </row>
    <row r="487" spans="1:26" x14ac:dyDescent="0.35">
      <c r="A487" t="s">
        <v>122</v>
      </c>
      <c r="B487" t="s">
        <v>122</v>
      </c>
      <c r="C487" t="s">
        <v>123</v>
      </c>
      <c r="D487" t="s">
        <v>100</v>
      </c>
      <c r="E487" t="s">
        <v>99</v>
      </c>
      <c r="F487" t="s">
        <v>12</v>
      </c>
      <c r="G487">
        <v>1</v>
      </c>
      <c r="H487">
        <v>305</v>
      </c>
      <c r="I487">
        <v>0.91044776119402904</v>
      </c>
      <c r="J487" s="25">
        <f t="shared" si="22"/>
        <v>0.91044776119402981</v>
      </c>
      <c r="K487">
        <v>3151</v>
      </c>
      <c r="L487">
        <v>12</v>
      </c>
      <c r="M487">
        <v>3.7938665823585198E-3</v>
      </c>
      <c r="N487" s="25">
        <f t="shared" si="21"/>
        <v>3.7938665823584738E-3</v>
      </c>
      <c r="O487">
        <v>0.99620613341764097</v>
      </c>
      <c r="P487" s="25">
        <f t="shared" si="23"/>
        <v>0.99620613341764153</v>
      </c>
      <c r="Q487">
        <v>30</v>
      </c>
      <c r="R487" t="s">
        <v>124</v>
      </c>
      <c r="S487" t="s">
        <v>124</v>
      </c>
      <c r="T487" t="s">
        <v>124</v>
      </c>
      <c r="U487" t="s">
        <v>124</v>
      </c>
      <c r="X487" s="19">
        <f>J487</f>
        <v>0.91044776119402981</v>
      </c>
      <c r="Y487" s="19">
        <f>N487</f>
        <v>3.7938665823584738E-3</v>
      </c>
      <c r="Z487" s="26">
        <f>(L487+Q487)/(L487+Q487+H487+K487)</f>
        <v>1.2006861063464836E-2</v>
      </c>
    </row>
    <row r="488" spans="1:26" x14ac:dyDescent="0.35">
      <c r="A488" t="s">
        <v>122</v>
      </c>
      <c r="B488" t="s">
        <v>122</v>
      </c>
      <c r="C488" t="s">
        <v>123</v>
      </c>
      <c r="D488" t="s">
        <v>100</v>
      </c>
      <c r="E488" t="s">
        <v>99</v>
      </c>
      <c r="F488" t="s">
        <v>12</v>
      </c>
      <c r="G488">
        <v>1</v>
      </c>
      <c r="H488">
        <v>305</v>
      </c>
      <c r="I488">
        <v>0.91044776119402904</v>
      </c>
      <c r="J488" s="25">
        <f t="shared" si="22"/>
        <v>0.91044776119402981</v>
      </c>
      <c r="K488">
        <v>3151</v>
      </c>
      <c r="L488">
        <v>12</v>
      </c>
      <c r="M488">
        <v>3.7938665823585198E-3</v>
      </c>
      <c r="N488" s="25">
        <f t="shared" si="21"/>
        <v>3.7938665823584738E-3</v>
      </c>
      <c r="O488">
        <v>0.99620613341764097</v>
      </c>
      <c r="P488" s="25">
        <f t="shared" si="23"/>
        <v>0.99620613341764153</v>
      </c>
      <c r="Q488">
        <v>30</v>
      </c>
      <c r="R488" t="s">
        <v>124</v>
      </c>
      <c r="S488" t="s">
        <v>124</v>
      </c>
      <c r="T488" t="s">
        <v>124</v>
      </c>
      <c r="U488" t="s">
        <v>124</v>
      </c>
      <c r="X488" s="19">
        <f>J488</f>
        <v>0.91044776119402981</v>
      </c>
      <c r="Y488" s="19">
        <f>N488</f>
        <v>3.7938665823584738E-3</v>
      </c>
      <c r="Z488" s="26">
        <f>(L488+Q488)/(L488+Q488+H488+K488)</f>
        <v>1.2006861063464836E-2</v>
      </c>
    </row>
    <row r="489" spans="1:26" x14ac:dyDescent="0.35">
      <c r="A489" t="s">
        <v>122</v>
      </c>
      <c r="B489" t="s">
        <v>122</v>
      </c>
      <c r="C489" t="s">
        <v>123</v>
      </c>
      <c r="D489" t="s">
        <v>100</v>
      </c>
      <c r="E489" t="s">
        <v>99</v>
      </c>
      <c r="F489" t="s">
        <v>12</v>
      </c>
      <c r="G489">
        <v>1</v>
      </c>
      <c r="H489">
        <v>305</v>
      </c>
      <c r="I489">
        <v>0.91044776119402904</v>
      </c>
      <c r="J489" s="25">
        <f t="shared" si="22"/>
        <v>0.91044776119402981</v>
      </c>
      <c r="K489">
        <v>3151</v>
      </c>
      <c r="L489">
        <v>12</v>
      </c>
      <c r="M489">
        <v>3.7938665823585198E-3</v>
      </c>
      <c r="N489" s="25">
        <f t="shared" si="21"/>
        <v>3.7938665823584738E-3</v>
      </c>
      <c r="O489">
        <v>0.99620613341764097</v>
      </c>
      <c r="P489" s="25">
        <f t="shared" si="23"/>
        <v>0.99620613341764153</v>
      </c>
      <c r="Q489">
        <v>30</v>
      </c>
      <c r="R489" t="s">
        <v>124</v>
      </c>
      <c r="S489" t="s">
        <v>124</v>
      </c>
      <c r="T489" t="s">
        <v>124</v>
      </c>
      <c r="U489" t="s">
        <v>124</v>
      </c>
      <c r="X489" s="19">
        <f>J489</f>
        <v>0.91044776119402981</v>
      </c>
      <c r="Y489" s="19">
        <f>N489</f>
        <v>3.7938665823584738E-3</v>
      </c>
      <c r="Z489" s="26">
        <f>(L489+Q489)/(L489+Q489+H489+K489)</f>
        <v>1.2006861063464836E-2</v>
      </c>
    </row>
    <row r="490" spans="1:26" x14ac:dyDescent="0.35">
      <c r="A490" t="s">
        <v>122</v>
      </c>
      <c r="B490" t="s">
        <v>122</v>
      </c>
      <c r="C490" t="s">
        <v>123</v>
      </c>
      <c r="D490" t="s">
        <v>100</v>
      </c>
      <c r="E490" t="s">
        <v>99</v>
      </c>
      <c r="F490" t="s">
        <v>12</v>
      </c>
      <c r="G490">
        <v>1</v>
      </c>
      <c r="H490">
        <v>305</v>
      </c>
      <c r="I490">
        <v>0.91044776119402904</v>
      </c>
      <c r="J490" s="25">
        <f t="shared" si="22"/>
        <v>0.91044776119402981</v>
      </c>
      <c r="K490">
        <v>3151</v>
      </c>
      <c r="L490">
        <v>12</v>
      </c>
      <c r="M490">
        <v>3.7938665823585198E-3</v>
      </c>
      <c r="N490" s="25">
        <f t="shared" si="21"/>
        <v>3.7938665823584738E-3</v>
      </c>
      <c r="O490">
        <v>0.99620613341764097</v>
      </c>
      <c r="P490" s="25">
        <f t="shared" si="23"/>
        <v>0.99620613341764153</v>
      </c>
      <c r="Q490">
        <v>30</v>
      </c>
      <c r="R490" t="s">
        <v>124</v>
      </c>
      <c r="S490" t="s">
        <v>124</v>
      </c>
      <c r="T490" t="s">
        <v>124</v>
      </c>
      <c r="U490" t="s">
        <v>124</v>
      </c>
      <c r="X490" s="19">
        <f>J490</f>
        <v>0.91044776119402981</v>
      </c>
      <c r="Y490" s="19">
        <f>N490</f>
        <v>3.7938665823584738E-3</v>
      </c>
      <c r="Z490" s="26">
        <f>(L490+Q490)/(L490+Q490+H490+K490)</f>
        <v>1.2006861063464836E-2</v>
      </c>
    </row>
    <row r="491" spans="1:26" x14ac:dyDescent="0.35">
      <c r="A491" t="s">
        <v>122</v>
      </c>
      <c r="B491" t="s">
        <v>122</v>
      </c>
      <c r="C491" t="s">
        <v>123</v>
      </c>
      <c r="D491" t="s">
        <v>100</v>
      </c>
      <c r="E491" t="s">
        <v>99</v>
      </c>
      <c r="F491" t="s">
        <v>12</v>
      </c>
      <c r="G491">
        <v>1</v>
      </c>
      <c r="H491">
        <v>305</v>
      </c>
      <c r="I491">
        <v>0.91044776119402904</v>
      </c>
      <c r="J491" s="25">
        <f t="shared" si="22"/>
        <v>0.91044776119402981</v>
      </c>
      <c r="K491">
        <v>3151</v>
      </c>
      <c r="L491">
        <v>12</v>
      </c>
      <c r="M491">
        <v>3.7938665823585198E-3</v>
      </c>
      <c r="N491" s="25">
        <f t="shared" si="21"/>
        <v>3.7938665823584738E-3</v>
      </c>
      <c r="O491">
        <v>0.99620613341764097</v>
      </c>
      <c r="P491" s="25">
        <f t="shared" si="23"/>
        <v>0.99620613341764153</v>
      </c>
      <c r="Q491">
        <v>30</v>
      </c>
      <c r="R491" t="s">
        <v>124</v>
      </c>
      <c r="S491" t="s">
        <v>124</v>
      </c>
      <c r="T491" t="s">
        <v>124</v>
      </c>
      <c r="U491" t="s">
        <v>124</v>
      </c>
      <c r="X491" s="19">
        <f>J491</f>
        <v>0.91044776119402981</v>
      </c>
      <c r="Y491" s="19">
        <f>N491</f>
        <v>3.7938665823584738E-3</v>
      </c>
      <c r="Z491" s="26">
        <f>(L491+Q491)/(L491+Q491+H491+K491)</f>
        <v>1.2006861063464836E-2</v>
      </c>
    </row>
    <row r="492" spans="1:26" x14ac:dyDescent="0.35">
      <c r="A492" t="s">
        <v>122</v>
      </c>
      <c r="B492" t="s">
        <v>122</v>
      </c>
      <c r="C492" t="s">
        <v>123</v>
      </c>
      <c r="D492" t="s">
        <v>100</v>
      </c>
      <c r="E492" t="s">
        <v>99</v>
      </c>
      <c r="F492" t="s">
        <v>12</v>
      </c>
      <c r="G492">
        <v>1</v>
      </c>
      <c r="H492">
        <v>305</v>
      </c>
      <c r="I492">
        <v>0.91044776119402904</v>
      </c>
      <c r="J492" s="25">
        <f t="shared" si="22"/>
        <v>0.91044776119402981</v>
      </c>
      <c r="K492">
        <v>3151</v>
      </c>
      <c r="L492">
        <v>12</v>
      </c>
      <c r="M492">
        <v>3.7938665823585198E-3</v>
      </c>
      <c r="N492" s="25">
        <f t="shared" si="21"/>
        <v>3.7938665823584738E-3</v>
      </c>
      <c r="O492">
        <v>0.99620613341764097</v>
      </c>
      <c r="P492" s="25">
        <f t="shared" si="23"/>
        <v>0.99620613341764153</v>
      </c>
      <c r="Q492">
        <v>30</v>
      </c>
      <c r="R492" t="s">
        <v>124</v>
      </c>
      <c r="S492" t="s">
        <v>124</v>
      </c>
      <c r="T492" t="s">
        <v>124</v>
      </c>
      <c r="U492" t="s">
        <v>124</v>
      </c>
      <c r="X492" s="19">
        <f>J492</f>
        <v>0.91044776119402981</v>
      </c>
      <c r="Y492" s="19">
        <f>N492</f>
        <v>3.7938665823584738E-3</v>
      </c>
      <c r="Z492" s="26">
        <f>(L492+Q492)/(L492+Q492+H492+K492)</f>
        <v>1.2006861063464836E-2</v>
      </c>
    </row>
    <row r="493" spans="1:26" x14ac:dyDescent="0.35">
      <c r="A493" t="s">
        <v>122</v>
      </c>
      <c r="B493" t="s">
        <v>122</v>
      </c>
      <c r="C493" t="s">
        <v>123</v>
      </c>
      <c r="D493" t="s">
        <v>100</v>
      </c>
      <c r="E493" t="s">
        <v>99</v>
      </c>
      <c r="F493" t="s">
        <v>12</v>
      </c>
      <c r="G493">
        <v>1</v>
      </c>
      <c r="H493">
        <v>305</v>
      </c>
      <c r="I493">
        <v>0.91044776119402904</v>
      </c>
      <c r="J493" s="25">
        <f t="shared" si="22"/>
        <v>0.91044776119402981</v>
      </c>
      <c r="K493">
        <v>3151</v>
      </c>
      <c r="L493">
        <v>12</v>
      </c>
      <c r="M493">
        <v>3.7938665823585198E-3</v>
      </c>
      <c r="N493" s="25">
        <f t="shared" si="21"/>
        <v>3.7938665823584738E-3</v>
      </c>
      <c r="O493">
        <v>0.99620613341764097</v>
      </c>
      <c r="P493" s="25">
        <f t="shared" si="23"/>
        <v>0.99620613341764153</v>
      </c>
      <c r="Q493">
        <v>30</v>
      </c>
      <c r="R493" t="s">
        <v>124</v>
      </c>
      <c r="S493" t="s">
        <v>124</v>
      </c>
      <c r="T493" t="s">
        <v>124</v>
      </c>
      <c r="U493" t="s">
        <v>124</v>
      </c>
      <c r="X493" s="19">
        <f>J493</f>
        <v>0.91044776119402981</v>
      </c>
      <c r="Y493" s="19">
        <f>N493</f>
        <v>3.7938665823584738E-3</v>
      </c>
      <c r="Z493" s="26">
        <f>(L493+Q493)/(L493+Q493+H493+K493)</f>
        <v>1.2006861063464836E-2</v>
      </c>
    </row>
    <row r="494" spans="1:26" x14ac:dyDescent="0.35">
      <c r="A494" t="s">
        <v>122</v>
      </c>
      <c r="B494" t="s">
        <v>122</v>
      </c>
      <c r="C494" t="s">
        <v>123</v>
      </c>
      <c r="D494" t="s">
        <v>100</v>
      </c>
      <c r="E494" t="s">
        <v>99</v>
      </c>
      <c r="F494" t="s">
        <v>12</v>
      </c>
      <c r="G494">
        <v>1</v>
      </c>
      <c r="H494">
        <v>305</v>
      </c>
      <c r="I494">
        <v>0.91044776119402904</v>
      </c>
      <c r="J494" s="25">
        <f t="shared" si="22"/>
        <v>0.91044776119402981</v>
      </c>
      <c r="K494">
        <v>3151</v>
      </c>
      <c r="L494">
        <v>12</v>
      </c>
      <c r="M494">
        <v>3.7938665823585198E-3</v>
      </c>
      <c r="N494" s="25">
        <f t="shared" si="21"/>
        <v>3.7938665823584738E-3</v>
      </c>
      <c r="O494">
        <v>0.99620613341764097</v>
      </c>
      <c r="P494" s="25">
        <f t="shared" si="23"/>
        <v>0.99620613341764153</v>
      </c>
      <c r="Q494">
        <v>30</v>
      </c>
      <c r="R494" t="s">
        <v>124</v>
      </c>
      <c r="S494" t="s">
        <v>124</v>
      </c>
      <c r="T494" t="s">
        <v>124</v>
      </c>
      <c r="U494" t="s">
        <v>124</v>
      </c>
      <c r="X494" s="19">
        <f>J494</f>
        <v>0.91044776119402981</v>
      </c>
      <c r="Y494" s="19">
        <f>N494</f>
        <v>3.7938665823584738E-3</v>
      </c>
      <c r="Z494" s="26">
        <f>(L494+Q494)/(L494+Q494+H494+K494)</f>
        <v>1.2006861063464836E-2</v>
      </c>
    </row>
    <row r="495" spans="1:26" x14ac:dyDescent="0.35">
      <c r="A495" t="s">
        <v>122</v>
      </c>
      <c r="B495" t="s">
        <v>122</v>
      </c>
      <c r="C495" t="s">
        <v>123</v>
      </c>
      <c r="D495" t="s">
        <v>100</v>
      </c>
      <c r="E495" t="s">
        <v>99</v>
      </c>
      <c r="F495" t="s">
        <v>12</v>
      </c>
      <c r="G495">
        <v>1</v>
      </c>
      <c r="H495">
        <v>305</v>
      </c>
      <c r="I495">
        <v>0.91044776119402904</v>
      </c>
      <c r="J495" s="25">
        <f t="shared" si="22"/>
        <v>0.91044776119402981</v>
      </c>
      <c r="K495">
        <v>3151</v>
      </c>
      <c r="L495">
        <v>12</v>
      </c>
      <c r="M495">
        <v>3.7938665823585198E-3</v>
      </c>
      <c r="N495" s="25">
        <f t="shared" si="21"/>
        <v>3.7938665823584738E-3</v>
      </c>
      <c r="O495">
        <v>0.99620613341764097</v>
      </c>
      <c r="P495" s="25">
        <f t="shared" si="23"/>
        <v>0.99620613341764153</v>
      </c>
      <c r="Q495">
        <v>30</v>
      </c>
      <c r="R495" t="s">
        <v>124</v>
      </c>
      <c r="S495" t="s">
        <v>124</v>
      </c>
      <c r="T495" t="s">
        <v>124</v>
      </c>
      <c r="U495" t="s">
        <v>124</v>
      </c>
      <c r="X495" s="19">
        <f>J495</f>
        <v>0.91044776119402981</v>
      </c>
      <c r="Y495" s="19">
        <f>N495</f>
        <v>3.7938665823584738E-3</v>
      </c>
      <c r="Z495" s="26">
        <f>(L495+Q495)/(L495+Q495+H495+K495)</f>
        <v>1.2006861063464836E-2</v>
      </c>
    </row>
    <row r="496" spans="1:26" x14ac:dyDescent="0.35">
      <c r="A496" t="s">
        <v>122</v>
      </c>
      <c r="B496" t="s">
        <v>122</v>
      </c>
      <c r="C496" t="s">
        <v>123</v>
      </c>
      <c r="D496" t="s">
        <v>100</v>
      </c>
      <c r="E496" t="s">
        <v>99</v>
      </c>
      <c r="F496" t="s">
        <v>12</v>
      </c>
      <c r="G496">
        <v>1</v>
      </c>
      <c r="H496">
        <v>305</v>
      </c>
      <c r="I496">
        <v>0.91044776119402904</v>
      </c>
      <c r="J496" s="25">
        <f t="shared" si="22"/>
        <v>0.91044776119402981</v>
      </c>
      <c r="K496">
        <v>3151</v>
      </c>
      <c r="L496">
        <v>12</v>
      </c>
      <c r="M496">
        <v>3.7938665823585198E-3</v>
      </c>
      <c r="N496" s="25">
        <f t="shared" si="21"/>
        <v>3.7938665823584738E-3</v>
      </c>
      <c r="O496">
        <v>0.99620613341764097</v>
      </c>
      <c r="P496" s="25">
        <f t="shared" si="23"/>
        <v>0.99620613341764153</v>
      </c>
      <c r="Q496">
        <v>30</v>
      </c>
      <c r="R496" t="s">
        <v>124</v>
      </c>
      <c r="S496" t="s">
        <v>124</v>
      </c>
      <c r="T496" t="s">
        <v>124</v>
      </c>
      <c r="U496" t="s">
        <v>124</v>
      </c>
      <c r="X496" s="19">
        <f>J496</f>
        <v>0.91044776119402981</v>
      </c>
      <c r="Y496" s="19">
        <f>N496</f>
        <v>3.7938665823584738E-3</v>
      </c>
      <c r="Z496" s="26">
        <f>(L496+Q496)/(L496+Q496+H496+K496)</f>
        <v>1.2006861063464836E-2</v>
      </c>
    </row>
    <row r="497" spans="1:26" x14ac:dyDescent="0.35">
      <c r="A497" t="s">
        <v>122</v>
      </c>
      <c r="B497" t="s">
        <v>122</v>
      </c>
      <c r="C497" t="s">
        <v>123</v>
      </c>
      <c r="D497" t="s">
        <v>100</v>
      </c>
      <c r="E497" t="s">
        <v>99</v>
      </c>
      <c r="F497" t="s">
        <v>12</v>
      </c>
      <c r="G497">
        <v>1</v>
      </c>
      <c r="H497">
        <v>305</v>
      </c>
      <c r="I497">
        <v>0.91044776119402904</v>
      </c>
      <c r="J497" s="25">
        <f t="shared" si="22"/>
        <v>0.91044776119402981</v>
      </c>
      <c r="K497">
        <v>3151</v>
      </c>
      <c r="L497">
        <v>12</v>
      </c>
      <c r="M497">
        <v>3.7938665823585198E-3</v>
      </c>
      <c r="N497" s="25">
        <f t="shared" si="21"/>
        <v>3.7938665823584738E-3</v>
      </c>
      <c r="O497">
        <v>0.99620613341764097</v>
      </c>
      <c r="P497" s="25">
        <f t="shared" si="23"/>
        <v>0.99620613341764153</v>
      </c>
      <c r="Q497">
        <v>30</v>
      </c>
      <c r="R497" t="s">
        <v>124</v>
      </c>
      <c r="S497" t="s">
        <v>124</v>
      </c>
      <c r="T497" t="s">
        <v>124</v>
      </c>
      <c r="U497" t="s">
        <v>124</v>
      </c>
      <c r="X497" s="19">
        <f>J497</f>
        <v>0.91044776119402981</v>
      </c>
      <c r="Y497" s="19">
        <f>N497</f>
        <v>3.7938665823584738E-3</v>
      </c>
      <c r="Z497" s="26">
        <f>(L497+Q497)/(L497+Q497+H497+K497)</f>
        <v>1.2006861063464836E-2</v>
      </c>
    </row>
    <row r="498" spans="1:26" x14ac:dyDescent="0.35">
      <c r="A498" t="s">
        <v>122</v>
      </c>
      <c r="B498" t="s">
        <v>122</v>
      </c>
      <c r="C498" t="s">
        <v>123</v>
      </c>
      <c r="D498" t="s">
        <v>100</v>
      </c>
      <c r="E498" t="s">
        <v>99</v>
      </c>
      <c r="F498" t="s">
        <v>12</v>
      </c>
      <c r="G498">
        <v>1</v>
      </c>
      <c r="H498">
        <v>305</v>
      </c>
      <c r="I498">
        <v>0.91044776119402904</v>
      </c>
      <c r="J498" s="25">
        <f t="shared" si="22"/>
        <v>0.91044776119402981</v>
      </c>
      <c r="K498">
        <v>3151</v>
      </c>
      <c r="L498">
        <v>12</v>
      </c>
      <c r="M498">
        <v>3.7938665823585198E-3</v>
      </c>
      <c r="N498" s="25">
        <f t="shared" si="21"/>
        <v>3.7938665823584738E-3</v>
      </c>
      <c r="O498">
        <v>0.99620613341764097</v>
      </c>
      <c r="P498" s="25">
        <f t="shared" si="23"/>
        <v>0.99620613341764153</v>
      </c>
      <c r="Q498">
        <v>30</v>
      </c>
      <c r="R498" t="s">
        <v>124</v>
      </c>
      <c r="S498" t="s">
        <v>124</v>
      </c>
      <c r="T498" t="s">
        <v>124</v>
      </c>
      <c r="U498" t="s">
        <v>124</v>
      </c>
      <c r="X498" s="19">
        <f>J498</f>
        <v>0.91044776119402981</v>
      </c>
      <c r="Y498" s="19">
        <f>N498</f>
        <v>3.7938665823584738E-3</v>
      </c>
      <c r="Z498" s="26">
        <f>(L498+Q498)/(L498+Q498+H498+K498)</f>
        <v>1.2006861063464836E-2</v>
      </c>
    </row>
    <row r="499" spans="1:26" x14ac:dyDescent="0.35">
      <c r="A499" t="s">
        <v>122</v>
      </c>
      <c r="B499" t="s">
        <v>122</v>
      </c>
      <c r="C499" t="s">
        <v>123</v>
      </c>
      <c r="D499" t="s">
        <v>100</v>
      </c>
      <c r="E499" t="s">
        <v>99</v>
      </c>
      <c r="F499" t="s">
        <v>12</v>
      </c>
      <c r="G499">
        <v>1</v>
      </c>
      <c r="H499">
        <v>305</v>
      </c>
      <c r="I499">
        <v>0.91044776119402904</v>
      </c>
      <c r="J499" s="25">
        <f t="shared" si="22"/>
        <v>0.91044776119402981</v>
      </c>
      <c r="K499">
        <v>3151</v>
      </c>
      <c r="L499">
        <v>12</v>
      </c>
      <c r="M499">
        <v>3.7938665823585198E-3</v>
      </c>
      <c r="N499" s="25">
        <f t="shared" si="21"/>
        <v>3.7938665823584738E-3</v>
      </c>
      <c r="O499">
        <v>0.99620613341764097</v>
      </c>
      <c r="P499" s="25">
        <f t="shared" si="23"/>
        <v>0.99620613341764153</v>
      </c>
      <c r="Q499">
        <v>30</v>
      </c>
      <c r="R499" t="s">
        <v>124</v>
      </c>
      <c r="S499" t="s">
        <v>124</v>
      </c>
      <c r="T499" t="s">
        <v>124</v>
      </c>
      <c r="U499" t="s">
        <v>124</v>
      </c>
      <c r="X499" s="19">
        <f>J499</f>
        <v>0.91044776119402981</v>
      </c>
      <c r="Y499" s="19">
        <f>N499</f>
        <v>3.7938665823584738E-3</v>
      </c>
      <c r="Z499" s="26">
        <f>(L499+Q499)/(L499+Q499+H499+K499)</f>
        <v>1.2006861063464836E-2</v>
      </c>
    </row>
    <row r="500" spans="1:26" x14ac:dyDescent="0.35">
      <c r="A500" t="s">
        <v>122</v>
      </c>
      <c r="B500" t="s">
        <v>122</v>
      </c>
      <c r="C500" t="s">
        <v>123</v>
      </c>
      <c r="D500" t="s">
        <v>100</v>
      </c>
      <c r="E500" t="s">
        <v>99</v>
      </c>
      <c r="F500" t="s">
        <v>12</v>
      </c>
      <c r="G500">
        <v>1</v>
      </c>
      <c r="H500">
        <v>305</v>
      </c>
      <c r="I500">
        <v>0.91044776119402904</v>
      </c>
      <c r="J500" s="25">
        <f t="shared" si="22"/>
        <v>0.91044776119402981</v>
      </c>
      <c r="K500">
        <v>3151</v>
      </c>
      <c r="L500">
        <v>12</v>
      </c>
      <c r="M500">
        <v>3.7938665823585198E-3</v>
      </c>
      <c r="N500" s="25">
        <f t="shared" si="21"/>
        <v>3.7938665823584738E-3</v>
      </c>
      <c r="O500">
        <v>0.99620613341764097</v>
      </c>
      <c r="P500" s="25">
        <f t="shared" si="23"/>
        <v>0.99620613341764153</v>
      </c>
      <c r="Q500">
        <v>30</v>
      </c>
      <c r="R500" t="s">
        <v>124</v>
      </c>
      <c r="S500" t="s">
        <v>124</v>
      </c>
      <c r="T500" t="s">
        <v>124</v>
      </c>
      <c r="U500" t="s">
        <v>124</v>
      </c>
      <c r="X500" s="19">
        <f>J500</f>
        <v>0.91044776119402981</v>
      </c>
      <c r="Y500" s="19">
        <f>N500</f>
        <v>3.7938665823584738E-3</v>
      </c>
      <c r="Z500" s="26">
        <f>(L500+Q500)/(L500+Q500+H500+K500)</f>
        <v>1.2006861063464836E-2</v>
      </c>
    </row>
    <row r="501" spans="1:26" x14ac:dyDescent="0.35">
      <c r="A501" t="s">
        <v>122</v>
      </c>
      <c r="B501" t="s">
        <v>122</v>
      </c>
      <c r="C501" t="s">
        <v>123</v>
      </c>
      <c r="D501" t="s">
        <v>100</v>
      </c>
      <c r="E501" t="s">
        <v>99</v>
      </c>
      <c r="F501" t="s">
        <v>12</v>
      </c>
      <c r="G501">
        <v>1</v>
      </c>
      <c r="H501">
        <v>305</v>
      </c>
      <c r="I501">
        <v>0.91044776119402904</v>
      </c>
      <c r="J501" s="25">
        <f t="shared" si="22"/>
        <v>0.91044776119402981</v>
      </c>
      <c r="K501">
        <v>3151</v>
      </c>
      <c r="L501">
        <v>12</v>
      </c>
      <c r="M501">
        <v>3.7938665823585198E-3</v>
      </c>
      <c r="N501" s="25">
        <f t="shared" si="21"/>
        <v>3.7938665823584738E-3</v>
      </c>
      <c r="O501">
        <v>0.99620613341764097</v>
      </c>
      <c r="P501" s="25">
        <f t="shared" si="23"/>
        <v>0.99620613341764153</v>
      </c>
      <c r="Q501">
        <v>30</v>
      </c>
      <c r="R501" t="s">
        <v>124</v>
      </c>
      <c r="S501" t="s">
        <v>124</v>
      </c>
      <c r="T501" t="s">
        <v>124</v>
      </c>
      <c r="U501" t="s">
        <v>124</v>
      </c>
      <c r="X501" s="19">
        <f>J501</f>
        <v>0.91044776119402981</v>
      </c>
      <c r="Y501" s="19">
        <f>N501</f>
        <v>3.7938665823584738E-3</v>
      </c>
      <c r="Z501" s="26">
        <f>(L501+Q501)/(L501+Q501+H501+K501)</f>
        <v>1.2006861063464836E-2</v>
      </c>
    </row>
    <row r="502" spans="1:26" x14ac:dyDescent="0.35">
      <c r="A502" t="s">
        <v>122</v>
      </c>
      <c r="B502" t="s">
        <v>122</v>
      </c>
      <c r="C502" t="s">
        <v>123</v>
      </c>
      <c r="D502" t="s">
        <v>100</v>
      </c>
      <c r="E502" t="s">
        <v>99</v>
      </c>
      <c r="F502" t="s">
        <v>12</v>
      </c>
      <c r="G502">
        <v>1</v>
      </c>
      <c r="H502">
        <v>305</v>
      </c>
      <c r="I502">
        <v>0.91044776119402904</v>
      </c>
      <c r="J502" s="25">
        <f t="shared" si="22"/>
        <v>0.91044776119402981</v>
      </c>
      <c r="K502">
        <v>3151</v>
      </c>
      <c r="L502">
        <v>12</v>
      </c>
      <c r="M502">
        <v>3.7938665823585198E-3</v>
      </c>
      <c r="N502" s="25">
        <f t="shared" si="21"/>
        <v>3.7938665823584738E-3</v>
      </c>
      <c r="O502">
        <v>0.99620613341764097</v>
      </c>
      <c r="P502" s="25">
        <f t="shared" si="23"/>
        <v>0.99620613341764153</v>
      </c>
      <c r="Q502">
        <v>30</v>
      </c>
      <c r="R502" t="s">
        <v>124</v>
      </c>
      <c r="S502" t="s">
        <v>124</v>
      </c>
      <c r="T502" t="s">
        <v>124</v>
      </c>
      <c r="U502" t="s">
        <v>124</v>
      </c>
      <c r="X502" s="19">
        <f>J502</f>
        <v>0.91044776119402981</v>
      </c>
      <c r="Y502" s="19">
        <f>N502</f>
        <v>3.7938665823584738E-3</v>
      </c>
      <c r="Z502" s="26">
        <f>(L502+Q502)/(L502+Q502+H502+K502)</f>
        <v>1.2006861063464836E-2</v>
      </c>
    </row>
    <row r="503" spans="1:26" x14ac:dyDescent="0.35">
      <c r="A503" t="s">
        <v>122</v>
      </c>
      <c r="B503" t="s">
        <v>122</v>
      </c>
      <c r="C503" t="s">
        <v>123</v>
      </c>
      <c r="D503" t="s">
        <v>100</v>
      </c>
      <c r="E503" t="s">
        <v>99</v>
      </c>
      <c r="F503" t="s">
        <v>12</v>
      </c>
      <c r="G503">
        <v>1</v>
      </c>
      <c r="H503">
        <v>310</v>
      </c>
      <c r="I503">
        <v>0.92537313432835799</v>
      </c>
      <c r="J503" s="25">
        <f t="shared" si="22"/>
        <v>0.92537313432835822</v>
      </c>
      <c r="K503">
        <v>3146</v>
      </c>
      <c r="L503">
        <v>17</v>
      </c>
      <c r="M503">
        <v>5.3746443250079004E-3</v>
      </c>
      <c r="N503" s="25">
        <f t="shared" si="21"/>
        <v>5.3746443250078935E-3</v>
      </c>
      <c r="O503">
        <v>0.994625355674992</v>
      </c>
      <c r="P503" s="25">
        <f t="shared" si="23"/>
        <v>0.99462535567499211</v>
      </c>
      <c r="Q503">
        <v>25</v>
      </c>
      <c r="R503" t="s">
        <v>124</v>
      </c>
      <c r="S503" t="s">
        <v>124</v>
      </c>
      <c r="T503" t="s">
        <v>124</v>
      </c>
      <c r="U503" t="s">
        <v>124</v>
      </c>
      <c r="X503" s="19">
        <f>J503</f>
        <v>0.92537313432835822</v>
      </c>
      <c r="Y503" s="19">
        <f>N503</f>
        <v>5.3746443250078935E-3</v>
      </c>
      <c r="Z503" s="26">
        <f>(L503+Q503)/(L503+Q503+H503+K503)</f>
        <v>1.2006861063464836E-2</v>
      </c>
    </row>
    <row r="504" spans="1:26" x14ac:dyDescent="0.35">
      <c r="A504" t="s">
        <v>122</v>
      </c>
      <c r="B504" t="s">
        <v>122</v>
      </c>
      <c r="C504" t="s">
        <v>123</v>
      </c>
      <c r="D504" t="s">
        <v>100</v>
      </c>
      <c r="E504" t="s">
        <v>99</v>
      </c>
      <c r="F504" t="s">
        <v>12</v>
      </c>
      <c r="G504">
        <v>1</v>
      </c>
      <c r="H504">
        <v>310</v>
      </c>
      <c r="I504">
        <v>0.92537313432835799</v>
      </c>
      <c r="J504" s="25">
        <f t="shared" si="22"/>
        <v>0.92537313432835822</v>
      </c>
      <c r="K504">
        <v>3146</v>
      </c>
      <c r="L504">
        <v>17</v>
      </c>
      <c r="M504">
        <v>5.3746443250079004E-3</v>
      </c>
      <c r="N504" s="25">
        <f t="shared" si="21"/>
        <v>5.3746443250078935E-3</v>
      </c>
      <c r="O504">
        <v>0.994625355674992</v>
      </c>
      <c r="P504" s="25">
        <f t="shared" si="23"/>
        <v>0.99462535567499211</v>
      </c>
      <c r="Q504">
        <v>25</v>
      </c>
      <c r="R504" t="s">
        <v>124</v>
      </c>
      <c r="S504" t="s">
        <v>124</v>
      </c>
      <c r="T504" t="s">
        <v>124</v>
      </c>
      <c r="U504" t="s">
        <v>124</v>
      </c>
      <c r="X504" s="19">
        <f>J504</f>
        <v>0.92537313432835822</v>
      </c>
      <c r="Y504" s="19">
        <f>N504</f>
        <v>5.3746443250078935E-3</v>
      </c>
      <c r="Z504" s="26">
        <f>(L504+Q504)/(L504+Q504+H504+K504)</f>
        <v>1.2006861063464836E-2</v>
      </c>
    </row>
    <row r="505" spans="1:26" x14ac:dyDescent="0.35">
      <c r="A505" t="s">
        <v>122</v>
      </c>
      <c r="B505" t="s">
        <v>122</v>
      </c>
      <c r="C505" t="s">
        <v>123</v>
      </c>
      <c r="D505" t="s">
        <v>100</v>
      </c>
      <c r="E505" t="s">
        <v>99</v>
      </c>
      <c r="F505" t="s">
        <v>12</v>
      </c>
      <c r="G505">
        <v>1</v>
      </c>
      <c r="H505">
        <v>310</v>
      </c>
      <c r="I505">
        <v>0.92537313432835799</v>
      </c>
      <c r="J505" s="25">
        <f t="shared" si="22"/>
        <v>0.92537313432835822</v>
      </c>
      <c r="K505">
        <v>3146</v>
      </c>
      <c r="L505">
        <v>17</v>
      </c>
      <c r="M505">
        <v>5.3746443250079004E-3</v>
      </c>
      <c r="N505" s="25">
        <f t="shared" si="21"/>
        <v>5.3746443250078935E-3</v>
      </c>
      <c r="O505">
        <v>0.994625355674992</v>
      </c>
      <c r="P505" s="25">
        <f t="shared" si="23"/>
        <v>0.99462535567499211</v>
      </c>
      <c r="Q505">
        <v>25</v>
      </c>
      <c r="R505" t="s">
        <v>124</v>
      </c>
      <c r="S505" t="s">
        <v>124</v>
      </c>
      <c r="T505" t="s">
        <v>124</v>
      </c>
      <c r="U505" t="s">
        <v>124</v>
      </c>
      <c r="X505" s="19">
        <f>J505</f>
        <v>0.92537313432835822</v>
      </c>
      <c r="Y505" s="19">
        <f>N505</f>
        <v>5.3746443250078935E-3</v>
      </c>
      <c r="Z505" s="26">
        <f>(L505+Q505)/(L505+Q505+H505+K505)</f>
        <v>1.2006861063464836E-2</v>
      </c>
    </row>
    <row r="506" spans="1:26" x14ac:dyDescent="0.35">
      <c r="A506" t="s">
        <v>122</v>
      </c>
      <c r="B506" t="s">
        <v>122</v>
      </c>
      <c r="C506" t="s">
        <v>123</v>
      </c>
      <c r="D506" t="s">
        <v>100</v>
      </c>
      <c r="E506" t="s">
        <v>99</v>
      </c>
      <c r="F506" t="s">
        <v>12</v>
      </c>
      <c r="G506">
        <v>1</v>
      </c>
      <c r="H506">
        <v>310</v>
      </c>
      <c r="I506">
        <v>0.92537313432835799</v>
      </c>
      <c r="J506" s="25">
        <f t="shared" si="22"/>
        <v>0.92537313432835822</v>
      </c>
      <c r="K506">
        <v>3146</v>
      </c>
      <c r="L506">
        <v>17</v>
      </c>
      <c r="M506">
        <v>5.3746443250079004E-3</v>
      </c>
      <c r="N506" s="25">
        <f t="shared" si="21"/>
        <v>5.3746443250078935E-3</v>
      </c>
      <c r="O506">
        <v>0.994625355674992</v>
      </c>
      <c r="P506" s="25">
        <f t="shared" si="23"/>
        <v>0.99462535567499211</v>
      </c>
      <c r="Q506">
        <v>25</v>
      </c>
      <c r="R506" t="s">
        <v>124</v>
      </c>
      <c r="S506" t="s">
        <v>124</v>
      </c>
      <c r="T506" t="s">
        <v>124</v>
      </c>
      <c r="U506" t="s">
        <v>124</v>
      </c>
      <c r="X506" s="19">
        <f>J506</f>
        <v>0.92537313432835822</v>
      </c>
      <c r="Y506" s="19">
        <f>N506</f>
        <v>5.3746443250078935E-3</v>
      </c>
      <c r="Z506" s="26">
        <f>(L506+Q506)/(L506+Q506+H506+K506)</f>
        <v>1.2006861063464836E-2</v>
      </c>
    </row>
    <row r="507" spans="1:26" x14ac:dyDescent="0.35">
      <c r="A507" t="s">
        <v>122</v>
      </c>
      <c r="B507" t="s">
        <v>122</v>
      </c>
      <c r="C507" t="s">
        <v>123</v>
      </c>
      <c r="D507" t="s">
        <v>100</v>
      </c>
      <c r="E507" t="s">
        <v>99</v>
      </c>
      <c r="F507" t="s">
        <v>12</v>
      </c>
      <c r="G507">
        <v>1</v>
      </c>
      <c r="H507">
        <v>310</v>
      </c>
      <c r="I507">
        <v>0.92537313432835799</v>
      </c>
      <c r="J507" s="25">
        <f t="shared" si="22"/>
        <v>0.92537313432835822</v>
      </c>
      <c r="K507">
        <v>3146</v>
      </c>
      <c r="L507">
        <v>17</v>
      </c>
      <c r="M507">
        <v>5.3746443250079004E-3</v>
      </c>
      <c r="N507" s="25">
        <f t="shared" si="21"/>
        <v>5.3746443250078935E-3</v>
      </c>
      <c r="O507">
        <v>0.994625355674992</v>
      </c>
      <c r="P507" s="25">
        <f t="shared" si="23"/>
        <v>0.99462535567499211</v>
      </c>
      <c r="Q507">
        <v>25</v>
      </c>
      <c r="R507" t="s">
        <v>124</v>
      </c>
      <c r="S507" t="s">
        <v>124</v>
      </c>
      <c r="T507" t="s">
        <v>124</v>
      </c>
      <c r="U507" t="s">
        <v>124</v>
      </c>
      <c r="X507" s="19">
        <f>J507</f>
        <v>0.92537313432835822</v>
      </c>
      <c r="Y507" s="19">
        <f>N507</f>
        <v>5.3746443250078935E-3</v>
      </c>
      <c r="Z507" s="26">
        <f>(L507+Q507)/(L507+Q507+H507+K507)</f>
        <v>1.2006861063464836E-2</v>
      </c>
    </row>
    <row r="508" spans="1:26" x14ac:dyDescent="0.35">
      <c r="A508" t="s">
        <v>122</v>
      </c>
      <c r="B508" t="s">
        <v>122</v>
      </c>
      <c r="C508" t="s">
        <v>123</v>
      </c>
      <c r="D508" t="s">
        <v>100</v>
      </c>
      <c r="E508" t="s">
        <v>99</v>
      </c>
      <c r="F508" t="s">
        <v>12</v>
      </c>
      <c r="G508">
        <v>1</v>
      </c>
      <c r="H508">
        <v>310</v>
      </c>
      <c r="I508">
        <v>0.92537313432835799</v>
      </c>
      <c r="J508" s="25">
        <f t="shared" si="22"/>
        <v>0.92537313432835822</v>
      </c>
      <c r="K508">
        <v>3146</v>
      </c>
      <c r="L508">
        <v>17</v>
      </c>
      <c r="M508">
        <v>5.3746443250079004E-3</v>
      </c>
      <c r="N508" s="25">
        <f t="shared" si="21"/>
        <v>5.3746443250078935E-3</v>
      </c>
      <c r="O508">
        <v>0.994625355674992</v>
      </c>
      <c r="P508" s="25">
        <f t="shared" si="23"/>
        <v>0.99462535567499211</v>
      </c>
      <c r="Q508">
        <v>25</v>
      </c>
      <c r="R508" t="s">
        <v>124</v>
      </c>
      <c r="S508" t="s">
        <v>124</v>
      </c>
      <c r="T508" t="s">
        <v>124</v>
      </c>
      <c r="U508" t="s">
        <v>124</v>
      </c>
      <c r="X508" s="19">
        <f>J508</f>
        <v>0.92537313432835822</v>
      </c>
      <c r="Y508" s="19">
        <f>N508</f>
        <v>5.3746443250078935E-3</v>
      </c>
      <c r="Z508" s="26">
        <f>(L508+Q508)/(L508+Q508+H508+K508)</f>
        <v>1.2006861063464836E-2</v>
      </c>
    </row>
    <row r="509" spans="1:26" x14ac:dyDescent="0.35">
      <c r="A509" t="s">
        <v>122</v>
      </c>
      <c r="B509" t="s">
        <v>122</v>
      </c>
      <c r="C509" t="s">
        <v>123</v>
      </c>
      <c r="D509" t="s">
        <v>100</v>
      </c>
      <c r="E509" t="s">
        <v>99</v>
      </c>
      <c r="F509" t="s">
        <v>12</v>
      </c>
      <c r="G509">
        <v>1</v>
      </c>
      <c r="H509">
        <v>310</v>
      </c>
      <c r="I509">
        <v>0.92537313432835799</v>
      </c>
      <c r="J509" s="25">
        <f t="shared" si="22"/>
        <v>0.92537313432835822</v>
      </c>
      <c r="K509">
        <v>3146</v>
      </c>
      <c r="L509">
        <v>17</v>
      </c>
      <c r="M509">
        <v>5.3746443250079004E-3</v>
      </c>
      <c r="N509" s="25">
        <f t="shared" si="21"/>
        <v>5.3746443250078935E-3</v>
      </c>
      <c r="O509">
        <v>0.994625355674992</v>
      </c>
      <c r="P509" s="25">
        <f t="shared" si="23"/>
        <v>0.99462535567499211</v>
      </c>
      <c r="Q509">
        <v>25</v>
      </c>
      <c r="R509" t="s">
        <v>124</v>
      </c>
      <c r="S509" t="s">
        <v>124</v>
      </c>
      <c r="T509" t="s">
        <v>124</v>
      </c>
      <c r="U509" t="s">
        <v>124</v>
      </c>
      <c r="X509" s="19">
        <f>J509</f>
        <v>0.92537313432835822</v>
      </c>
      <c r="Y509" s="19">
        <f>N509</f>
        <v>5.3746443250078935E-3</v>
      </c>
      <c r="Z509" s="26">
        <f>(L509+Q509)/(L509+Q509+H509+K509)</f>
        <v>1.2006861063464836E-2</v>
      </c>
    </row>
    <row r="510" spans="1:26" x14ac:dyDescent="0.35">
      <c r="A510" t="s">
        <v>122</v>
      </c>
      <c r="B510" t="s">
        <v>122</v>
      </c>
      <c r="C510" t="s">
        <v>123</v>
      </c>
      <c r="D510" t="s">
        <v>100</v>
      </c>
      <c r="E510" t="s">
        <v>99</v>
      </c>
      <c r="F510" t="s">
        <v>12</v>
      </c>
      <c r="G510">
        <v>1</v>
      </c>
      <c r="H510">
        <v>310</v>
      </c>
      <c r="I510">
        <v>0.92537313432835799</v>
      </c>
      <c r="J510" s="25">
        <f t="shared" si="22"/>
        <v>0.92537313432835822</v>
      </c>
      <c r="K510">
        <v>3146</v>
      </c>
      <c r="L510">
        <v>17</v>
      </c>
      <c r="M510">
        <v>5.3746443250079004E-3</v>
      </c>
      <c r="N510" s="25">
        <f t="shared" si="21"/>
        <v>5.3746443250078935E-3</v>
      </c>
      <c r="O510">
        <v>0.994625355674992</v>
      </c>
      <c r="P510" s="25">
        <f t="shared" si="23"/>
        <v>0.99462535567499211</v>
      </c>
      <c r="Q510">
        <v>25</v>
      </c>
      <c r="R510" t="s">
        <v>124</v>
      </c>
      <c r="S510" t="s">
        <v>124</v>
      </c>
      <c r="T510" t="s">
        <v>124</v>
      </c>
      <c r="U510" t="s">
        <v>124</v>
      </c>
      <c r="X510" s="19">
        <f>J510</f>
        <v>0.92537313432835822</v>
      </c>
      <c r="Y510" s="19">
        <f>N510</f>
        <v>5.3746443250078935E-3</v>
      </c>
      <c r="Z510" s="26">
        <f>(L510+Q510)/(L510+Q510+H510+K510)</f>
        <v>1.2006861063464836E-2</v>
      </c>
    </row>
    <row r="511" spans="1:26" x14ac:dyDescent="0.35">
      <c r="A511" t="s">
        <v>122</v>
      </c>
      <c r="B511" t="s">
        <v>122</v>
      </c>
      <c r="C511" t="s">
        <v>123</v>
      </c>
      <c r="D511" t="s">
        <v>100</v>
      </c>
      <c r="E511" t="s">
        <v>99</v>
      </c>
      <c r="F511" t="s">
        <v>12</v>
      </c>
      <c r="G511">
        <v>1</v>
      </c>
      <c r="H511">
        <v>310</v>
      </c>
      <c r="I511">
        <v>0.92537313432835799</v>
      </c>
      <c r="J511" s="25">
        <f t="shared" si="22"/>
        <v>0.92537313432835822</v>
      </c>
      <c r="K511">
        <v>3146</v>
      </c>
      <c r="L511">
        <v>17</v>
      </c>
      <c r="M511">
        <v>5.3746443250079004E-3</v>
      </c>
      <c r="N511" s="25">
        <f t="shared" si="21"/>
        <v>5.3746443250078935E-3</v>
      </c>
      <c r="O511">
        <v>0.994625355674992</v>
      </c>
      <c r="P511" s="25">
        <f t="shared" si="23"/>
        <v>0.99462535567499211</v>
      </c>
      <c r="Q511">
        <v>25</v>
      </c>
      <c r="R511" t="s">
        <v>124</v>
      </c>
      <c r="S511" t="s">
        <v>124</v>
      </c>
      <c r="T511" t="s">
        <v>124</v>
      </c>
      <c r="U511" t="s">
        <v>124</v>
      </c>
      <c r="X511" s="19">
        <f>J511</f>
        <v>0.92537313432835822</v>
      </c>
      <c r="Y511" s="19">
        <f>N511</f>
        <v>5.3746443250078935E-3</v>
      </c>
      <c r="Z511" s="26">
        <f>(L511+Q511)/(L511+Q511+H511+K511)</f>
        <v>1.2006861063464836E-2</v>
      </c>
    </row>
    <row r="512" spans="1:26" x14ac:dyDescent="0.35">
      <c r="A512" t="s">
        <v>122</v>
      </c>
      <c r="B512" t="s">
        <v>122</v>
      </c>
      <c r="C512" t="s">
        <v>123</v>
      </c>
      <c r="D512" t="s">
        <v>100</v>
      </c>
      <c r="E512" t="s">
        <v>99</v>
      </c>
      <c r="F512" t="s">
        <v>12</v>
      </c>
      <c r="G512">
        <v>1</v>
      </c>
      <c r="H512">
        <v>310</v>
      </c>
      <c r="I512">
        <v>0.92537313432835799</v>
      </c>
      <c r="J512" s="25">
        <f t="shared" si="22"/>
        <v>0.92537313432835822</v>
      </c>
      <c r="K512">
        <v>3146</v>
      </c>
      <c r="L512">
        <v>17</v>
      </c>
      <c r="M512">
        <v>5.3746443250079004E-3</v>
      </c>
      <c r="N512" s="25">
        <f t="shared" si="21"/>
        <v>5.3746443250078935E-3</v>
      </c>
      <c r="O512">
        <v>0.994625355674992</v>
      </c>
      <c r="P512" s="25">
        <f t="shared" si="23"/>
        <v>0.99462535567499211</v>
      </c>
      <c r="Q512">
        <v>25</v>
      </c>
      <c r="R512" t="s">
        <v>124</v>
      </c>
      <c r="S512" t="s">
        <v>124</v>
      </c>
      <c r="T512" t="s">
        <v>124</v>
      </c>
      <c r="U512" t="s">
        <v>124</v>
      </c>
      <c r="X512" s="19">
        <f>J512</f>
        <v>0.92537313432835822</v>
      </c>
      <c r="Y512" s="19">
        <f>N512</f>
        <v>5.3746443250078935E-3</v>
      </c>
      <c r="Z512" s="26">
        <f>(L512+Q512)/(L512+Q512+H512+K512)</f>
        <v>1.2006861063464836E-2</v>
      </c>
    </row>
    <row r="513" spans="1:26" x14ac:dyDescent="0.35">
      <c r="A513" t="s">
        <v>122</v>
      </c>
      <c r="B513" t="s">
        <v>122</v>
      </c>
      <c r="C513" t="s">
        <v>123</v>
      </c>
      <c r="D513" t="s">
        <v>100</v>
      </c>
      <c r="E513" t="s">
        <v>99</v>
      </c>
      <c r="F513" t="s">
        <v>12</v>
      </c>
      <c r="G513">
        <v>1</v>
      </c>
      <c r="H513">
        <v>310</v>
      </c>
      <c r="I513">
        <v>0.92537313432835799</v>
      </c>
      <c r="J513" s="25">
        <f t="shared" si="22"/>
        <v>0.92537313432835822</v>
      </c>
      <c r="K513">
        <v>3146</v>
      </c>
      <c r="L513">
        <v>17</v>
      </c>
      <c r="M513">
        <v>5.3746443250079004E-3</v>
      </c>
      <c r="N513" s="25">
        <f t="shared" si="21"/>
        <v>5.3746443250078935E-3</v>
      </c>
      <c r="O513">
        <v>0.994625355674992</v>
      </c>
      <c r="P513" s="25">
        <f t="shared" si="23"/>
        <v>0.99462535567499211</v>
      </c>
      <c r="Q513">
        <v>25</v>
      </c>
      <c r="R513" t="s">
        <v>124</v>
      </c>
      <c r="S513" t="s">
        <v>124</v>
      </c>
      <c r="T513" t="s">
        <v>124</v>
      </c>
      <c r="U513" t="s">
        <v>124</v>
      </c>
      <c r="X513" s="19">
        <f>J513</f>
        <v>0.92537313432835822</v>
      </c>
      <c r="Y513" s="19">
        <f>N513</f>
        <v>5.3746443250078935E-3</v>
      </c>
      <c r="Z513" s="26">
        <f>(L513+Q513)/(L513+Q513+H513+K513)</f>
        <v>1.2006861063464836E-2</v>
      </c>
    </row>
    <row r="514" spans="1:26" x14ac:dyDescent="0.35">
      <c r="A514" t="s">
        <v>122</v>
      </c>
      <c r="B514" t="s">
        <v>122</v>
      </c>
      <c r="C514" t="s">
        <v>123</v>
      </c>
      <c r="D514" t="s">
        <v>100</v>
      </c>
      <c r="E514" t="s">
        <v>99</v>
      </c>
      <c r="F514" t="s">
        <v>12</v>
      </c>
      <c r="G514">
        <v>1</v>
      </c>
      <c r="H514">
        <v>310</v>
      </c>
      <c r="I514">
        <v>0.92537313432835799</v>
      </c>
      <c r="J514" s="25">
        <f t="shared" si="22"/>
        <v>0.92537313432835822</v>
      </c>
      <c r="K514">
        <v>3146</v>
      </c>
      <c r="L514">
        <v>17</v>
      </c>
      <c r="M514">
        <v>5.3746443250079004E-3</v>
      </c>
      <c r="N514" s="25">
        <f t="shared" ref="N514:N577" si="24">1-P514</f>
        <v>5.3746443250078935E-3</v>
      </c>
      <c r="O514">
        <v>0.994625355674992</v>
      </c>
      <c r="P514" s="25">
        <f t="shared" si="23"/>
        <v>0.99462535567499211</v>
      </c>
      <c r="Q514">
        <v>25</v>
      </c>
      <c r="R514" t="s">
        <v>124</v>
      </c>
      <c r="S514" t="s">
        <v>124</v>
      </c>
      <c r="T514" t="s">
        <v>124</v>
      </c>
      <c r="U514" t="s">
        <v>124</v>
      </c>
      <c r="X514" s="19">
        <f>J514</f>
        <v>0.92537313432835822</v>
      </c>
      <c r="Y514" s="19">
        <f>N514</f>
        <v>5.3746443250078935E-3</v>
      </c>
      <c r="Z514" s="26">
        <f>(L514+Q514)/(L514+Q514+H514+K514)</f>
        <v>1.2006861063464836E-2</v>
      </c>
    </row>
    <row r="515" spans="1:26" x14ac:dyDescent="0.35">
      <c r="A515" t="s">
        <v>122</v>
      </c>
      <c r="B515" t="s">
        <v>122</v>
      </c>
      <c r="C515" t="s">
        <v>123</v>
      </c>
      <c r="D515" t="s">
        <v>100</v>
      </c>
      <c r="E515" t="s">
        <v>99</v>
      </c>
      <c r="F515" t="s">
        <v>12</v>
      </c>
      <c r="G515">
        <v>1</v>
      </c>
      <c r="H515">
        <v>310</v>
      </c>
      <c r="I515">
        <v>0.92537313432835799</v>
      </c>
      <c r="J515" s="25">
        <f t="shared" ref="J515:J578" si="25">H515/(H515+Q515)</f>
        <v>0.92537313432835822</v>
      </c>
      <c r="K515">
        <v>3146</v>
      </c>
      <c r="L515">
        <v>17</v>
      </c>
      <c r="M515">
        <v>5.3746443250079004E-3</v>
      </c>
      <c r="N515" s="25">
        <f t="shared" si="24"/>
        <v>5.3746443250078935E-3</v>
      </c>
      <c r="O515">
        <v>0.994625355674992</v>
      </c>
      <c r="P515" s="25">
        <f t="shared" ref="P515:P578" si="26">K515/(K515+L515)</f>
        <v>0.99462535567499211</v>
      </c>
      <c r="Q515">
        <v>25</v>
      </c>
      <c r="R515" t="s">
        <v>124</v>
      </c>
      <c r="S515" t="s">
        <v>124</v>
      </c>
      <c r="T515" t="s">
        <v>124</v>
      </c>
      <c r="U515" t="s">
        <v>124</v>
      </c>
      <c r="X515" s="19">
        <f>J515</f>
        <v>0.92537313432835822</v>
      </c>
      <c r="Y515" s="19">
        <f>N515</f>
        <v>5.3746443250078935E-3</v>
      </c>
      <c r="Z515" s="26">
        <f>(L515+Q515)/(L515+Q515+H515+K515)</f>
        <v>1.2006861063464836E-2</v>
      </c>
    </row>
    <row r="516" spans="1:26" x14ac:dyDescent="0.35">
      <c r="A516" t="s">
        <v>122</v>
      </c>
      <c r="B516" t="s">
        <v>122</v>
      </c>
      <c r="C516" t="s">
        <v>123</v>
      </c>
      <c r="D516" t="s">
        <v>100</v>
      </c>
      <c r="E516" t="s">
        <v>99</v>
      </c>
      <c r="F516" t="s">
        <v>12</v>
      </c>
      <c r="G516">
        <v>1</v>
      </c>
      <c r="H516">
        <v>310</v>
      </c>
      <c r="I516">
        <v>0.92537313432835799</v>
      </c>
      <c r="J516" s="25">
        <f t="shared" si="25"/>
        <v>0.92537313432835822</v>
      </c>
      <c r="K516">
        <v>3146</v>
      </c>
      <c r="L516">
        <v>17</v>
      </c>
      <c r="M516">
        <v>5.3746443250079004E-3</v>
      </c>
      <c r="N516" s="25">
        <f t="shared" si="24"/>
        <v>5.3746443250078935E-3</v>
      </c>
      <c r="O516">
        <v>0.994625355674992</v>
      </c>
      <c r="P516" s="25">
        <f t="shared" si="26"/>
        <v>0.99462535567499211</v>
      </c>
      <c r="Q516">
        <v>25</v>
      </c>
      <c r="R516" t="s">
        <v>124</v>
      </c>
      <c r="S516" t="s">
        <v>124</v>
      </c>
      <c r="T516" t="s">
        <v>124</v>
      </c>
      <c r="U516" t="s">
        <v>124</v>
      </c>
      <c r="X516" s="19">
        <f>J516</f>
        <v>0.92537313432835822</v>
      </c>
      <c r="Y516" s="19">
        <f>N516</f>
        <v>5.3746443250078935E-3</v>
      </c>
      <c r="Z516" s="26">
        <f>(L516+Q516)/(L516+Q516+H516+K516)</f>
        <v>1.2006861063464836E-2</v>
      </c>
    </row>
    <row r="517" spans="1:26" x14ac:dyDescent="0.35">
      <c r="A517" t="s">
        <v>122</v>
      </c>
      <c r="B517" t="s">
        <v>122</v>
      </c>
      <c r="C517" t="s">
        <v>123</v>
      </c>
      <c r="D517" t="s">
        <v>100</v>
      </c>
      <c r="E517" t="s">
        <v>99</v>
      </c>
      <c r="F517" t="s">
        <v>12</v>
      </c>
      <c r="G517">
        <v>1</v>
      </c>
      <c r="H517">
        <v>310</v>
      </c>
      <c r="I517">
        <v>0.92537313432835799</v>
      </c>
      <c r="J517" s="25">
        <f t="shared" si="25"/>
        <v>0.92537313432835822</v>
      </c>
      <c r="K517">
        <v>3146</v>
      </c>
      <c r="L517">
        <v>17</v>
      </c>
      <c r="M517">
        <v>5.3746443250079004E-3</v>
      </c>
      <c r="N517" s="25">
        <f t="shared" si="24"/>
        <v>5.3746443250078935E-3</v>
      </c>
      <c r="O517">
        <v>0.994625355674992</v>
      </c>
      <c r="P517" s="25">
        <f t="shared" si="26"/>
        <v>0.99462535567499211</v>
      </c>
      <c r="Q517">
        <v>25</v>
      </c>
      <c r="R517" t="s">
        <v>124</v>
      </c>
      <c r="S517" t="s">
        <v>124</v>
      </c>
      <c r="T517" t="s">
        <v>124</v>
      </c>
      <c r="U517" t="s">
        <v>124</v>
      </c>
      <c r="X517" s="19">
        <f>J517</f>
        <v>0.92537313432835822</v>
      </c>
      <c r="Y517" s="19">
        <f>N517</f>
        <v>5.3746443250078935E-3</v>
      </c>
      <c r="Z517" s="26">
        <f>(L517+Q517)/(L517+Q517+H517+K517)</f>
        <v>1.2006861063464836E-2</v>
      </c>
    </row>
    <row r="518" spans="1:26" x14ac:dyDescent="0.35">
      <c r="A518" t="s">
        <v>122</v>
      </c>
      <c r="B518" t="s">
        <v>122</v>
      </c>
      <c r="C518" t="s">
        <v>123</v>
      </c>
      <c r="D518" t="s">
        <v>100</v>
      </c>
      <c r="E518" t="s">
        <v>99</v>
      </c>
      <c r="F518" t="s">
        <v>12</v>
      </c>
      <c r="G518">
        <v>1</v>
      </c>
      <c r="H518">
        <v>310</v>
      </c>
      <c r="I518">
        <v>0.92537313432835799</v>
      </c>
      <c r="J518" s="25">
        <f t="shared" si="25"/>
        <v>0.92537313432835822</v>
      </c>
      <c r="K518">
        <v>3146</v>
      </c>
      <c r="L518">
        <v>17</v>
      </c>
      <c r="M518">
        <v>5.3746443250079004E-3</v>
      </c>
      <c r="N518" s="25">
        <f t="shared" si="24"/>
        <v>5.3746443250078935E-3</v>
      </c>
      <c r="O518">
        <v>0.994625355674992</v>
      </c>
      <c r="P518" s="25">
        <f t="shared" si="26"/>
        <v>0.99462535567499211</v>
      </c>
      <c r="Q518">
        <v>25</v>
      </c>
      <c r="R518" t="s">
        <v>124</v>
      </c>
      <c r="S518" t="s">
        <v>124</v>
      </c>
      <c r="T518" t="s">
        <v>124</v>
      </c>
      <c r="U518" t="s">
        <v>124</v>
      </c>
      <c r="X518" s="19">
        <f>J518</f>
        <v>0.92537313432835822</v>
      </c>
      <c r="Y518" s="19">
        <f>N518</f>
        <v>5.3746443250078935E-3</v>
      </c>
      <c r="Z518" s="26">
        <f>(L518+Q518)/(L518+Q518+H518+K518)</f>
        <v>1.2006861063464836E-2</v>
      </c>
    </row>
    <row r="519" spans="1:26" x14ac:dyDescent="0.35">
      <c r="A519" t="s">
        <v>122</v>
      </c>
      <c r="B519" t="s">
        <v>122</v>
      </c>
      <c r="C519" t="s">
        <v>123</v>
      </c>
      <c r="D519" t="s">
        <v>100</v>
      </c>
      <c r="E519" t="s">
        <v>99</v>
      </c>
      <c r="F519" t="s">
        <v>12</v>
      </c>
      <c r="G519">
        <v>1</v>
      </c>
      <c r="H519">
        <v>310</v>
      </c>
      <c r="I519">
        <v>0.92537313432835799</v>
      </c>
      <c r="J519" s="25">
        <f t="shared" si="25"/>
        <v>0.92537313432835822</v>
      </c>
      <c r="K519">
        <v>3146</v>
      </c>
      <c r="L519">
        <v>17</v>
      </c>
      <c r="M519">
        <v>5.3746443250079004E-3</v>
      </c>
      <c r="N519" s="25">
        <f t="shared" si="24"/>
        <v>5.3746443250078935E-3</v>
      </c>
      <c r="O519">
        <v>0.994625355674992</v>
      </c>
      <c r="P519" s="25">
        <f t="shared" si="26"/>
        <v>0.99462535567499211</v>
      </c>
      <c r="Q519">
        <v>25</v>
      </c>
      <c r="R519" t="s">
        <v>124</v>
      </c>
      <c r="S519" t="s">
        <v>124</v>
      </c>
      <c r="T519" t="s">
        <v>124</v>
      </c>
      <c r="U519" t="s">
        <v>124</v>
      </c>
      <c r="X519" s="19">
        <f>J519</f>
        <v>0.92537313432835822</v>
      </c>
      <c r="Y519" s="19">
        <f>N519</f>
        <v>5.3746443250078935E-3</v>
      </c>
      <c r="Z519" s="26">
        <f>(L519+Q519)/(L519+Q519+H519+K519)</f>
        <v>1.2006861063464836E-2</v>
      </c>
    </row>
    <row r="520" spans="1:26" x14ac:dyDescent="0.35">
      <c r="A520" t="s">
        <v>122</v>
      </c>
      <c r="B520" t="s">
        <v>122</v>
      </c>
      <c r="C520" t="s">
        <v>123</v>
      </c>
      <c r="D520" t="s">
        <v>100</v>
      </c>
      <c r="E520" t="s">
        <v>99</v>
      </c>
      <c r="F520" t="s">
        <v>12</v>
      </c>
      <c r="G520">
        <v>1</v>
      </c>
      <c r="H520">
        <v>310</v>
      </c>
      <c r="I520">
        <v>0.92537313432835799</v>
      </c>
      <c r="J520" s="25">
        <f t="shared" si="25"/>
        <v>0.92537313432835822</v>
      </c>
      <c r="K520">
        <v>3146</v>
      </c>
      <c r="L520">
        <v>17</v>
      </c>
      <c r="M520">
        <v>5.3746443250079004E-3</v>
      </c>
      <c r="N520" s="25">
        <f t="shared" si="24"/>
        <v>5.3746443250078935E-3</v>
      </c>
      <c r="O520">
        <v>0.994625355674992</v>
      </c>
      <c r="P520" s="25">
        <f t="shared" si="26"/>
        <v>0.99462535567499211</v>
      </c>
      <c r="Q520">
        <v>25</v>
      </c>
      <c r="R520" t="s">
        <v>124</v>
      </c>
      <c r="S520" t="s">
        <v>124</v>
      </c>
      <c r="T520" t="s">
        <v>124</v>
      </c>
      <c r="U520" t="s">
        <v>124</v>
      </c>
      <c r="X520" s="19">
        <f>J520</f>
        <v>0.92537313432835822</v>
      </c>
      <c r="Y520" s="19">
        <f>N520</f>
        <v>5.3746443250078935E-3</v>
      </c>
      <c r="Z520" s="26">
        <f>(L520+Q520)/(L520+Q520+H520+K520)</f>
        <v>1.2006861063464836E-2</v>
      </c>
    </row>
    <row r="521" spans="1:26" x14ac:dyDescent="0.35">
      <c r="A521" t="s">
        <v>122</v>
      </c>
      <c r="B521" t="s">
        <v>122</v>
      </c>
      <c r="C521" t="s">
        <v>123</v>
      </c>
      <c r="D521" t="s">
        <v>100</v>
      </c>
      <c r="E521" t="s">
        <v>99</v>
      </c>
      <c r="F521" t="s">
        <v>12</v>
      </c>
      <c r="G521">
        <v>1</v>
      </c>
      <c r="H521">
        <v>310</v>
      </c>
      <c r="I521">
        <v>0.92537313432835799</v>
      </c>
      <c r="J521" s="25">
        <f t="shared" si="25"/>
        <v>0.92537313432835822</v>
      </c>
      <c r="K521">
        <v>3146</v>
      </c>
      <c r="L521">
        <v>17</v>
      </c>
      <c r="M521">
        <v>5.3746443250079004E-3</v>
      </c>
      <c r="N521" s="25">
        <f t="shared" si="24"/>
        <v>5.3746443250078935E-3</v>
      </c>
      <c r="O521">
        <v>0.994625355674992</v>
      </c>
      <c r="P521" s="25">
        <f t="shared" si="26"/>
        <v>0.99462535567499211</v>
      </c>
      <c r="Q521">
        <v>25</v>
      </c>
      <c r="R521" t="s">
        <v>124</v>
      </c>
      <c r="S521" t="s">
        <v>124</v>
      </c>
      <c r="T521" t="s">
        <v>124</v>
      </c>
      <c r="U521" t="s">
        <v>124</v>
      </c>
      <c r="X521" s="19">
        <f>J521</f>
        <v>0.92537313432835822</v>
      </c>
      <c r="Y521" s="19">
        <f>N521</f>
        <v>5.3746443250078935E-3</v>
      </c>
      <c r="Z521" s="26">
        <f>(L521+Q521)/(L521+Q521+H521+K521)</f>
        <v>1.2006861063464836E-2</v>
      </c>
    </row>
    <row r="522" spans="1:26" x14ac:dyDescent="0.35">
      <c r="A522" t="s">
        <v>122</v>
      </c>
      <c r="B522" t="s">
        <v>122</v>
      </c>
      <c r="C522" t="s">
        <v>123</v>
      </c>
      <c r="D522" t="s">
        <v>100</v>
      </c>
      <c r="E522" t="s">
        <v>99</v>
      </c>
      <c r="F522" t="s">
        <v>12</v>
      </c>
      <c r="G522">
        <v>1</v>
      </c>
      <c r="H522">
        <v>310</v>
      </c>
      <c r="I522">
        <v>0.92537313432835799</v>
      </c>
      <c r="J522" s="25">
        <f t="shared" si="25"/>
        <v>0.92537313432835822</v>
      </c>
      <c r="K522">
        <v>3146</v>
      </c>
      <c r="L522">
        <v>17</v>
      </c>
      <c r="M522">
        <v>5.3746443250079004E-3</v>
      </c>
      <c r="N522" s="25">
        <f t="shared" si="24"/>
        <v>5.3746443250078935E-3</v>
      </c>
      <c r="O522">
        <v>0.994625355674992</v>
      </c>
      <c r="P522" s="25">
        <f t="shared" si="26"/>
        <v>0.99462535567499211</v>
      </c>
      <c r="Q522">
        <v>25</v>
      </c>
      <c r="R522" t="s">
        <v>124</v>
      </c>
      <c r="S522" t="s">
        <v>124</v>
      </c>
      <c r="T522" t="s">
        <v>124</v>
      </c>
      <c r="U522" t="s">
        <v>124</v>
      </c>
      <c r="X522" s="19">
        <f>J522</f>
        <v>0.92537313432835822</v>
      </c>
      <c r="Y522" s="19">
        <f>N522</f>
        <v>5.3746443250078935E-3</v>
      </c>
      <c r="Z522" s="26">
        <f>(L522+Q522)/(L522+Q522+H522+K522)</f>
        <v>1.2006861063464836E-2</v>
      </c>
    </row>
    <row r="523" spans="1:26" x14ac:dyDescent="0.35">
      <c r="A523" t="s">
        <v>122</v>
      </c>
      <c r="B523" t="s">
        <v>122</v>
      </c>
      <c r="C523" t="s">
        <v>123</v>
      </c>
      <c r="D523" t="s">
        <v>100</v>
      </c>
      <c r="E523" t="s">
        <v>99</v>
      </c>
      <c r="F523" t="s">
        <v>12</v>
      </c>
      <c r="G523">
        <v>1</v>
      </c>
      <c r="H523">
        <v>310</v>
      </c>
      <c r="I523">
        <v>0.92537313432835799</v>
      </c>
      <c r="J523" s="25">
        <f t="shared" si="25"/>
        <v>0.92537313432835822</v>
      </c>
      <c r="K523">
        <v>3146</v>
      </c>
      <c r="L523">
        <v>17</v>
      </c>
      <c r="M523">
        <v>5.3746443250079004E-3</v>
      </c>
      <c r="N523" s="25">
        <f t="shared" si="24"/>
        <v>5.3746443250078935E-3</v>
      </c>
      <c r="O523">
        <v>0.994625355674992</v>
      </c>
      <c r="P523" s="25">
        <f t="shared" si="26"/>
        <v>0.99462535567499211</v>
      </c>
      <c r="Q523">
        <v>25</v>
      </c>
      <c r="R523" t="s">
        <v>124</v>
      </c>
      <c r="S523" t="s">
        <v>124</v>
      </c>
      <c r="T523" t="s">
        <v>124</v>
      </c>
      <c r="U523" t="s">
        <v>124</v>
      </c>
      <c r="X523" s="19">
        <f>J523</f>
        <v>0.92537313432835822</v>
      </c>
      <c r="Y523" s="19">
        <f>N523</f>
        <v>5.3746443250078935E-3</v>
      </c>
      <c r="Z523" s="26">
        <f>(L523+Q523)/(L523+Q523+H523+K523)</f>
        <v>1.2006861063464836E-2</v>
      </c>
    </row>
    <row r="524" spans="1:26" x14ac:dyDescent="0.35">
      <c r="A524" t="s">
        <v>122</v>
      </c>
      <c r="B524" t="s">
        <v>122</v>
      </c>
      <c r="C524" t="s">
        <v>123</v>
      </c>
      <c r="D524" t="s">
        <v>100</v>
      </c>
      <c r="E524" t="s">
        <v>99</v>
      </c>
      <c r="F524" t="s">
        <v>12</v>
      </c>
      <c r="G524">
        <v>1</v>
      </c>
      <c r="H524">
        <v>310</v>
      </c>
      <c r="I524">
        <v>0.92537313432835799</v>
      </c>
      <c r="J524" s="25">
        <f t="shared" si="25"/>
        <v>0.92537313432835822</v>
      </c>
      <c r="K524">
        <v>3146</v>
      </c>
      <c r="L524">
        <v>17</v>
      </c>
      <c r="M524">
        <v>5.3746443250079004E-3</v>
      </c>
      <c r="N524" s="25">
        <f t="shared" si="24"/>
        <v>5.3746443250078935E-3</v>
      </c>
      <c r="O524">
        <v>0.994625355674992</v>
      </c>
      <c r="P524" s="25">
        <f t="shared" si="26"/>
        <v>0.99462535567499211</v>
      </c>
      <c r="Q524">
        <v>25</v>
      </c>
      <c r="R524" t="s">
        <v>124</v>
      </c>
      <c r="S524" t="s">
        <v>124</v>
      </c>
      <c r="T524" t="s">
        <v>124</v>
      </c>
      <c r="U524" t="s">
        <v>124</v>
      </c>
      <c r="X524" s="19">
        <f>J524</f>
        <v>0.92537313432835822</v>
      </c>
      <c r="Y524" s="19">
        <f>N524</f>
        <v>5.3746443250078935E-3</v>
      </c>
      <c r="Z524" s="26">
        <f>(L524+Q524)/(L524+Q524+H524+K524)</f>
        <v>1.2006861063464836E-2</v>
      </c>
    </row>
    <row r="525" spans="1:26" x14ac:dyDescent="0.35">
      <c r="A525" t="s">
        <v>122</v>
      </c>
      <c r="B525" t="s">
        <v>122</v>
      </c>
      <c r="C525" t="s">
        <v>123</v>
      </c>
      <c r="D525" t="s">
        <v>100</v>
      </c>
      <c r="E525" t="s">
        <v>99</v>
      </c>
      <c r="F525" t="s">
        <v>12</v>
      </c>
      <c r="G525">
        <v>1</v>
      </c>
      <c r="H525">
        <v>310</v>
      </c>
      <c r="I525">
        <v>0.92537313432835799</v>
      </c>
      <c r="J525" s="25">
        <f t="shared" si="25"/>
        <v>0.92537313432835822</v>
      </c>
      <c r="K525">
        <v>3146</v>
      </c>
      <c r="L525">
        <v>17</v>
      </c>
      <c r="M525">
        <v>5.3746443250079004E-3</v>
      </c>
      <c r="N525" s="25">
        <f t="shared" si="24"/>
        <v>5.3746443250078935E-3</v>
      </c>
      <c r="O525">
        <v>0.994625355674992</v>
      </c>
      <c r="P525" s="25">
        <f t="shared" si="26"/>
        <v>0.99462535567499211</v>
      </c>
      <c r="Q525">
        <v>25</v>
      </c>
      <c r="R525" t="s">
        <v>124</v>
      </c>
      <c r="S525" t="s">
        <v>124</v>
      </c>
      <c r="T525" t="s">
        <v>124</v>
      </c>
      <c r="U525" t="s">
        <v>124</v>
      </c>
      <c r="X525" s="19">
        <f>J525</f>
        <v>0.92537313432835822</v>
      </c>
      <c r="Y525" s="19">
        <f>N525</f>
        <v>5.3746443250078935E-3</v>
      </c>
      <c r="Z525" s="26">
        <f>(L525+Q525)/(L525+Q525+H525+K525)</f>
        <v>1.2006861063464836E-2</v>
      </c>
    </row>
    <row r="526" spans="1:26" x14ac:dyDescent="0.35">
      <c r="A526" t="s">
        <v>122</v>
      </c>
      <c r="B526" t="s">
        <v>122</v>
      </c>
      <c r="C526" t="s">
        <v>123</v>
      </c>
      <c r="D526" t="s">
        <v>100</v>
      </c>
      <c r="E526" t="s">
        <v>99</v>
      </c>
      <c r="F526" t="s">
        <v>12</v>
      </c>
      <c r="G526">
        <v>1</v>
      </c>
      <c r="H526">
        <v>310</v>
      </c>
      <c r="I526">
        <v>0.92537313432835799</v>
      </c>
      <c r="J526" s="25">
        <f t="shared" si="25"/>
        <v>0.92537313432835822</v>
      </c>
      <c r="K526">
        <v>3146</v>
      </c>
      <c r="L526">
        <v>17</v>
      </c>
      <c r="M526">
        <v>5.3746443250079004E-3</v>
      </c>
      <c r="N526" s="25">
        <f t="shared" si="24"/>
        <v>5.3746443250078935E-3</v>
      </c>
      <c r="O526">
        <v>0.994625355674992</v>
      </c>
      <c r="P526" s="25">
        <f t="shared" si="26"/>
        <v>0.99462535567499211</v>
      </c>
      <c r="Q526">
        <v>25</v>
      </c>
      <c r="R526" t="s">
        <v>124</v>
      </c>
      <c r="S526" t="s">
        <v>124</v>
      </c>
      <c r="T526" t="s">
        <v>124</v>
      </c>
      <c r="U526" t="s">
        <v>124</v>
      </c>
      <c r="X526" s="19">
        <f>J526</f>
        <v>0.92537313432835822</v>
      </c>
      <c r="Y526" s="19">
        <f>N526</f>
        <v>5.3746443250078935E-3</v>
      </c>
      <c r="Z526" s="26">
        <f>(L526+Q526)/(L526+Q526+H526+K526)</f>
        <v>1.2006861063464836E-2</v>
      </c>
    </row>
    <row r="527" spans="1:26" x14ac:dyDescent="0.35">
      <c r="A527" t="s">
        <v>122</v>
      </c>
      <c r="B527" t="s">
        <v>122</v>
      </c>
      <c r="C527" t="s">
        <v>123</v>
      </c>
      <c r="D527" t="s">
        <v>100</v>
      </c>
      <c r="E527" t="s">
        <v>99</v>
      </c>
      <c r="F527" t="s">
        <v>12</v>
      </c>
      <c r="G527">
        <v>1</v>
      </c>
      <c r="H527">
        <v>310</v>
      </c>
      <c r="I527">
        <v>0.92537313432835799</v>
      </c>
      <c r="J527" s="25">
        <f t="shared" si="25"/>
        <v>0.92537313432835822</v>
      </c>
      <c r="K527">
        <v>3146</v>
      </c>
      <c r="L527">
        <v>17</v>
      </c>
      <c r="M527">
        <v>5.3746443250079004E-3</v>
      </c>
      <c r="N527" s="25">
        <f t="shared" si="24"/>
        <v>5.3746443250078935E-3</v>
      </c>
      <c r="O527">
        <v>0.994625355674992</v>
      </c>
      <c r="P527" s="25">
        <f t="shared" si="26"/>
        <v>0.99462535567499211</v>
      </c>
      <c r="Q527">
        <v>25</v>
      </c>
      <c r="R527" t="s">
        <v>124</v>
      </c>
      <c r="S527" t="s">
        <v>124</v>
      </c>
      <c r="T527" t="s">
        <v>124</v>
      </c>
      <c r="U527" t="s">
        <v>124</v>
      </c>
      <c r="X527" s="19">
        <f>J527</f>
        <v>0.92537313432835822</v>
      </c>
      <c r="Y527" s="19">
        <f>N527</f>
        <v>5.3746443250078935E-3</v>
      </c>
      <c r="Z527" s="26">
        <f>(L527+Q527)/(L527+Q527+H527+K527)</f>
        <v>1.2006861063464836E-2</v>
      </c>
    </row>
    <row r="528" spans="1:26" x14ac:dyDescent="0.35">
      <c r="A528" t="s">
        <v>122</v>
      </c>
      <c r="B528" t="s">
        <v>122</v>
      </c>
      <c r="C528" t="s">
        <v>123</v>
      </c>
      <c r="D528" t="s">
        <v>100</v>
      </c>
      <c r="E528" t="s">
        <v>99</v>
      </c>
      <c r="F528" t="s">
        <v>12</v>
      </c>
      <c r="G528">
        <v>1</v>
      </c>
      <c r="H528">
        <v>310</v>
      </c>
      <c r="I528">
        <v>0.92537313432835799</v>
      </c>
      <c r="J528" s="25">
        <f t="shared" si="25"/>
        <v>0.92537313432835822</v>
      </c>
      <c r="K528">
        <v>3146</v>
      </c>
      <c r="L528">
        <v>17</v>
      </c>
      <c r="M528">
        <v>5.3746443250079004E-3</v>
      </c>
      <c r="N528" s="25">
        <f t="shared" si="24"/>
        <v>5.3746443250078935E-3</v>
      </c>
      <c r="O528">
        <v>0.994625355674992</v>
      </c>
      <c r="P528" s="25">
        <f t="shared" si="26"/>
        <v>0.99462535567499211</v>
      </c>
      <c r="Q528">
        <v>25</v>
      </c>
      <c r="R528" t="s">
        <v>124</v>
      </c>
      <c r="S528" t="s">
        <v>124</v>
      </c>
      <c r="T528" t="s">
        <v>124</v>
      </c>
      <c r="U528" t="s">
        <v>124</v>
      </c>
      <c r="X528" s="19">
        <f>J528</f>
        <v>0.92537313432835822</v>
      </c>
      <c r="Y528" s="19">
        <f>N528</f>
        <v>5.3746443250078935E-3</v>
      </c>
      <c r="Z528" s="26">
        <f>(L528+Q528)/(L528+Q528+H528+K528)</f>
        <v>1.2006861063464836E-2</v>
      </c>
    </row>
    <row r="529" spans="1:26" x14ac:dyDescent="0.35">
      <c r="A529" t="s">
        <v>122</v>
      </c>
      <c r="B529" t="s">
        <v>122</v>
      </c>
      <c r="C529" t="s">
        <v>123</v>
      </c>
      <c r="D529" t="s">
        <v>100</v>
      </c>
      <c r="E529" t="s">
        <v>99</v>
      </c>
      <c r="F529" t="s">
        <v>12</v>
      </c>
      <c r="G529">
        <v>1</v>
      </c>
      <c r="H529">
        <v>310</v>
      </c>
      <c r="I529">
        <v>0.92537313432835799</v>
      </c>
      <c r="J529" s="25">
        <f t="shared" si="25"/>
        <v>0.92537313432835822</v>
      </c>
      <c r="K529">
        <v>3146</v>
      </c>
      <c r="L529">
        <v>17</v>
      </c>
      <c r="M529">
        <v>5.3746443250079004E-3</v>
      </c>
      <c r="N529" s="25">
        <f t="shared" si="24"/>
        <v>5.3746443250078935E-3</v>
      </c>
      <c r="O529">
        <v>0.994625355674992</v>
      </c>
      <c r="P529" s="25">
        <f t="shared" si="26"/>
        <v>0.99462535567499211</v>
      </c>
      <c r="Q529">
        <v>25</v>
      </c>
      <c r="R529" t="s">
        <v>124</v>
      </c>
      <c r="S529" t="s">
        <v>124</v>
      </c>
      <c r="T529" t="s">
        <v>124</v>
      </c>
      <c r="U529" t="s">
        <v>124</v>
      </c>
      <c r="X529" s="19">
        <f>J529</f>
        <v>0.92537313432835822</v>
      </c>
      <c r="Y529" s="19">
        <f>N529</f>
        <v>5.3746443250078935E-3</v>
      </c>
      <c r="Z529" s="26">
        <f>(L529+Q529)/(L529+Q529+H529+K529)</f>
        <v>1.2006861063464836E-2</v>
      </c>
    </row>
    <row r="530" spans="1:26" x14ac:dyDescent="0.35">
      <c r="A530" t="s">
        <v>122</v>
      </c>
      <c r="B530" t="s">
        <v>122</v>
      </c>
      <c r="C530" t="s">
        <v>123</v>
      </c>
      <c r="D530" t="s">
        <v>100</v>
      </c>
      <c r="E530" t="s">
        <v>99</v>
      </c>
      <c r="F530" t="s">
        <v>12</v>
      </c>
      <c r="G530">
        <v>1</v>
      </c>
      <c r="H530">
        <v>310</v>
      </c>
      <c r="I530">
        <v>0.92537313432835799</v>
      </c>
      <c r="J530" s="25">
        <f t="shared" si="25"/>
        <v>0.92537313432835822</v>
      </c>
      <c r="K530">
        <v>3146</v>
      </c>
      <c r="L530">
        <v>17</v>
      </c>
      <c r="M530">
        <v>5.3746443250079004E-3</v>
      </c>
      <c r="N530" s="25">
        <f t="shared" si="24"/>
        <v>5.3746443250078935E-3</v>
      </c>
      <c r="O530">
        <v>0.994625355674992</v>
      </c>
      <c r="P530" s="25">
        <f t="shared" si="26"/>
        <v>0.99462535567499211</v>
      </c>
      <c r="Q530">
        <v>25</v>
      </c>
      <c r="R530" t="s">
        <v>124</v>
      </c>
      <c r="S530" t="s">
        <v>124</v>
      </c>
      <c r="T530" t="s">
        <v>124</v>
      </c>
      <c r="U530" t="s">
        <v>124</v>
      </c>
      <c r="X530" s="19">
        <f>J530</f>
        <v>0.92537313432835822</v>
      </c>
      <c r="Y530" s="19">
        <f>N530</f>
        <v>5.3746443250078935E-3</v>
      </c>
      <c r="Z530" s="26">
        <f>(L530+Q530)/(L530+Q530+H530+K530)</f>
        <v>1.2006861063464836E-2</v>
      </c>
    </row>
    <row r="531" spans="1:26" x14ac:dyDescent="0.35">
      <c r="A531" t="s">
        <v>122</v>
      </c>
      <c r="B531" t="s">
        <v>122</v>
      </c>
      <c r="C531" t="s">
        <v>123</v>
      </c>
      <c r="D531" t="s">
        <v>100</v>
      </c>
      <c r="E531" t="s">
        <v>99</v>
      </c>
      <c r="F531" t="s">
        <v>12</v>
      </c>
      <c r="G531">
        <v>1</v>
      </c>
      <c r="H531">
        <v>310</v>
      </c>
      <c r="I531">
        <v>0.92537313432835799</v>
      </c>
      <c r="J531" s="25">
        <f t="shared" si="25"/>
        <v>0.92537313432835822</v>
      </c>
      <c r="K531">
        <v>3146</v>
      </c>
      <c r="L531">
        <v>17</v>
      </c>
      <c r="M531">
        <v>5.3746443250079004E-3</v>
      </c>
      <c r="N531" s="25">
        <f t="shared" si="24"/>
        <v>5.3746443250078935E-3</v>
      </c>
      <c r="O531">
        <v>0.994625355674992</v>
      </c>
      <c r="P531" s="25">
        <f t="shared" si="26"/>
        <v>0.99462535567499211</v>
      </c>
      <c r="Q531">
        <v>25</v>
      </c>
      <c r="R531" t="s">
        <v>124</v>
      </c>
      <c r="S531" t="s">
        <v>124</v>
      </c>
      <c r="T531" t="s">
        <v>124</v>
      </c>
      <c r="U531" t="s">
        <v>124</v>
      </c>
      <c r="X531" s="19">
        <f>J531</f>
        <v>0.92537313432835822</v>
      </c>
      <c r="Y531" s="19">
        <f>N531</f>
        <v>5.3746443250078935E-3</v>
      </c>
      <c r="Z531" s="26">
        <f>(L531+Q531)/(L531+Q531+H531+K531)</f>
        <v>1.2006861063464836E-2</v>
      </c>
    </row>
    <row r="532" spans="1:26" x14ac:dyDescent="0.35">
      <c r="A532" t="s">
        <v>122</v>
      </c>
      <c r="B532" t="s">
        <v>122</v>
      </c>
      <c r="C532" t="s">
        <v>123</v>
      </c>
      <c r="D532" t="s">
        <v>100</v>
      </c>
      <c r="E532" t="s">
        <v>99</v>
      </c>
      <c r="F532" t="s">
        <v>12</v>
      </c>
      <c r="G532">
        <v>1</v>
      </c>
      <c r="H532">
        <v>310</v>
      </c>
      <c r="I532">
        <v>0.92537313432835799</v>
      </c>
      <c r="J532" s="25">
        <f t="shared" si="25"/>
        <v>0.92537313432835822</v>
      </c>
      <c r="K532">
        <v>3146</v>
      </c>
      <c r="L532">
        <v>17</v>
      </c>
      <c r="M532">
        <v>5.3746443250079004E-3</v>
      </c>
      <c r="N532" s="25">
        <f t="shared" si="24"/>
        <v>5.3746443250078935E-3</v>
      </c>
      <c r="O532">
        <v>0.994625355674992</v>
      </c>
      <c r="P532" s="25">
        <f t="shared" si="26"/>
        <v>0.99462535567499211</v>
      </c>
      <c r="Q532">
        <v>25</v>
      </c>
      <c r="R532" t="s">
        <v>124</v>
      </c>
      <c r="S532" t="s">
        <v>124</v>
      </c>
      <c r="T532" t="s">
        <v>124</v>
      </c>
      <c r="U532" t="s">
        <v>124</v>
      </c>
      <c r="X532" s="19">
        <f>J532</f>
        <v>0.92537313432835822</v>
      </c>
      <c r="Y532" s="19">
        <f>N532</f>
        <v>5.3746443250078935E-3</v>
      </c>
      <c r="Z532" s="26">
        <f>(L532+Q532)/(L532+Q532+H532+K532)</f>
        <v>1.2006861063464836E-2</v>
      </c>
    </row>
    <row r="533" spans="1:26" x14ac:dyDescent="0.35">
      <c r="A533" t="s">
        <v>122</v>
      </c>
      <c r="B533" t="s">
        <v>122</v>
      </c>
      <c r="C533" t="s">
        <v>123</v>
      </c>
      <c r="D533" t="s">
        <v>100</v>
      </c>
      <c r="E533" t="s">
        <v>99</v>
      </c>
      <c r="F533" t="s">
        <v>12</v>
      </c>
      <c r="G533">
        <v>1</v>
      </c>
      <c r="H533">
        <v>310</v>
      </c>
      <c r="I533">
        <v>0.92537313432835799</v>
      </c>
      <c r="J533" s="25">
        <f t="shared" si="25"/>
        <v>0.92537313432835822</v>
      </c>
      <c r="K533">
        <v>3146</v>
      </c>
      <c r="L533">
        <v>17</v>
      </c>
      <c r="M533">
        <v>5.3746443250079004E-3</v>
      </c>
      <c r="N533" s="25">
        <f t="shared" si="24"/>
        <v>5.3746443250078935E-3</v>
      </c>
      <c r="O533">
        <v>0.994625355674992</v>
      </c>
      <c r="P533" s="25">
        <f t="shared" si="26"/>
        <v>0.99462535567499211</v>
      </c>
      <c r="Q533">
        <v>25</v>
      </c>
      <c r="R533" t="s">
        <v>124</v>
      </c>
      <c r="S533" t="s">
        <v>124</v>
      </c>
      <c r="T533" t="s">
        <v>124</v>
      </c>
      <c r="U533" t="s">
        <v>124</v>
      </c>
      <c r="X533" s="19">
        <f>J533</f>
        <v>0.92537313432835822</v>
      </c>
      <c r="Y533" s="19">
        <f>N533</f>
        <v>5.3746443250078935E-3</v>
      </c>
      <c r="Z533" s="26">
        <f>(L533+Q533)/(L533+Q533+H533+K533)</f>
        <v>1.2006861063464836E-2</v>
      </c>
    </row>
    <row r="534" spans="1:26" x14ac:dyDescent="0.35">
      <c r="A534" t="s">
        <v>122</v>
      </c>
      <c r="B534" t="s">
        <v>122</v>
      </c>
      <c r="C534" t="s">
        <v>123</v>
      </c>
      <c r="D534" t="s">
        <v>100</v>
      </c>
      <c r="E534" t="s">
        <v>99</v>
      </c>
      <c r="F534" t="s">
        <v>12</v>
      </c>
      <c r="G534">
        <v>1</v>
      </c>
      <c r="H534">
        <v>310</v>
      </c>
      <c r="I534">
        <v>0.92537313432835799</v>
      </c>
      <c r="J534" s="25">
        <f t="shared" si="25"/>
        <v>0.92537313432835822</v>
      </c>
      <c r="K534">
        <v>3146</v>
      </c>
      <c r="L534">
        <v>17</v>
      </c>
      <c r="M534">
        <v>5.3746443250079004E-3</v>
      </c>
      <c r="N534" s="25">
        <f t="shared" si="24"/>
        <v>5.3746443250078935E-3</v>
      </c>
      <c r="O534">
        <v>0.994625355674992</v>
      </c>
      <c r="P534" s="25">
        <f t="shared" si="26"/>
        <v>0.99462535567499211</v>
      </c>
      <c r="Q534">
        <v>25</v>
      </c>
      <c r="R534" t="s">
        <v>124</v>
      </c>
      <c r="S534" t="s">
        <v>124</v>
      </c>
      <c r="T534" t="s">
        <v>124</v>
      </c>
      <c r="U534" t="s">
        <v>124</v>
      </c>
      <c r="X534" s="19">
        <f>J534</f>
        <v>0.92537313432835822</v>
      </c>
      <c r="Y534" s="19">
        <f>N534</f>
        <v>5.3746443250078935E-3</v>
      </c>
      <c r="Z534" s="26">
        <f>(L534+Q534)/(L534+Q534+H534+K534)</f>
        <v>1.2006861063464836E-2</v>
      </c>
    </row>
    <row r="535" spans="1:26" x14ac:dyDescent="0.35">
      <c r="A535" t="s">
        <v>122</v>
      </c>
      <c r="B535" t="s">
        <v>122</v>
      </c>
      <c r="C535" t="s">
        <v>123</v>
      </c>
      <c r="D535" t="s">
        <v>100</v>
      </c>
      <c r="E535" t="s">
        <v>99</v>
      </c>
      <c r="F535" t="s">
        <v>12</v>
      </c>
      <c r="G535">
        <v>1</v>
      </c>
      <c r="H535">
        <v>310</v>
      </c>
      <c r="I535">
        <v>0.92537313432835799</v>
      </c>
      <c r="J535" s="25">
        <f t="shared" si="25"/>
        <v>0.92537313432835822</v>
      </c>
      <c r="K535">
        <v>3146</v>
      </c>
      <c r="L535">
        <v>17</v>
      </c>
      <c r="M535">
        <v>5.3746443250079004E-3</v>
      </c>
      <c r="N535" s="25">
        <f t="shared" si="24"/>
        <v>5.3746443250078935E-3</v>
      </c>
      <c r="O535">
        <v>0.994625355674992</v>
      </c>
      <c r="P535" s="25">
        <f t="shared" si="26"/>
        <v>0.99462535567499211</v>
      </c>
      <c r="Q535">
        <v>25</v>
      </c>
      <c r="R535" t="s">
        <v>124</v>
      </c>
      <c r="S535" t="s">
        <v>124</v>
      </c>
      <c r="T535" t="s">
        <v>124</v>
      </c>
      <c r="U535" t="s">
        <v>124</v>
      </c>
      <c r="X535" s="19">
        <f>J535</f>
        <v>0.92537313432835822</v>
      </c>
      <c r="Y535" s="19">
        <f>N535</f>
        <v>5.3746443250078935E-3</v>
      </c>
      <c r="Z535" s="26">
        <f>(L535+Q535)/(L535+Q535+H535+K535)</f>
        <v>1.2006861063464836E-2</v>
      </c>
    </row>
    <row r="536" spans="1:26" x14ac:dyDescent="0.35">
      <c r="A536" t="s">
        <v>122</v>
      </c>
      <c r="B536" t="s">
        <v>122</v>
      </c>
      <c r="C536" t="s">
        <v>123</v>
      </c>
      <c r="D536" t="s">
        <v>100</v>
      </c>
      <c r="E536" t="s">
        <v>99</v>
      </c>
      <c r="F536" t="s">
        <v>12</v>
      </c>
      <c r="G536">
        <v>1</v>
      </c>
      <c r="H536">
        <v>310</v>
      </c>
      <c r="I536">
        <v>0.92537313432835799</v>
      </c>
      <c r="J536" s="25">
        <f t="shared" si="25"/>
        <v>0.92537313432835822</v>
      </c>
      <c r="K536">
        <v>3146</v>
      </c>
      <c r="L536">
        <v>17</v>
      </c>
      <c r="M536">
        <v>5.3746443250079004E-3</v>
      </c>
      <c r="N536" s="25">
        <f t="shared" si="24"/>
        <v>5.3746443250078935E-3</v>
      </c>
      <c r="O536">
        <v>0.994625355674992</v>
      </c>
      <c r="P536" s="25">
        <f t="shared" si="26"/>
        <v>0.99462535567499211</v>
      </c>
      <c r="Q536">
        <v>25</v>
      </c>
      <c r="R536" t="s">
        <v>124</v>
      </c>
      <c r="S536" t="s">
        <v>124</v>
      </c>
      <c r="T536" t="s">
        <v>124</v>
      </c>
      <c r="U536" t="s">
        <v>124</v>
      </c>
      <c r="X536" s="19">
        <f>J536</f>
        <v>0.92537313432835822</v>
      </c>
      <c r="Y536" s="19">
        <f>N536</f>
        <v>5.3746443250078935E-3</v>
      </c>
      <c r="Z536" s="26">
        <f>(L536+Q536)/(L536+Q536+H536+K536)</f>
        <v>1.2006861063464836E-2</v>
      </c>
    </row>
    <row r="537" spans="1:26" x14ac:dyDescent="0.35">
      <c r="A537" t="s">
        <v>122</v>
      </c>
      <c r="B537" t="s">
        <v>122</v>
      </c>
      <c r="C537" t="s">
        <v>123</v>
      </c>
      <c r="D537" t="s">
        <v>100</v>
      </c>
      <c r="E537" t="s">
        <v>99</v>
      </c>
      <c r="F537" t="s">
        <v>12</v>
      </c>
      <c r="G537">
        <v>1</v>
      </c>
      <c r="H537">
        <v>310</v>
      </c>
      <c r="I537">
        <v>0.92537313432835799</v>
      </c>
      <c r="J537" s="25">
        <f t="shared" si="25"/>
        <v>0.92537313432835822</v>
      </c>
      <c r="K537">
        <v>3146</v>
      </c>
      <c r="L537">
        <v>17</v>
      </c>
      <c r="M537">
        <v>5.3746443250079004E-3</v>
      </c>
      <c r="N537" s="25">
        <f t="shared" si="24"/>
        <v>5.3746443250078935E-3</v>
      </c>
      <c r="O537">
        <v>0.994625355674992</v>
      </c>
      <c r="P537" s="25">
        <f t="shared" si="26"/>
        <v>0.99462535567499211</v>
      </c>
      <c r="Q537">
        <v>25</v>
      </c>
      <c r="R537" t="s">
        <v>124</v>
      </c>
      <c r="S537" t="s">
        <v>124</v>
      </c>
      <c r="T537" t="s">
        <v>124</v>
      </c>
      <c r="U537" t="s">
        <v>124</v>
      </c>
      <c r="X537" s="19">
        <f>J537</f>
        <v>0.92537313432835822</v>
      </c>
      <c r="Y537" s="19">
        <f>N537</f>
        <v>5.3746443250078935E-3</v>
      </c>
      <c r="Z537" s="26">
        <f>(L537+Q537)/(L537+Q537+H537+K537)</f>
        <v>1.2006861063464836E-2</v>
      </c>
    </row>
    <row r="538" spans="1:26" x14ac:dyDescent="0.35">
      <c r="A538" t="s">
        <v>122</v>
      </c>
      <c r="B538" t="s">
        <v>122</v>
      </c>
      <c r="C538" t="s">
        <v>123</v>
      </c>
      <c r="D538" t="s">
        <v>100</v>
      </c>
      <c r="E538" t="s">
        <v>99</v>
      </c>
      <c r="F538" t="s">
        <v>12</v>
      </c>
      <c r="G538">
        <v>1</v>
      </c>
      <c r="H538">
        <v>310</v>
      </c>
      <c r="I538">
        <v>0.92537313432835799</v>
      </c>
      <c r="J538" s="25">
        <f t="shared" si="25"/>
        <v>0.92537313432835822</v>
      </c>
      <c r="K538">
        <v>3146</v>
      </c>
      <c r="L538">
        <v>17</v>
      </c>
      <c r="M538">
        <v>5.3746443250079004E-3</v>
      </c>
      <c r="N538" s="25">
        <f t="shared" si="24"/>
        <v>5.3746443250078935E-3</v>
      </c>
      <c r="O538">
        <v>0.994625355674992</v>
      </c>
      <c r="P538" s="25">
        <f t="shared" si="26"/>
        <v>0.99462535567499211</v>
      </c>
      <c r="Q538">
        <v>25</v>
      </c>
      <c r="R538" t="s">
        <v>124</v>
      </c>
      <c r="S538" t="s">
        <v>124</v>
      </c>
      <c r="T538" t="s">
        <v>124</v>
      </c>
      <c r="U538" t="s">
        <v>124</v>
      </c>
      <c r="X538" s="19">
        <f>J538</f>
        <v>0.92537313432835822</v>
      </c>
      <c r="Y538" s="19">
        <f>N538</f>
        <v>5.3746443250078935E-3</v>
      </c>
      <c r="Z538" s="26">
        <f>(L538+Q538)/(L538+Q538+H538+K538)</f>
        <v>1.2006861063464836E-2</v>
      </c>
    </row>
    <row r="539" spans="1:26" x14ac:dyDescent="0.35">
      <c r="A539" t="s">
        <v>122</v>
      </c>
      <c r="B539" t="s">
        <v>122</v>
      </c>
      <c r="C539" t="s">
        <v>123</v>
      </c>
      <c r="D539" t="s">
        <v>100</v>
      </c>
      <c r="E539" t="s">
        <v>99</v>
      </c>
      <c r="F539" t="s">
        <v>12</v>
      </c>
      <c r="G539">
        <v>1</v>
      </c>
      <c r="H539">
        <v>310</v>
      </c>
      <c r="I539">
        <v>0.92537313432835799</v>
      </c>
      <c r="J539" s="25">
        <f t="shared" si="25"/>
        <v>0.92537313432835822</v>
      </c>
      <c r="K539">
        <v>3146</v>
      </c>
      <c r="L539">
        <v>17</v>
      </c>
      <c r="M539">
        <v>5.3746443250079004E-3</v>
      </c>
      <c r="N539" s="25">
        <f t="shared" si="24"/>
        <v>5.3746443250078935E-3</v>
      </c>
      <c r="O539">
        <v>0.994625355674992</v>
      </c>
      <c r="P539" s="25">
        <f t="shared" si="26"/>
        <v>0.99462535567499211</v>
      </c>
      <c r="Q539">
        <v>25</v>
      </c>
      <c r="R539" t="s">
        <v>124</v>
      </c>
      <c r="S539" t="s">
        <v>124</v>
      </c>
      <c r="T539" t="s">
        <v>124</v>
      </c>
      <c r="U539" t="s">
        <v>124</v>
      </c>
      <c r="X539" s="19">
        <f>J539</f>
        <v>0.92537313432835822</v>
      </c>
      <c r="Y539" s="19">
        <f>N539</f>
        <v>5.3746443250078935E-3</v>
      </c>
      <c r="Z539" s="26">
        <f>(L539+Q539)/(L539+Q539+H539+K539)</f>
        <v>1.2006861063464836E-2</v>
      </c>
    </row>
    <row r="540" spans="1:26" x14ac:dyDescent="0.35">
      <c r="A540" t="s">
        <v>122</v>
      </c>
      <c r="B540" t="s">
        <v>122</v>
      </c>
      <c r="C540" t="s">
        <v>123</v>
      </c>
      <c r="D540" t="s">
        <v>100</v>
      </c>
      <c r="E540" t="s">
        <v>99</v>
      </c>
      <c r="F540" t="s">
        <v>12</v>
      </c>
      <c r="G540">
        <v>1</v>
      </c>
      <c r="H540">
        <v>310</v>
      </c>
      <c r="I540">
        <v>0.92537313432835799</v>
      </c>
      <c r="J540" s="25">
        <f t="shared" si="25"/>
        <v>0.92537313432835822</v>
      </c>
      <c r="K540">
        <v>3146</v>
      </c>
      <c r="L540">
        <v>17</v>
      </c>
      <c r="M540">
        <v>5.3746443250079004E-3</v>
      </c>
      <c r="N540" s="25">
        <f t="shared" si="24"/>
        <v>5.3746443250078935E-3</v>
      </c>
      <c r="O540">
        <v>0.994625355674992</v>
      </c>
      <c r="P540" s="25">
        <f t="shared" si="26"/>
        <v>0.99462535567499211</v>
      </c>
      <c r="Q540">
        <v>25</v>
      </c>
      <c r="R540" t="s">
        <v>124</v>
      </c>
      <c r="S540" t="s">
        <v>124</v>
      </c>
      <c r="T540" t="s">
        <v>124</v>
      </c>
      <c r="U540" t="s">
        <v>124</v>
      </c>
      <c r="X540" s="19">
        <f>J540</f>
        <v>0.92537313432835822</v>
      </c>
      <c r="Y540" s="19">
        <f>N540</f>
        <v>5.3746443250078935E-3</v>
      </c>
      <c r="Z540" s="26">
        <f>(L540+Q540)/(L540+Q540+H540+K540)</f>
        <v>1.2006861063464836E-2</v>
      </c>
    </row>
    <row r="541" spans="1:26" x14ac:dyDescent="0.35">
      <c r="A541" t="s">
        <v>122</v>
      </c>
      <c r="B541" t="s">
        <v>122</v>
      </c>
      <c r="C541" t="s">
        <v>123</v>
      </c>
      <c r="D541" t="s">
        <v>100</v>
      </c>
      <c r="E541" t="s">
        <v>99</v>
      </c>
      <c r="F541" t="s">
        <v>12</v>
      </c>
      <c r="G541">
        <v>1</v>
      </c>
      <c r="H541">
        <v>310</v>
      </c>
      <c r="I541">
        <v>0.92537313432835799</v>
      </c>
      <c r="J541" s="25">
        <f t="shared" si="25"/>
        <v>0.92537313432835822</v>
      </c>
      <c r="K541">
        <v>3146</v>
      </c>
      <c r="L541">
        <v>17</v>
      </c>
      <c r="M541">
        <v>5.3746443250079004E-3</v>
      </c>
      <c r="N541" s="25">
        <f t="shared" si="24"/>
        <v>5.3746443250078935E-3</v>
      </c>
      <c r="O541">
        <v>0.994625355674992</v>
      </c>
      <c r="P541" s="25">
        <f t="shared" si="26"/>
        <v>0.99462535567499211</v>
      </c>
      <c r="Q541">
        <v>25</v>
      </c>
      <c r="R541" t="s">
        <v>124</v>
      </c>
      <c r="S541" t="s">
        <v>124</v>
      </c>
      <c r="T541" t="s">
        <v>124</v>
      </c>
      <c r="U541" t="s">
        <v>124</v>
      </c>
      <c r="X541" s="19">
        <f>J541</f>
        <v>0.92537313432835822</v>
      </c>
      <c r="Y541" s="19">
        <f>N541</f>
        <v>5.3746443250078935E-3</v>
      </c>
      <c r="Z541" s="26">
        <f>(L541+Q541)/(L541+Q541+H541+K541)</f>
        <v>1.2006861063464836E-2</v>
      </c>
    </row>
    <row r="542" spans="1:26" x14ac:dyDescent="0.35">
      <c r="A542" t="s">
        <v>122</v>
      </c>
      <c r="B542" t="s">
        <v>122</v>
      </c>
      <c r="C542" t="s">
        <v>123</v>
      </c>
      <c r="D542" t="s">
        <v>100</v>
      </c>
      <c r="E542" t="s">
        <v>99</v>
      </c>
      <c r="F542" t="s">
        <v>12</v>
      </c>
      <c r="G542">
        <v>1</v>
      </c>
      <c r="H542">
        <v>310</v>
      </c>
      <c r="I542">
        <v>0.92537313432835799</v>
      </c>
      <c r="J542" s="25">
        <f t="shared" si="25"/>
        <v>0.92537313432835822</v>
      </c>
      <c r="K542">
        <v>3146</v>
      </c>
      <c r="L542">
        <v>17</v>
      </c>
      <c r="M542">
        <v>5.3746443250079004E-3</v>
      </c>
      <c r="N542" s="25">
        <f t="shared" si="24"/>
        <v>5.3746443250078935E-3</v>
      </c>
      <c r="O542">
        <v>0.994625355674992</v>
      </c>
      <c r="P542" s="25">
        <f t="shared" si="26"/>
        <v>0.99462535567499211</v>
      </c>
      <c r="Q542">
        <v>25</v>
      </c>
      <c r="R542" t="s">
        <v>124</v>
      </c>
      <c r="S542" t="s">
        <v>124</v>
      </c>
      <c r="T542" t="s">
        <v>124</v>
      </c>
      <c r="U542" t="s">
        <v>124</v>
      </c>
      <c r="X542" s="19">
        <f>J542</f>
        <v>0.92537313432835822</v>
      </c>
      <c r="Y542" s="19">
        <f>N542</f>
        <v>5.3746443250078935E-3</v>
      </c>
      <c r="Z542" s="26">
        <f>(L542+Q542)/(L542+Q542+H542+K542)</f>
        <v>1.2006861063464836E-2</v>
      </c>
    </row>
    <row r="543" spans="1:26" x14ac:dyDescent="0.35">
      <c r="A543" t="s">
        <v>122</v>
      </c>
      <c r="B543" t="s">
        <v>122</v>
      </c>
      <c r="C543" t="s">
        <v>123</v>
      </c>
      <c r="D543" t="s">
        <v>100</v>
      </c>
      <c r="E543" t="s">
        <v>99</v>
      </c>
      <c r="F543" t="s">
        <v>12</v>
      </c>
      <c r="G543">
        <v>1</v>
      </c>
      <c r="H543">
        <v>310</v>
      </c>
      <c r="I543">
        <v>0.92537313432835799</v>
      </c>
      <c r="J543" s="25">
        <f t="shared" si="25"/>
        <v>0.92537313432835822</v>
      </c>
      <c r="K543">
        <v>3146</v>
      </c>
      <c r="L543">
        <v>17</v>
      </c>
      <c r="M543">
        <v>5.3746443250079004E-3</v>
      </c>
      <c r="N543" s="25">
        <f t="shared" si="24"/>
        <v>5.3746443250078935E-3</v>
      </c>
      <c r="O543">
        <v>0.994625355674992</v>
      </c>
      <c r="P543" s="25">
        <f t="shared" si="26"/>
        <v>0.99462535567499211</v>
      </c>
      <c r="Q543">
        <v>25</v>
      </c>
      <c r="R543" t="s">
        <v>124</v>
      </c>
      <c r="S543" t="s">
        <v>124</v>
      </c>
      <c r="T543" t="s">
        <v>124</v>
      </c>
      <c r="U543" t="s">
        <v>124</v>
      </c>
      <c r="X543" s="19">
        <f>J543</f>
        <v>0.92537313432835822</v>
      </c>
      <c r="Y543" s="19">
        <f>N543</f>
        <v>5.3746443250078935E-3</v>
      </c>
      <c r="Z543" s="26">
        <f>(L543+Q543)/(L543+Q543+H543+K543)</f>
        <v>1.2006861063464836E-2</v>
      </c>
    </row>
    <row r="544" spans="1:26" x14ac:dyDescent="0.35">
      <c r="A544" t="s">
        <v>122</v>
      </c>
      <c r="B544" t="s">
        <v>122</v>
      </c>
      <c r="C544" t="s">
        <v>123</v>
      </c>
      <c r="D544" t="s">
        <v>100</v>
      </c>
      <c r="E544" t="s">
        <v>99</v>
      </c>
      <c r="F544" t="s">
        <v>12</v>
      </c>
      <c r="G544">
        <v>1</v>
      </c>
      <c r="H544">
        <v>310</v>
      </c>
      <c r="I544">
        <v>0.92537313432835799</v>
      </c>
      <c r="J544" s="25">
        <f t="shared" si="25"/>
        <v>0.92537313432835822</v>
      </c>
      <c r="K544">
        <v>3146</v>
      </c>
      <c r="L544">
        <v>17</v>
      </c>
      <c r="M544">
        <v>5.3746443250079004E-3</v>
      </c>
      <c r="N544" s="25">
        <f t="shared" si="24"/>
        <v>5.3746443250078935E-3</v>
      </c>
      <c r="O544">
        <v>0.994625355674992</v>
      </c>
      <c r="P544" s="25">
        <f t="shared" si="26"/>
        <v>0.99462535567499211</v>
      </c>
      <c r="Q544">
        <v>25</v>
      </c>
      <c r="R544" t="s">
        <v>124</v>
      </c>
      <c r="S544" t="s">
        <v>124</v>
      </c>
      <c r="T544" t="s">
        <v>124</v>
      </c>
      <c r="U544" t="s">
        <v>124</v>
      </c>
      <c r="X544" s="19">
        <f>J544</f>
        <v>0.92537313432835822</v>
      </c>
      <c r="Y544" s="19">
        <f>N544</f>
        <v>5.3746443250078935E-3</v>
      </c>
      <c r="Z544" s="26">
        <f>(L544+Q544)/(L544+Q544+H544+K544)</f>
        <v>1.2006861063464836E-2</v>
      </c>
    </row>
    <row r="545" spans="1:26" x14ac:dyDescent="0.35">
      <c r="A545" t="s">
        <v>122</v>
      </c>
      <c r="B545" t="s">
        <v>122</v>
      </c>
      <c r="C545" t="s">
        <v>123</v>
      </c>
      <c r="D545" t="s">
        <v>100</v>
      </c>
      <c r="E545" t="s">
        <v>99</v>
      </c>
      <c r="F545" t="s">
        <v>12</v>
      </c>
      <c r="G545">
        <v>1</v>
      </c>
      <c r="H545">
        <v>310</v>
      </c>
      <c r="I545">
        <v>0.92537313432835799</v>
      </c>
      <c r="J545" s="25">
        <f t="shared" si="25"/>
        <v>0.92537313432835822</v>
      </c>
      <c r="K545">
        <v>3146</v>
      </c>
      <c r="L545">
        <v>17</v>
      </c>
      <c r="M545">
        <v>5.3746443250079004E-3</v>
      </c>
      <c r="N545" s="25">
        <f t="shared" si="24"/>
        <v>5.3746443250078935E-3</v>
      </c>
      <c r="O545">
        <v>0.994625355674992</v>
      </c>
      <c r="P545" s="25">
        <f t="shared" si="26"/>
        <v>0.99462535567499211</v>
      </c>
      <c r="Q545">
        <v>25</v>
      </c>
      <c r="R545" t="s">
        <v>124</v>
      </c>
      <c r="S545" t="s">
        <v>124</v>
      </c>
      <c r="T545" t="s">
        <v>124</v>
      </c>
      <c r="U545" t="s">
        <v>124</v>
      </c>
      <c r="X545" s="19">
        <f>J545</f>
        <v>0.92537313432835822</v>
      </c>
      <c r="Y545" s="19">
        <f>N545</f>
        <v>5.3746443250078935E-3</v>
      </c>
      <c r="Z545" s="26">
        <f>(L545+Q545)/(L545+Q545+H545+K545)</f>
        <v>1.2006861063464836E-2</v>
      </c>
    </row>
    <row r="546" spans="1:26" x14ac:dyDescent="0.35">
      <c r="A546" t="s">
        <v>122</v>
      </c>
      <c r="B546" t="s">
        <v>122</v>
      </c>
      <c r="C546" t="s">
        <v>123</v>
      </c>
      <c r="D546" t="s">
        <v>100</v>
      </c>
      <c r="E546" t="s">
        <v>99</v>
      </c>
      <c r="F546" t="s">
        <v>12</v>
      </c>
      <c r="G546">
        <v>1</v>
      </c>
      <c r="H546">
        <v>310</v>
      </c>
      <c r="I546">
        <v>0.92537313432835799</v>
      </c>
      <c r="J546" s="25">
        <f t="shared" si="25"/>
        <v>0.92537313432835822</v>
      </c>
      <c r="K546">
        <v>3146</v>
      </c>
      <c r="L546">
        <v>17</v>
      </c>
      <c r="M546">
        <v>5.3746443250079004E-3</v>
      </c>
      <c r="N546" s="25">
        <f t="shared" si="24"/>
        <v>5.3746443250078935E-3</v>
      </c>
      <c r="O546">
        <v>0.994625355674992</v>
      </c>
      <c r="P546" s="25">
        <f t="shared" si="26"/>
        <v>0.99462535567499211</v>
      </c>
      <c r="Q546">
        <v>25</v>
      </c>
      <c r="R546" t="s">
        <v>124</v>
      </c>
      <c r="S546" t="s">
        <v>124</v>
      </c>
      <c r="T546" t="s">
        <v>124</v>
      </c>
      <c r="U546" t="s">
        <v>124</v>
      </c>
      <c r="X546" s="19">
        <f>J546</f>
        <v>0.92537313432835822</v>
      </c>
      <c r="Y546" s="19">
        <f>N546</f>
        <v>5.3746443250078935E-3</v>
      </c>
      <c r="Z546" s="26">
        <f>(L546+Q546)/(L546+Q546+H546+K546)</f>
        <v>1.2006861063464836E-2</v>
      </c>
    </row>
    <row r="547" spans="1:26" x14ac:dyDescent="0.35">
      <c r="A547" t="s">
        <v>122</v>
      </c>
      <c r="B547" t="s">
        <v>122</v>
      </c>
      <c r="C547" t="s">
        <v>123</v>
      </c>
      <c r="D547" t="s">
        <v>100</v>
      </c>
      <c r="E547" t="s">
        <v>99</v>
      </c>
      <c r="F547" t="s">
        <v>12</v>
      </c>
      <c r="G547">
        <v>1</v>
      </c>
      <c r="H547">
        <v>310</v>
      </c>
      <c r="I547">
        <v>0.92537313432835799</v>
      </c>
      <c r="J547" s="25">
        <f t="shared" si="25"/>
        <v>0.92537313432835822</v>
      </c>
      <c r="K547">
        <v>3146</v>
      </c>
      <c r="L547">
        <v>17</v>
      </c>
      <c r="M547">
        <v>5.3746443250079004E-3</v>
      </c>
      <c r="N547" s="25">
        <f t="shared" si="24"/>
        <v>5.3746443250078935E-3</v>
      </c>
      <c r="O547">
        <v>0.994625355674992</v>
      </c>
      <c r="P547" s="25">
        <f t="shared" si="26"/>
        <v>0.99462535567499211</v>
      </c>
      <c r="Q547">
        <v>25</v>
      </c>
      <c r="R547" t="s">
        <v>124</v>
      </c>
      <c r="S547" t="s">
        <v>124</v>
      </c>
      <c r="T547" t="s">
        <v>124</v>
      </c>
      <c r="U547" t="s">
        <v>124</v>
      </c>
      <c r="X547" s="19">
        <f>J547</f>
        <v>0.92537313432835822</v>
      </c>
      <c r="Y547" s="19">
        <f>N547</f>
        <v>5.3746443250078935E-3</v>
      </c>
      <c r="Z547" s="26">
        <f>(L547+Q547)/(L547+Q547+H547+K547)</f>
        <v>1.2006861063464836E-2</v>
      </c>
    </row>
    <row r="548" spans="1:26" x14ac:dyDescent="0.35">
      <c r="A548" t="s">
        <v>122</v>
      </c>
      <c r="B548" t="s">
        <v>122</v>
      </c>
      <c r="C548" t="s">
        <v>123</v>
      </c>
      <c r="D548" t="s">
        <v>100</v>
      </c>
      <c r="E548" t="s">
        <v>99</v>
      </c>
      <c r="F548" t="s">
        <v>12</v>
      </c>
      <c r="G548">
        <v>1</v>
      </c>
      <c r="H548">
        <v>310</v>
      </c>
      <c r="I548">
        <v>0.92537313432835799</v>
      </c>
      <c r="J548" s="25">
        <f t="shared" si="25"/>
        <v>0.92537313432835822</v>
      </c>
      <c r="K548">
        <v>3146</v>
      </c>
      <c r="L548">
        <v>17</v>
      </c>
      <c r="M548">
        <v>5.3746443250079004E-3</v>
      </c>
      <c r="N548" s="25">
        <f t="shared" si="24"/>
        <v>5.3746443250078935E-3</v>
      </c>
      <c r="O548">
        <v>0.994625355674992</v>
      </c>
      <c r="P548" s="25">
        <f t="shared" si="26"/>
        <v>0.99462535567499211</v>
      </c>
      <c r="Q548">
        <v>25</v>
      </c>
      <c r="R548" t="s">
        <v>124</v>
      </c>
      <c r="S548" t="s">
        <v>124</v>
      </c>
      <c r="T548" t="s">
        <v>124</v>
      </c>
      <c r="U548" t="s">
        <v>124</v>
      </c>
      <c r="X548" s="19">
        <f>J548</f>
        <v>0.92537313432835822</v>
      </c>
      <c r="Y548" s="19">
        <f>N548</f>
        <v>5.3746443250078935E-3</v>
      </c>
      <c r="Z548" s="26">
        <f>(L548+Q548)/(L548+Q548+H548+K548)</f>
        <v>1.2006861063464836E-2</v>
      </c>
    </row>
    <row r="549" spans="1:26" x14ac:dyDescent="0.35">
      <c r="A549" t="s">
        <v>122</v>
      </c>
      <c r="B549" t="s">
        <v>122</v>
      </c>
      <c r="C549" t="s">
        <v>123</v>
      </c>
      <c r="D549" t="s">
        <v>100</v>
      </c>
      <c r="E549" t="s">
        <v>99</v>
      </c>
      <c r="F549" t="s">
        <v>12</v>
      </c>
      <c r="G549">
        <v>1</v>
      </c>
      <c r="H549">
        <v>310</v>
      </c>
      <c r="I549">
        <v>0.92537313432835799</v>
      </c>
      <c r="J549" s="25">
        <f t="shared" si="25"/>
        <v>0.92537313432835822</v>
      </c>
      <c r="K549">
        <v>3146</v>
      </c>
      <c r="L549">
        <v>17</v>
      </c>
      <c r="M549">
        <v>5.3746443250079004E-3</v>
      </c>
      <c r="N549" s="25">
        <f t="shared" si="24"/>
        <v>5.3746443250078935E-3</v>
      </c>
      <c r="O549">
        <v>0.994625355674992</v>
      </c>
      <c r="P549" s="25">
        <f t="shared" si="26"/>
        <v>0.99462535567499211</v>
      </c>
      <c r="Q549">
        <v>25</v>
      </c>
      <c r="R549" t="s">
        <v>124</v>
      </c>
      <c r="S549" t="s">
        <v>124</v>
      </c>
      <c r="T549" t="s">
        <v>124</v>
      </c>
      <c r="U549" t="s">
        <v>124</v>
      </c>
      <c r="X549" s="19">
        <f>J549</f>
        <v>0.92537313432835822</v>
      </c>
      <c r="Y549" s="19">
        <f>N549</f>
        <v>5.3746443250078935E-3</v>
      </c>
      <c r="Z549" s="26">
        <f>(L549+Q549)/(L549+Q549+H549+K549)</f>
        <v>1.2006861063464836E-2</v>
      </c>
    </row>
    <row r="550" spans="1:26" x14ac:dyDescent="0.35">
      <c r="A550" t="s">
        <v>122</v>
      </c>
      <c r="B550" t="s">
        <v>122</v>
      </c>
      <c r="C550" t="s">
        <v>123</v>
      </c>
      <c r="D550" t="s">
        <v>100</v>
      </c>
      <c r="E550" t="s">
        <v>99</v>
      </c>
      <c r="F550" t="s">
        <v>12</v>
      </c>
      <c r="G550">
        <v>1</v>
      </c>
      <c r="H550">
        <v>310</v>
      </c>
      <c r="I550">
        <v>0.92537313432835799</v>
      </c>
      <c r="J550" s="25">
        <f t="shared" si="25"/>
        <v>0.92537313432835822</v>
      </c>
      <c r="K550">
        <v>3146</v>
      </c>
      <c r="L550">
        <v>17</v>
      </c>
      <c r="M550">
        <v>5.3746443250079004E-3</v>
      </c>
      <c r="N550" s="25">
        <f t="shared" si="24"/>
        <v>5.3746443250078935E-3</v>
      </c>
      <c r="O550">
        <v>0.994625355674992</v>
      </c>
      <c r="P550" s="25">
        <f t="shared" si="26"/>
        <v>0.99462535567499211</v>
      </c>
      <c r="Q550">
        <v>25</v>
      </c>
      <c r="R550" t="s">
        <v>124</v>
      </c>
      <c r="S550" t="s">
        <v>124</v>
      </c>
      <c r="T550" t="s">
        <v>124</v>
      </c>
      <c r="U550" t="s">
        <v>124</v>
      </c>
      <c r="X550" s="19">
        <f>J550</f>
        <v>0.92537313432835822</v>
      </c>
      <c r="Y550" s="19">
        <f>N550</f>
        <v>5.3746443250078935E-3</v>
      </c>
      <c r="Z550" s="26">
        <f>(L550+Q550)/(L550+Q550+H550+K550)</f>
        <v>1.2006861063464836E-2</v>
      </c>
    </row>
    <row r="551" spans="1:26" x14ac:dyDescent="0.35">
      <c r="A551" t="s">
        <v>122</v>
      </c>
      <c r="B551" t="s">
        <v>122</v>
      </c>
      <c r="C551" t="s">
        <v>123</v>
      </c>
      <c r="D551" t="s">
        <v>100</v>
      </c>
      <c r="E551" t="s">
        <v>99</v>
      </c>
      <c r="F551" t="s">
        <v>12</v>
      </c>
      <c r="G551">
        <v>1</v>
      </c>
      <c r="H551">
        <v>310</v>
      </c>
      <c r="I551">
        <v>0.92537313432835799</v>
      </c>
      <c r="J551" s="25">
        <f t="shared" si="25"/>
        <v>0.92537313432835822</v>
      </c>
      <c r="K551">
        <v>3146</v>
      </c>
      <c r="L551">
        <v>17</v>
      </c>
      <c r="M551">
        <v>5.3746443250079004E-3</v>
      </c>
      <c r="N551" s="25">
        <f t="shared" si="24"/>
        <v>5.3746443250078935E-3</v>
      </c>
      <c r="O551">
        <v>0.994625355674992</v>
      </c>
      <c r="P551" s="25">
        <f t="shared" si="26"/>
        <v>0.99462535567499211</v>
      </c>
      <c r="Q551">
        <v>25</v>
      </c>
      <c r="R551" t="s">
        <v>124</v>
      </c>
      <c r="S551" t="s">
        <v>124</v>
      </c>
      <c r="T551" t="s">
        <v>124</v>
      </c>
      <c r="U551" t="s">
        <v>124</v>
      </c>
      <c r="X551" s="19">
        <f>J551</f>
        <v>0.92537313432835822</v>
      </c>
      <c r="Y551" s="19">
        <f>N551</f>
        <v>5.3746443250078935E-3</v>
      </c>
      <c r="Z551" s="26">
        <f>(L551+Q551)/(L551+Q551+H551+K551)</f>
        <v>1.2006861063464836E-2</v>
      </c>
    </row>
    <row r="552" spans="1:26" x14ac:dyDescent="0.35">
      <c r="A552" t="s">
        <v>122</v>
      </c>
      <c r="B552" t="s">
        <v>122</v>
      </c>
      <c r="C552" t="s">
        <v>123</v>
      </c>
      <c r="D552" t="s">
        <v>100</v>
      </c>
      <c r="E552" t="s">
        <v>99</v>
      </c>
      <c r="F552" t="s">
        <v>12</v>
      </c>
      <c r="G552">
        <v>1</v>
      </c>
      <c r="H552">
        <v>310</v>
      </c>
      <c r="I552">
        <v>0.92537313432835799</v>
      </c>
      <c r="J552" s="25">
        <f t="shared" si="25"/>
        <v>0.92537313432835822</v>
      </c>
      <c r="K552">
        <v>3146</v>
      </c>
      <c r="L552">
        <v>17</v>
      </c>
      <c r="M552">
        <v>5.3746443250079004E-3</v>
      </c>
      <c r="N552" s="25">
        <f t="shared" si="24"/>
        <v>5.3746443250078935E-3</v>
      </c>
      <c r="O552">
        <v>0.994625355674992</v>
      </c>
      <c r="P552" s="25">
        <f t="shared" si="26"/>
        <v>0.99462535567499211</v>
      </c>
      <c r="Q552">
        <v>25</v>
      </c>
      <c r="R552" t="s">
        <v>124</v>
      </c>
      <c r="S552" t="s">
        <v>124</v>
      </c>
      <c r="T552" t="s">
        <v>124</v>
      </c>
      <c r="U552" t="s">
        <v>124</v>
      </c>
      <c r="X552" s="19">
        <f>J552</f>
        <v>0.92537313432835822</v>
      </c>
      <c r="Y552" s="19">
        <f>N552</f>
        <v>5.3746443250078935E-3</v>
      </c>
      <c r="Z552" s="26">
        <f>(L552+Q552)/(L552+Q552+H552+K552)</f>
        <v>1.2006861063464836E-2</v>
      </c>
    </row>
    <row r="553" spans="1:26" x14ac:dyDescent="0.35">
      <c r="A553" t="s">
        <v>122</v>
      </c>
      <c r="B553" t="s">
        <v>122</v>
      </c>
      <c r="C553" t="s">
        <v>123</v>
      </c>
      <c r="D553" t="s">
        <v>100</v>
      </c>
      <c r="E553" t="s">
        <v>99</v>
      </c>
      <c r="F553" t="s">
        <v>12</v>
      </c>
      <c r="G553">
        <v>1</v>
      </c>
      <c r="H553">
        <v>310</v>
      </c>
      <c r="I553">
        <v>0.92537313432835799</v>
      </c>
      <c r="J553" s="25">
        <f t="shared" si="25"/>
        <v>0.92537313432835822</v>
      </c>
      <c r="K553">
        <v>3146</v>
      </c>
      <c r="L553">
        <v>17</v>
      </c>
      <c r="M553">
        <v>5.3746443250079004E-3</v>
      </c>
      <c r="N553" s="25">
        <f t="shared" si="24"/>
        <v>5.3746443250078935E-3</v>
      </c>
      <c r="O553">
        <v>0.994625355674992</v>
      </c>
      <c r="P553" s="25">
        <f t="shared" si="26"/>
        <v>0.99462535567499211</v>
      </c>
      <c r="Q553">
        <v>25</v>
      </c>
      <c r="R553" t="s">
        <v>124</v>
      </c>
      <c r="S553" t="s">
        <v>124</v>
      </c>
      <c r="T553" t="s">
        <v>124</v>
      </c>
      <c r="U553" t="s">
        <v>124</v>
      </c>
      <c r="X553" s="19">
        <f>J553</f>
        <v>0.92537313432835822</v>
      </c>
      <c r="Y553" s="19">
        <f>N553</f>
        <v>5.3746443250078935E-3</v>
      </c>
      <c r="Z553" s="26">
        <f>(L553+Q553)/(L553+Q553+H553+K553)</f>
        <v>1.2006861063464836E-2</v>
      </c>
    </row>
    <row r="554" spans="1:26" x14ac:dyDescent="0.35">
      <c r="A554" t="s">
        <v>122</v>
      </c>
      <c r="B554" t="s">
        <v>122</v>
      </c>
      <c r="C554" t="s">
        <v>123</v>
      </c>
      <c r="D554" t="s">
        <v>100</v>
      </c>
      <c r="E554" t="s">
        <v>99</v>
      </c>
      <c r="F554" t="s">
        <v>12</v>
      </c>
      <c r="G554">
        <v>1</v>
      </c>
      <c r="H554">
        <v>310</v>
      </c>
      <c r="I554">
        <v>0.92537313432835799</v>
      </c>
      <c r="J554" s="25">
        <f t="shared" si="25"/>
        <v>0.92537313432835822</v>
      </c>
      <c r="K554">
        <v>3146</v>
      </c>
      <c r="L554">
        <v>17</v>
      </c>
      <c r="M554">
        <v>5.3746443250079004E-3</v>
      </c>
      <c r="N554" s="25">
        <f t="shared" si="24"/>
        <v>5.3746443250078935E-3</v>
      </c>
      <c r="O554">
        <v>0.994625355674992</v>
      </c>
      <c r="P554" s="25">
        <f t="shared" si="26"/>
        <v>0.99462535567499211</v>
      </c>
      <c r="Q554">
        <v>25</v>
      </c>
      <c r="R554" t="s">
        <v>124</v>
      </c>
      <c r="S554" t="s">
        <v>124</v>
      </c>
      <c r="T554" t="s">
        <v>124</v>
      </c>
      <c r="U554" t="s">
        <v>124</v>
      </c>
      <c r="X554" s="19">
        <f>J554</f>
        <v>0.92537313432835822</v>
      </c>
      <c r="Y554" s="19">
        <f>N554</f>
        <v>5.3746443250078935E-3</v>
      </c>
      <c r="Z554" s="26">
        <f>(L554+Q554)/(L554+Q554+H554+K554)</f>
        <v>1.2006861063464836E-2</v>
      </c>
    </row>
    <row r="555" spans="1:26" x14ac:dyDescent="0.35">
      <c r="A555" t="s">
        <v>122</v>
      </c>
      <c r="B555" t="s">
        <v>122</v>
      </c>
      <c r="C555" t="s">
        <v>123</v>
      </c>
      <c r="D555" t="s">
        <v>100</v>
      </c>
      <c r="E555" t="s">
        <v>99</v>
      </c>
      <c r="F555" t="s">
        <v>12</v>
      </c>
      <c r="G555">
        <v>1</v>
      </c>
      <c r="H555">
        <v>310</v>
      </c>
      <c r="I555">
        <v>0.92537313432835799</v>
      </c>
      <c r="J555" s="25">
        <f t="shared" si="25"/>
        <v>0.92537313432835822</v>
      </c>
      <c r="K555">
        <v>3146</v>
      </c>
      <c r="L555">
        <v>17</v>
      </c>
      <c r="M555">
        <v>5.3746443250079004E-3</v>
      </c>
      <c r="N555" s="25">
        <f t="shared" si="24"/>
        <v>5.3746443250078935E-3</v>
      </c>
      <c r="O555">
        <v>0.994625355674992</v>
      </c>
      <c r="P555" s="25">
        <f t="shared" si="26"/>
        <v>0.99462535567499211</v>
      </c>
      <c r="Q555">
        <v>25</v>
      </c>
      <c r="R555" t="s">
        <v>124</v>
      </c>
      <c r="S555" t="s">
        <v>124</v>
      </c>
      <c r="T555" t="s">
        <v>124</v>
      </c>
      <c r="U555" t="s">
        <v>124</v>
      </c>
      <c r="X555" s="19">
        <f>J555</f>
        <v>0.92537313432835822</v>
      </c>
      <c r="Y555" s="19">
        <f>N555</f>
        <v>5.3746443250078935E-3</v>
      </c>
      <c r="Z555" s="26">
        <f>(L555+Q555)/(L555+Q555+H555+K555)</f>
        <v>1.2006861063464836E-2</v>
      </c>
    </row>
    <row r="556" spans="1:26" x14ac:dyDescent="0.35">
      <c r="A556" t="s">
        <v>122</v>
      </c>
      <c r="B556" t="s">
        <v>122</v>
      </c>
      <c r="C556" t="s">
        <v>123</v>
      </c>
      <c r="D556" t="s">
        <v>100</v>
      </c>
      <c r="E556" t="s">
        <v>99</v>
      </c>
      <c r="F556" t="s">
        <v>12</v>
      </c>
      <c r="G556">
        <v>1</v>
      </c>
      <c r="H556">
        <v>310</v>
      </c>
      <c r="I556">
        <v>0.92537313432835799</v>
      </c>
      <c r="J556" s="25">
        <f t="shared" si="25"/>
        <v>0.92537313432835822</v>
      </c>
      <c r="K556">
        <v>3146</v>
      </c>
      <c r="L556">
        <v>17</v>
      </c>
      <c r="M556">
        <v>5.3746443250079004E-3</v>
      </c>
      <c r="N556" s="25">
        <f t="shared" si="24"/>
        <v>5.3746443250078935E-3</v>
      </c>
      <c r="O556">
        <v>0.994625355674992</v>
      </c>
      <c r="P556" s="25">
        <f t="shared" si="26"/>
        <v>0.99462535567499211</v>
      </c>
      <c r="Q556">
        <v>25</v>
      </c>
      <c r="R556" t="s">
        <v>124</v>
      </c>
      <c r="S556" t="s">
        <v>124</v>
      </c>
      <c r="T556" t="s">
        <v>124</v>
      </c>
      <c r="U556" t="s">
        <v>124</v>
      </c>
      <c r="X556" s="19">
        <f>J556</f>
        <v>0.92537313432835822</v>
      </c>
      <c r="Y556" s="19">
        <f>N556</f>
        <v>5.3746443250078935E-3</v>
      </c>
      <c r="Z556" s="26">
        <f>(L556+Q556)/(L556+Q556+H556+K556)</f>
        <v>1.2006861063464836E-2</v>
      </c>
    </row>
    <row r="557" spans="1:26" x14ac:dyDescent="0.35">
      <c r="A557" t="s">
        <v>122</v>
      </c>
      <c r="B557" t="s">
        <v>122</v>
      </c>
      <c r="C557" t="s">
        <v>123</v>
      </c>
      <c r="D557" t="s">
        <v>100</v>
      </c>
      <c r="E557" t="s">
        <v>99</v>
      </c>
      <c r="F557" t="s">
        <v>12</v>
      </c>
      <c r="G557">
        <v>1</v>
      </c>
      <c r="H557">
        <v>310</v>
      </c>
      <c r="I557">
        <v>0.92537313432835799</v>
      </c>
      <c r="J557" s="25">
        <f t="shared" si="25"/>
        <v>0.92537313432835822</v>
      </c>
      <c r="K557">
        <v>3146</v>
      </c>
      <c r="L557">
        <v>17</v>
      </c>
      <c r="M557">
        <v>5.3746443250079004E-3</v>
      </c>
      <c r="N557" s="25">
        <f t="shared" si="24"/>
        <v>5.3746443250078935E-3</v>
      </c>
      <c r="O557">
        <v>0.994625355674992</v>
      </c>
      <c r="P557" s="25">
        <f t="shared" si="26"/>
        <v>0.99462535567499211</v>
      </c>
      <c r="Q557">
        <v>25</v>
      </c>
      <c r="R557" t="s">
        <v>124</v>
      </c>
      <c r="S557" t="s">
        <v>124</v>
      </c>
      <c r="T557" t="s">
        <v>124</v>
      </c>
      <c r="U557" t="s">
        <v>124</v>
      </c>
      <c r="X557" s="19">
        <f>J557</f>
        <v>0.92537313432835822</v>
      </c>
      <c r="Y557" s="19">
        <f>N557</f>
        <v>5.3746443250078935E-3</v>
      </c>
      <c r="Z557" s="26">
        <f>(L557+Q557)/(L557+Q557+H557+K557)</f>
        <v>1.2006861063464836E-2</v>
      </c>
    </row>
    <row r="558" spans="1:26" x14ac:dyDescent="0.35">
      <c r="A558" t="s">
        <v>122</v>
      </c>
      <c r="B558" t="s">
        <v>122</v>
      </c>
      <c r="C558" t="s">
        <v>123</v>
      </c>
      <c r="D558" t="s">
        <v>100</v>
      </c>
      <c r="E558" t="s">
        <v>99</v>
      </c>
      <c r="F558" t="s">
        <v>12</v>
      </c>
      <c r="G558">
        <v>1</v>
      </c>
      <c r="H558">
        <v>310</v>
      </c>
      <c r="I558">
        <v>0.92537313432835799</v>
      </c>
      <c r="J558" s="25">
        <f t="shared" si="25"/>
        <v>0.92537313432835822</v>
      </c>
      <c r="K558">
        <v>3146</v>
      </c>
      <c r="L558">
        <v>17</v>
      </c>
      <c r="M558">
        <v>5.3746443250079004E-3</v>
      </c>
      <c r="N558" s="25">
        <f t="shared" si="24"/>
        <v>5.3746443250078935E-3</v>
      </c>
      <c r="O558">
        <v>0.994625355674992</v>
      </c>
      <c r="P558" s="25">
        <f t="shared" si="26"/>
        <v>0.99462535567499211</v>
      </c>
      <c r="Q558">
        <v>25</v>
      </c>
      <c r="R558" t="s">
        <v>124</v>
      </c>
      <c r="S558" t="s">
        <v>124</v>
      </c>
      <c r="T558" t="s">
        <v>124</v>
      </c>
      <c r="U558" t="s">
        <v>124</v>
      </c>
      <c r="X558" s="19">
        <f>J558</f>
        <v>0.92537313432835822</v>
      </c>
      <c r="Y558" s="19">
        <f>N558</f>
        <v>5.3746443250078935E-3</v>
      </c>
      <c r="Z558" s="26">
        <f>(L558+Q558)/(L558+Q558+H558+K558)</f>
        <v>1.2006861063464836E-2</v>
      </c>
    </row>
    <row r="559" spans="1:26" x14ac:dyDescent="0.35">
      <c r="A559" t="s">
        <v>122</v>
      </c>
      <c r="B559" t="s">
        <v>122</v>
      </c>
      <c r="C559" t="s">
        <v>123</v>
      </c>
      <c r="D559" t="s">
        <v>100</v>
      </c>
      <c r="E559" t="s">
        <v>99</v>
      </c>
      <c r="F559" t="s">
        <v>12</v>
      </c>
      <c r="G559">
        <v>1</v>
      </c>
      <c r="H559">
        <v>310</v>
      </c>
      <c r="I559">
        <v>0.92537313432835799</v>
      </c>
      <c r="J559" s="25">
        <f t="shared" si="25"/>
        <v>0.92537313432835822</v>
      </c>
      <c r="K559">
        <v>3146</v>
      </c>
      <c r="L559">
        <v>17</v>
      </c>
      <c r="M559">
        <v>5.3746443250079004E-3</v>
      </c>
      <c r="N559" s="25">
        <f t="shared" si="24"/>
        <v>5.3746443250078935E-3</v>
      </c>
      <c r="O559">
        <v>0.994625355674992</v>
      </c>
      <c r="P559" s="25">
        <f t="shared" si="26"/>
        <v>0.99462535567499211</v>
      </c>
      <c r="Q559">
        <v>25</v>
      </c>
      <c r="R559" t="s">
        <v>124</v>
      </c>
      <c r="S559" t="s">
        <v>124</v>
      </c>
      <c r="T559" t="s">
        <v>124</v>
      </c>
      <c r="U559" t="s">
        <v>124</v>
      </c>
      <c r="X559" s="19">
        <f>J559</f>
        <v>0.92537313432835822</v>
      </c>
      <c r="Y559" s="19">
        <f>N559</f>
        <v>5.3746443250078935E-3</v>
      </c>
      <c r="Z559" s="26">
        <f>(L559+Q559)/(L559+Q559+H559+K559)</f>
        <v>1.2006861063464836E-2</v>
      </c>
    </row>
    <row r="560" spans="1:26" x14ac:dyDescent="0.35">
      <c r="A560" t="s">
        <v>122</v>
      </c>
      <c r="B560" t="s">
        <v>122</v>
      </c>
      <c r="C560" t="s">
        <v>123</v>
      </c>
      <c r="D560" t="s">
        <v>100</v>
      </c>
      <c r="E560" t="s">
        <v>99</v>
      </c>
      <c r="F560" t="s">
        <v>12</v>
      </c>
      <c r="G560">
        <v>1</v>
      </c>
      <c r="H560">
        <v>310</v>
      </c>
      <c r="I560">
        <v>0.92537313432835799</v>
      </c>
      <c r="J560" s="25">
        <f t="shared" si="25"/>
        <v>0.92537313432835822</v>
      </c>
      <c r="K560">
        <v>3146</v>
      </c>
      <c r="L560">
        <v>17</v>
      </c>
      <c r="M560">
        <v>5.3746443250079004E-3</v>
      </c>
      <c r="N560" s="25">
        <f t="shared" si="24"/>
        <v>5.3746443250078935E-3</v>
      </c>
      <c r="O560">
        <v>0.994625355674992</v>
      </c>
      <c r="P560" s="25">
        <f t="shared" si="26"/>
        <v>0.99462535567499211</v>
      </c>
      <c r="Q560">
        <v>25</v>
      </c>
      <c r="R560" t="s">
        <v>124</v>
      </c>
      <c r="S560" t="s">
        <v>124</v>
      </c>
      <c r="T560" t="s">
        <v>124</v>
      </c>
      <c r="U560" t="s">
        <v>124</v>
      </c>
      <c r="X560" s="19">
        <f>J560</f>
        <v>0.92537313432835822</v>
      </c>
      <c r="Y560" s="19">
        <f>N560</f>
        <v>5.3746443250078935E-3</v>
      </c>
      <c r="Z560" s="26">
        <f>(L560+Q560)/(L560+Q560+H560+K560)</f>
        <v>1.2006861063464836E-2</v>
      </c>
    </row>
    <row r="561" spans="1:26" x14ac:dyDescent="0.35">
      <c r="A561" t="s">
        <v>122</v>
      </c>
      <c r="B561" t="s">
        <v>122</v>
      </c>
      <c r="C561" t="s">
        <v>123</v>
      </c>
      <c r="D561" t="s">
        <v>100</v>
      </c>
      <c r="E561" t="s">
        <v>99</v>
      </c>
      <c r="F561" t="s">
        <v>12</v>
      </c>
      <c r="G561">
        <v>1</v>
      </c>
      <c r="H561">
        <v>310</v>
      </c>
      <c r="I561">
        <v>0.92537313432835799</v>
      </c>
      <c r="J561" s="25">
        <f t="shared" si="25"/>
        <v>0.92537313432835822</v>
      </c>
      <c r="K561">
        <v>3146</v>
      </c>
      <c r="L561">
        <v>17</v>
      </c>
      <c r="M561">
        <v>5.3746443250079004E-3</v>
      </c>
      <c r="N561" s="25">
        <f t="shared" si="24"/>
        <v>5.3746443250078935E-3</v>
      </c>
      <c r="O561">
        <v>0.994625355674992</v>
      </c>
      <c r="P561" s="25">
        <f t="shared" si="26"/>
        <v>0.99462535567499211</v>
      </c>
      <c r="Q561">
        <v>25</v>
      </c>
      <c r="R561" t="s">
        <v>124</v>
      </c>
      <c r="S561" t="s">
        <v>124</v>
      </c>
      <c r="T561" t="s">
        <v>124</v>
      </c>
      <c r="U561" t="s">
        <v>124</v>
      </c>
      <c r="X561" s="19">
        <f>J561</f>
        <v>0.92537313432835822</v>
      </c>
      <c r="Y561" s="19">
        <f>N561</f>
        <v>5.3746443250078935E-3</v>
      </c>
      <c r="Z561" s="26">
        <f>(L561+Q561)/(L561+Q561+H561+K561)</f>
        <v>1.2006861063464836E-2</v>
      </c>
    </row>
    <row r="562" spans="1:26" x14ac:dyDescent="0.35">
      <c r="A562" t="s">
        <v>122</v>
      </c>
      <c r="B562" t="s">
        <v>122</v>
      </c>
      <c r="C562" t="s">
        <v>123</v>
      </c>
      <c r="D562" t="s">
        <v>100</v>
      </c>
      <c r="E562" t="s">
        <v>99</v>
      </c>
      <c r="F562" t="s">
        <v>12</v>
      </c>
      <c r="G562">
        <v>1</v>
      </c>
      <c r="H562">
        <v>310</v>
      </c>
      <c r="I562">
        <v>0.92537313432835799</v>
      </c>
      <c r="J562" s="25">
        <f t="shared" si="25"/>
        <v>0.92537313432835822</v>
      </c>
      <c r="K562">
        <v>3146</v>
      </c>
      <c r="L562">
        <v>17</v>
      </c>
      <c r="M562">
        <v>5.3746443250079004E-3</v>
      </c>
      <c r="N562" s="25">
        <f t="shared" si="24"/>
        <v>5.3746443250078935E-3</v>
      </c>
      <c r="O562">
        <v>0.994625355674992</v>
      </c>
      <c r="P562" s="25">
        <f t="shared" si="26"/>
        <v>0.99462535567499211</v>
      </c>
      <c r="Q562">
        <v>25</v>
      </c>
      <c r="R562" t="s">
        <v>124</v>
      </c>
      <c r="S562" t="s">
        <v>124</v>
      </c>
      <c r="T562" t="s">
        <v>124</v>
      </c>
      <c r="U562" t="s">
        <v>124</v>
      </c>
      <c r="X562" s="19">
        <f>J562</f>
        <v>0.92537313432835822</v>
      </c>
      <c r="Y562" s="19">
        <f>N562</f>
        <v>5.3746443250078935E-3</v>
      </c>
      <c r="Z562" s="26">
        <f>(L562+Q562)/(L562+Q562+H562+K562)</f>
        <v>1.2006861063464836E-2</v>
      </c>
    </row>
    <row r="563" spans="1:26" x14ac:dyDescent="0.35">
      <c r="A563" t="s">
        <v>122</v>
      </c>
      <c r="B563" t="s">
        <v>122</v>
      </c>
      <c r="C563" t="s">
        <v>123</v>
      </c>
      <c r="D563" t="s">
        <v>100</v>
      </c>
      <c r="E563" t="s">
        <v>99</v>
      </c>
      <c r="F563" t="s">
        <v>12</v>
      </c>
      <c r="G563">
        <v>1</v>
      </c>
      <c r="H563">
        <v>310</v>
      </c>
      <c r="I563">
        <v>0.92537313432835799</v>
      </c>
      <c r="J563" s="25">
        <f t="shared" si="25"/>
        <v>0.92537313432835822</v>
      </c>
      <c r="K563">
        <v>3146</v>
      </c>
      <c r="L563">
        <v>17</v>
      </c>
      <c r="M563">
        <v>5.3746443250079004E-3</v>
      </c>
      <c r="N563" s="25">
        <f t="shared" si="24"/>
        <v>5.3746443250078935E-3</v>
      </c>
      <c r="O563">
        <v>0.994625355674992</v>
      </c>
      <c r="P563" s="25">
        <f t="shared" si="26"/>
        <v>0.99462535567499211</v>
      </c>
      <c r="Q563">
        <v>25</v>
      </c>
      <c r="R563" t="s">
        <v>124</v>
      </c>
      <c r="S563" t="s">
        <v>124</v>
      </c>
      <c r="T563" t="s">
        <v>124</v>
      </c>
      <c r="U563" t="s">
        <v>124</v>
      </c>
      <c r="X563" s="19">
        <f>J563</f>
        <v>0.92537313432835822</v>
      </c>
      <c r="Y563" s="19">
        <f>N563</f>
        <v>5.3746443250078935E-3</v>
      </c>
      <c r="Z563" s="26">
        <f>(L563+Q563)/(L563+Q563+H563+K563)</f>
        <v>1.2006861063464836E-2</v>
      </c>
    </row>
    <row r="564" spans="1:26" x14ac:dyDescent="0.35">
      <c r="A564" t="s">
        <v>122</v>
      </c>
      <c r="B564" t="s">
        <v>122</v>
      </c>
      <c r="C564" t="s">
        <v>123</v>
      </c>
      <c r="D564" t="s">
        <v>100</v>
      </c>
      <c r="E564" t="s">
        <v>99</v>
      </c>
      <c r="F564" t="s">
        <v>12</v>
      </c>
      <c r="G564">
        <v>1</v>
      </c>
      <c r="H564">
        <v>310</v>
      </c>
      <c r="I564">
        <v>0.92537313432835799</v>
      </c>
      <c r="J564" s="25">
        <f t="shared" si="25"/>
        <v>0.92537313432835822</v>
      </c>
      <c r="K564">
        <v>3146</v>
      </c>
      <c r="L564">
        <v>17</v>
      </c>
      <c r="M564">
        <v>5.3746443250079004E-3</v>
      </c>
      <c r="N564" s="25">
        <f t="shared" si="24"/>
        <v>5.3746443250078935E-3</v>
      </c>
      <c r="O564">
        <v>0.994625355674992</v>
      </c>
      <c r="P564" s="25">
        <f t="shared" si="26"/>
        <v>0.99462535567499211</v>
      </c>
      <c r="Q564">
        <v>25</v>
      </c>
      <c r="R564" t="s">
        <v>124</v>
      </c>
      <c r="S564" t="s">
        <v>124</v>
      </c>
      <c r="T564" t="s">
        <v>124</v>
      </c>
      <c r="U564" t="s">
        <v>124</v>
      </c>
      <c r="X564" s="19">
        <f>J564</f>
        <v>0.92537313432835822</v>
      </c>
      <c r="Y564" s="19">
        <f>N564</f>
        <v>5.3746443250078935E-3</v>
      </c>
      <c r="Z564" s="26">
        <f>(L564+Q564)/(L564+Q564+H564+K564)</f>
        <v>1.2006861063464836E-2</v>
      </c>
    </row>
    <row r="565" spans="1:26" x14ac:dyDescent="0.35">
      <c r="A565" t="s">
        <v>122</v>
      </c>
      <c r="B565" t="s">
        <v>122</v>
      </c>
      <c r="C565" t="s">
        <v>123</v>
      </c>
      <c r="D565" t="s">
        <v>100</v>
      </c>
      <c r="E565" t="s">
        <v>99</v>
      </c>
      <c r="F565" t="s">
        <v>12</v>
      </c>
      <c r="G565">
        <v>1</v>
      </c>
      <c r="H565">
        <v>310</v>
      </c>
      <c r="I565">
        <v>0.92537313432835799</v>
      </c>
      <c r="J565" s="25">
        <f t="shared" si="25"/>
        <v>0.92537313432835822</v>
      </c>
      <c r="K565">
        <v>3146</v>
      </c>
      <c r="L565">
        <v>17</v>
      </c>
      <c r="M565">
        <v>5.3746443250079004E-3</v>
      </c>
      <c r="N565" s="25">
        <f t="shared" si="24"/>
        <v>5.3746443250078935E-3</v>
      </c>
      <c r="O565">
        <v>0.994625355674992</v>
      </c>
      <c r="P565" s="25">
        <f t="shared" si="26"/>
        <v>0.99462535567499211</v>
      </c>
      <c r="Q565">
        <v>25</v>
      </c>
      <c r="R565" t="s">
        <v>124</v>
      </c>
      <c r="S565" t="s">
        <v>124</v>
      </c>
      <c r="T565" t="s">
        <v>124</v>
      </c>
      <c r="U565" t="s">
        <v>124</v>
      </c>
      <c r="X565" s="19">
        <f>J565</f>
        <v>0.92537313432835822</v>
      </c>
      <c r="Y565" s="19">
        <f>N565</f>
        <v>5.3746443250078935E-3</v>
      </c>
      <c r="Z565" s="26">
        <f>(L565+Q565)/(L565+Q565+H565+K565)</f>
        <v>1.2006861063464836E-2</v>
      </c>
    </row>
    <row r="566" spans="1:26" x14ac:dyDescent="0.35">
      <c r="A566" t="s">
        <v>122</v>
      </c>
      <c r="B566" t="s">
        <v>122</v>
      </c>
      <c r="C566" t="s">
        <v>123</v>
      </c>
      <c r="D566" t="s">
        <v>100</v>
      </c>
      <c r="E566" t="s">
        <v>99</v>
      </c>
      <c r="F566" t="s">
        <v>12</v>
      </c>
      <c r="G566">
        <v>1</v>
      </c>
      <c r="H566">
        <v>310</v>
      </c>
      <c r="I566">
        <v>0.92537313432835799</v>
      </c>
      <c r="J566" s="25">
        <f t="shared" si="25"/>
        <v>0.92537313432835822</v>
      </c>
      <c r="K566">
        <v>3146</v>
      </c>
      <c r="L566">
        <v>17</v>
      </c>
      <c r="M566">
        <v>5.3746443250079004E-3</v>
      </c>
      <c r="N566" s="25">
        <f t="shared" si="24"/>
        <v>5.3746443250078935E-3</v>
      </c>
      <c r="O566">
        <v>0.994625355674992</v>
      </c>
      <c r="P566" s="25">
        <f t="shared" si="26"/>
        <v>0.99462535567499211</v>
      </c>
      <c r="Q566">
        <v>25</v>
      </c>
      <c r="R566" t="s">
        <v>124</v>
      </c>
      <c r="S566" t="s">
        <v>124</v>
      </c>
      <c r="T566" t="s">
        <v>124</v>
      </c>
      <c r="U566" t="s">
        <v>124</v>
      </c>
      <c r="X566" s="19">
        <f>J566</f>
        <v>0.92537313432835822</v>
      </c>
      <c r="Y566" s="19">
        <f>N566</f>
        <v>5.3746443250078935E-3</v>
      </c>
      <c r="Z566" s="26">
        <f>(L566+Q566)/(L566+Q566+H566+K566)</f>
        <v>1.2006861063464836E-2</v>
      </c>
    </row>
    <row r="567" spans="1:26" x14ac:dyDescent="0.35">
      <c r="A567" t="s">
        <v>122</v>
      </c>
      <c r="B567" t="s">
        <v>122</v>
      </c>
      <c r="C567" t="s">
        <v>123</v>
      </c>
      <c r="D567" t="s">
        <v>100</v>
      </c>
      <c r="E567" t="s">
        <v>99</v>
      </c>
      <c r="F567" t="s">
        <v>12</v>
      </c>
      <c r="G567">
        <v>1</v>
      </c>
      <c r="H567">
        <v>310</v>
      </c>
      <c r="I567">
        <v>0.92537313432835799</v>
      </c>
      <c r="J567" s="25">
        <f t="shared" si="25"/>
        <v>0.92537313432835822</v>
      </c>
      <c r="K567">
        <v>3146</v>
      </c>
      <c r="L567">
        <v>17</v>
      </c>
      <c r="M567">
        <v>5.3746443250079004E-3</v>
      </c>
      <c r="N567" s="25">
        <f t="shared" si="24"/>
        <v>5.3746443250078935E-3</v>
      </c>
      <c r="O567">
        <v>0.994625355674992</v>
      </c>
      <c r="P567" s="25">
        <f t="shared" si="26"/>
        <v>0.99462535567499211</v>
      </c>
      <c r="Q567">
        <v>25</v>
      </c>
      <c r="R567" t="s">
        <v>124</v>
      </c>
      <c r="S567" t="s">
        <v>124</v>
      </c>
      <c r="T567" t="s">
        <v>124</v>
      </c>
      <c r="U567" t="s">
        <v>124</v>
      </c>
      <c r="X567" s="19">
        <f>J567</f>
        <v>0.92537313432835822</v>
      </c>
      <c r="Y567" s="19">
        <f>N567</f>
        <v>5.3746443250078935E-3</v>
      </c>
      <c r="Z567" s="26">
        <f>(L567+Q567)/(L567+Q567+H567+K567)</f>
        <v>1.2006861063464836E-2</v>
      </c>
    </row>
    <row r="568" spans="1:26" x14ac:dyDescent="0.35">
      <c r="A568" t="s">
        <v>122</v>
      </c>
      <c r="B568" t="s">
        <v>122</v>
      </c>
      <c r="C568" t="s">
        <v>123</v>
      </c>
      <c r="D568" t="s">
        <v>100</v>
      </c>
      <c r="E568" t="s">
        <v>99</v>
      </c>
      <c r="F568" t="s">
        <v>12</v>
      </c>
      <c r="G568">
        <v>1</v>
      </c>
      <c r="H568">
        <v>310</v>
      </c>
      <c r="I568">
        <v>0.92537313432835799</v>
      </c>
      <c r="J568" s="25">
        <f t="shared" si="25"/>
        <v>0.92537313432835822</v>
      </c>
      <c r="K568">
        <v>3146</v>
      </c>
      <c r="L568">
        <v>17</v>
      </c>
      <c r="M568">
        <v>5.3746443250079004E-3</v>
      </c>
      <c r="N568" s="25">
        <f t="shared" si="24"/>
        <v>5.3746443250078935E-3</v>
      </c>
      <c r="O568">
        <v>0.994625355674992</v>
      </c>
      <c r="P568" s="25">
        <f t="shared" si="26"/>
        <v>0.99462535567499211</v>
      </c>
      <c r="Q568">
        <v>25</v>
      </c>
      <c r="R568" t="s">
        <v>124</v>
      </c>
      <c r="S568" t="s">
        <v>124</v>
      </c>
      <c r="T568" t="s">
        <v>124</v>
      </c>
      <c r="U568" t="s">
        <v>124</v>
      </c>
      <c r="X568" s="19">
        <f>J568</f>
        <v>0.92537313432835822</v>
      </c>
      <c r="Y568" s="19">
        <f>N568</f>
        <v>5.3746443250078935E-3</v>
      </c>
      <c r="Z568" s="26">
        <f>(L568+Q568)/(L568+Q568+H568+K568)</f>
        <v>1.2006861063464836E-2</v>
      </c>
    </row>
    <row r="569" spans="1:26" x14ac:dyDescent="0.35">
      <c r="A569" t="s">
        <v>122</v>
      </c>
      <c r="B569" t="s">
        <v>122</v>
      </c>
      <c r="C569" t="s">
        <v>123</v>
      </c>
      <c r="D569" t="s">
        <v>100</v>
      </c>
      <c r="E569" t="s">
        <v>99</v>
      </c>
      <c r="F569" t="s">
        <v>12</v>
      </c>
      <c r="G569">
        <v>1</v>
      </c>
      <c r="H569">
        <v>310</v>
      </c>
      <c r="I569">
        <v>0.92537313432835799</v>
      </c>
      <c r="J569" s="25">
        <f t="shared" si="25"/>
        <v>0.92537313432835822</v>
      </c>
      <c r="K569">
        <v>3146</v>
      </c>
      <c r="L569">
        <v>17</v>
      </c>
      <c r="M569">
        <v>5.3746443250079004E-3</v>
      </c>
      <c r="N569" s="25">
        <f t="shared" si="24"/>
        <v>5.3746443250078935E-3</v>
      </c>
      <c r="O569">
        <v>0.994625355674992</v>
      </c>
      <c r="P569" s="25">
        <f t="shared" si="26"/>
        <v>0.99462535567499211</v>
      </c>
      <c r="Q569">
        <v>25</v>
      </c>
      <c r="R569" t="s">
        <v>124</v>
      </c>
      <c r="S569" t="s">
        <v>124</v>
      </c>
      <c r="T569" t="s">
        <v>124</v>
      </c>
      <c r="U569" t="s">
        <v>124</v>
      </c>
      <c r="X569" s="19">
        <f>J569</f>
        <v>0.92537313432835822</v>
      </c>
      <c r="Y569" s="19">
        <f>N569</f>
        <v>5.3746443250078935E-3</v>
      </c>
      <c r="Z569" s="26">
        <f>(L569+Q569)/(L569+Q569+H569+K569)</f>
        <v>1.2006861063464836E-2</v>
      </c>
    </row>
    <row r="570" spans="1:26" x14ac:dyDescent="0.35">
      <c r="A570" t="s">
        <v>122</v>
      </c>
      <c r="B570" t="s">
        <v>122</v>
      </c>
      <c r="C570" t="s">
        <v>123</v>
      </c>
      <c r="D570" t="s">
        <v>100</v>
      </c>
      <c r="E570" t="s">
        <v>99</v>
      </c>
      <c r="F570" t="s">
        <v>12</v>
      </c>
      <c r="G570">
        <v>1</v>
      </c>
      <c r="H570">
        <v>310</v>
      </c>
      <c r="I570">
        <v>0.92537313432835799</v>
      </c>
      <c r="J570" s="25">
        <f t="shared" si="25"/>
        <v>0.92537313432835822</v>
      </c>
      <c r="K570">
        <v>3146</v>
      </c>
      <c r="L570">
        <v>17</v>
      </c>
      <c r="M570">
        <v>5.3746443250079004E-3</v>
      </c>
      <c r="N570" s="25">
        <f t="shared" si="24"/>
        <v>5.3746443250078935E-3</v>
      </c>
      <c r="O570">
        <v>0.994625355674992</v>
      </c>
      <c r="P570" s="25">
        <f t="shared" si="26"/>
        <v>0.99462535567499211</v>
      </c>
      <c r="Q570">
        <v>25</v>
      </c>
      <c r="R570" t="s">
        <v>124</v>
      </c>
      <c r="S570" t="s">
        <v>124</v>
      </c>
      <c r="T570" t="s">
        <v>124</v>
      </c>
      <c r="U570" t="s">
        <v>124</v>
      </c>
      <c r="X570" s="19">
        <f>J570</f>
        <v>0.92537313432835822</v>
      </c>
      <c r="Y570" s="19">
        <f>N570</f>
        <v>5.3746443250078935E-3</v>
      </c>
      <c r="Z570" s="26">
        <f>(L570+Q570)/(L570+Q570+H570+K570)</f>
        <v>1.2006861063464836E-2</v>
      </c>
    </row>
    <row r="571" spans="1:26" x14ac:dyDescent="0.35">
      <c r="A571" t="s">
        <v>122</v>
      </c>
      <c r="B571" t="s">
        <v>122</v>
      </c>
      <c r="C571" t="s">
        <v>123</v>
      </c>
      <c r="D571" t="s">
        <v>100</v>
      </c>
      <c r="E571" t="s">
        <v>99</v>
      </c>
      <c r="F571" t="s">
        <v>12</v>
      </c>
      <c r="G571">
        <v>1</v>
      </c>
      <c r="H571">
        <v>310</v>
      </c>
      <c r="I571">
        <v>0.92537313432835799</v>
      </c>
      <c r="J571" s="25">
        <f t="shared" si="25"/>
        <v>0.92537313432835822</v>
      </c>
      <c r="K571">
        <v>3146</v>
      </c>
      <c r="L571">
        <v>17</v>
      </c>
      <c r="M571">
        <v>5.3746443250079004E-3</v>
      </c>
      <c r="N571" s="25">
        <f t="shared" si="24"/>
        <v>5.3746443250078935E-3</v>
      </c>
      <c r="O571">
        <v>0.994625355674992</v>
      </c>
      <c r="P571" s="25">
        <f t="shared" si="26"/>
        <v>0.99462535567499211</v>
      </c>
      <c r="Q571">
        <v>25</v>
      </c>
      <c r="R571" t="s">
        <v>124</v>
      </c>
      <c r="S571" t="s">
        <v>124</v>
      </c>
      <c r="T571" t="s">
        <v>124</v>
      </c>
      <c r="U571" t="s">
        <v>124</v>
      </c>
      <c r="X571" s="19">
        <f>J571</f>
        <v>0.92537313432835822</v>
      </c>
      <c r="Y571" s="19">
        <f>N571</f>
        <v>5.3746443250078935E-3</v>
      </c>
      <c r="Z571" s="26">
        <f>(L571+Q571)/(L571+Q571+H571+K571)</f>
        <v>1.2006861063464836E-2</v>
      </c>
    </row>
    <row r="572" spans="1:26" x14ac:dyDescent="0.35">
      <c r="A572" t="s">
        <v>122</v>
      </c>
      <c r="B572" t="s">
        <v>122</v>
      </c>
      <c r="C572" t="s">
        <v>123</v>
      </c>
      <c r="D572" t="s">
        <v>100</v>
      </c>
      <c r="E572" t="s">
        <v>99</v>
      </c>
      <c r="F572" t="s">
        <v>12</v>
      </c>
      <c r="G572">
        <v>1</v>
      </c>
      <c r="H572">
        <v>310</v>
      </c>
      <c r="I572">
        <v>0.92537313432835799</v>
      </c>
      <c r="J572" s="25">
        <f t="shared" si="25"/>
        <v>0.92537313432835822</v>
      </c>
      <c r="K572">
        <v>3146</v>
      </c>
      <c r="L572">
        <v>17</v>
      </c>
      <c r="M572">
        <v>5.3746443250079004E-3</v>
      </c>
      <c r="N572" s="25">
        <f t="shared" si="24"/>
        <v>5.3746443250078935E-3</v>
      </c>
      <c r="O572">
        <v>0.994625355674992</v>
      </c>
      <c r="P572" s="25">
        <f t="shared" si="26"/>
        <v>0.99462535567499211</v>
      </c>
      <c r="Q572">
        <v>25</v>
      </c>
      <c r="R572" t="s">
        <v>124</v>
      </c>
      <c r="S572" t="s">
        <v>124</v>
      </c>
      <c r="T572" t="s">
        <v>124</v>
      </c>
      <c r="U572" t="s">
        <v>124</v>
      </c>
      <c r="X572" s="19">
        <f>J572</f>
        <v>0.92537313432835822</v>
      </c>
      <c r="Y572" s="19">
        <f>N572</f>
        <v>5.3746443250078935E-3</v>
      </c>
      <c r="Z572" s="26">
        <f>(L572+Q572)/(L572+Q572+H572+K572)</f>
        <v>1.2006861063464836E-2</v>
      </c>
    </row>
    <row r="573" spans="1:26" x14ac:dyDescent="0.35">
      <c r="A573" t="s">
        <v>122</v>
      </c>
      <c r="B573" t="s">
        <v>122</v>
      </c>
      <c r="C573" t="s">
        <v>123</v>
      </c>
      <c r="D573" t="s">
        <v>100</v>
      </c>
      <c r="E573" t="s">
        <v>99</v>
      </c>
      <c r="F573" t="s">
        <v>12</v>
      </c>
      <c r="G573">
        <v>1</v>
      </c>
      <c r="H573">
        <v>310</v>
      </c>
      <c r="I573">
        <v>0.92537313432835799</v>
      </c>
      <c r="J573" s="25">
        <f t="shared" si="25"/>
        <v>0.92537313432835822</v>
      </c>
      <c r="K573">
        <v>3146</v>
      </c>
      <c r="L573">
        <v>17</v>
      </c>
      <c r="M573">
        <v>5.3746443250079004E-3</v>
      </c>
      <c r="N573" s="25">
        <f t="shared" si="24"/>
        <v>5.3746443250078935E-3</v>
      </c>
      <c r="O573">
        <v>0.994625355674992</v>
      </c>
      <c r="P573" s="25">
        <f t="shared" si="26"/>
        <v>0.99462535567499211</v>
      </c>
      <c r="Q573">
        <v>25</v>
      </c>
      <c r="R573" t="s">
        <v>124</v>
      </c>
      <c r="S573" t="s">
        <v>124</v>
      </c>
      <c r="T573" t="s">
        <v>124</v>
      </c>
      <c r="U573" t="s">
        <v>124</v>
      </c>
      <c r="X573" s="19">
        <f>J573</f>
        <v>0.92537313432835822</v>
      </c>
      <c r="Y573" s="19">
        <f>N573</f>
        <v>5.3746443250078935E-3</v>
      </c>
      <c r="Z573" s="26">
        <f>(L573+Q573)/(L573+Q573+H573+K573)</f>
        <v>1.2006861063464836E-2</v>
      </c>
    </row>
    <row r="574" spans="1:26" x14ac:dyDescent="0.35">
      <c r="A574" t="s">
        <v>122</v>
      </c>
      <c r="B574" t="s">
        <v>122</v>
      </c>
      <c r="C574" t="s">
        <v>123</v>
      </c>
      <c r="D574" t="s">
        <v>100</v>
      </c>
      <c r="E574" t="s">
        <v>99</v>
      </c>
      <c r="F574" t="s">
        <v>12</v>
      </c>
      <c r="G574">
        <v>1</v>
      </c>
      <c r="H574">
        <v>310</v>
      </c>
      <c r="I574">
        <v>0.92537313432835799</v>
      </c>
      <c r="J574" s="25">
        <f t="shared" si="25"/>
        <v>0.92537313432835822</v>
      </c>
      <c r="K574">
        <v>3146</v>
      </c>
      <c r="L574">
        <v>17</v>
      </c>
      <c r="M574">
        <v>5.3746443250079004E-3</v>
      </c>
      <c r="N574" s="25">
        <f t="shared" si="24"/>
        <v>5.3746443250078935E-3</v>
      </c>
      <c r="O574">
        <v>0.994625355674992</v>
      </c>
      <c r="P574" s="25">
        <f t="shared" si="26"/>
        <v>0.99462535567499211</v>
      </c>
      <c r="Q574">
        <v>25</v>
      </c>
      <c r="R574" t="s">
        <v>124</v>
      </c>
      <c r="S574" t="s">
        <v>124</v>
      </c>
      <c r="T574" t="s">
        <v>124</v>
      </c>
      <c r="U574" t="s">
        <v>124</v>
      </c>
      <c r="X574" s="19">
        <f>J574</f>
        <v>0.92537313432835822</v>
      </c>
      <c r="Y574" s="19">
        <f>N574</f>
        <v>5.3746443250078935E-3</v>
      </c>
      <c r="Z574" s="26">
        <f>(L574+Q574)/(L574+Q574+H574+K574)</f>
        <v>1.2006861063464836E-2</v>
      </c>
    </row>
    <row r="575" spans="1:26" x14ac:dyDescent="0.35">
      <c r="A575" t="s">
        <v>122</v>
      </c>
      <c r="B575" t="s">
        <v>122</v>
      </c>
      <c r="C575" t="s">
        <v>123</v>
      </c>
      <c r="D575" t="s">
        <v>100</v>
      </c>
      <c r="E575" t="s">
        <v>99</v>
      </c>
      <c r="F575" t="s">
        <v>12</v>
      </c>
      <c r="G575">
        <v>1</v>
      </c>
      <c r="H575">
        <v>310</v>
      </c>
      <c r="I575">
        <v>0.92537313432835799</v>
      </c>
      <c r="J575" s="25">
        <f t="shared" si="25"/>
        <v>0.92537313432835822</v>
      </c>
      <c r="K575">
        <v>3146</v>
      </c>
      <c r="L575">
        <v>17</v>
      </c>
      <c r="M575">
        <v>5.3746443250079004E-3</v>
      </c>
      <c r="N575" s="25">
        <f t="shared" si="24"/>
        <v>5.3746443250078935E-3</v>
      </c>
      <c r="O575">
        <v>0.994625355674992</v>
      </c>
      <c r="P575" s="25">
        <f t="shared" si="26"/>
        <v>0.99462535567499211</v>
      </c>
      <c r="Q575">
        <v>25</v>
      </c>
      <c r="R575" t="s">
        <v>124</v>
      </c>
      <c r="S575" t="s">
        <v>124</v>
      </c>
      <c r="T575" t="s">
        <v>124</v>
      </c>
      <c r="U575" t="s">
        <v>124</v>
      </c>
      <c r="X575" s="19">
        <f>J575</f>
        <v>0.92537313432835822</v>
      </c>
      <c r="Y575" s="19">
        <f>N575</f>
        <v>5.3746443250078935E-3</v>
      </c>
      <c r="Z575" s="26">
        <f>(L575+Q575)/(L575+Q575+H575+K575)</f>
        <v>1.2006861063464836E-2</v>
      </c>
    </row>
    <row r="576" spans="1:26" x14ac:dyDescent="0.35">
      <c r="A576" t="s">
        <v>122</v>
      </c>
      <c r="B576" t="s">
        <v>122</v>
      </c>
      <c r="C576" t="s">
        <v>123</v>
      </c>
      <c r="D576" t="s">
        <v>100</v>
      </c>
      <c r="E576" t="s">
        <v>99</v>
      </c>
      <c r="F576" t="s">
        <v>12</v>
      </c>
      <c r="G576">
        <v>1</v>
      </c>
      <c r="H576">
        <v>310</v>
      </c>
      <c r="I576">
        <v>0.92537313432835799</v>
      </c>
      <c r="J576" s="25">
        <f t="shared" si="25"/>
        <v>0.92537313432835822</v>
      </c>
      <c r="K576">
        <v>3146</v>
      </c>
      <c r="L576">
        <v>17</v>
      </c>
      <c r="M576">
        <v>5.3746443250079004E-3</v>
      </c>
      <c r="N576" s="25">
        <f t="shared" si="24"/>
        <v>5.3746443250078935E-3</v>
      </c>
      <c r="O576">
        <v>0.994625355674992</v>
      </c>
      <c r="P576" s="25">
        <f t="shared" si="26"/>
        <v>0.99462535567499211</v>
      </c>
      <c r="Q576">
        <v>25</v>
      </c>
      <c r="R576" t="s">
        <v>124</v>
      </c>
      <c r="S576" t="s">
        <v>124</v>
      </c>
      <c r="T576" t="s">
        <v>124</v>
      </c>
      <c r="U576" t="s">
        <v>124</v>
      </c>
      <c r="X576" s="19">
        <f>J576</f>
        <v>0.92537313432835822</v>
      </c>
      <c r="Y576" s="19">
        <f>N576</f>
        <v>5.3746443250078935E-3</v>
      </c>
      <c r="Z576" s="26">
        <f>(L576+Q576)/(L576+Q576+H576+K576)</f>
        <v>1.2006861063464836E-2</v>
      </c>
    </row>
    <row r="577" spans="1:26" x14ac:dyDescent="0.35">
      <c r="A577" t="s">
        <v>122</v>
      </c>
      <c r="B577" t="s">
        <v>122</v>
      </c>
      <c r="C577" t="s">
        <v>123</v>
      </c>
      <c r="D577" t="s">
        <v>100</v>
      </c>
      <c r="E577" t="s">
        <v>99</v>
      </c>
      <c r="F577" t="s">
        <v>12</v>
      </c>
      <c r="G577">
        <v>1</v>
      </c>
      <c r="H577">
        <v>310</v>
      </c>
      <c r="I577">
        <v>0.92537313432835799</v>
      </c>
      <c r="J577" s="25">
        <f t="shared" si="25"/>
        <v>0.92537313432835822</v>
      </c>
      <c r="K577">
        <v>3146</v>
      </c>
      <c r="L577">
        <v>17</v>
      </c>
      <c r="M577">
        <v>5.3746443250079004E-3</v>
      </c>
      <c r="N577" s="25">
        <f t="shared" si="24"/>
        <v>5.3746443250078935E-3</v>
      </c>
      <c r="O577">
        <v>0.994625355674992</v>
      </c>
      <c r="P577" s="25">
        <f t="shared" si="26"/>
        <v>0.99462535567499211</v>
      </c>
      <c r="Q577">
        <v>25</v>
      </c>
      <c r="R577" t="s">
        <v>124</v>
      </c>
      <c r="S577" t="s">
        <v>124</v>
      </c>
      <c r="T577" t="s">
        <v>124</v>
      </c>
      <c r="U577" t="s">
        <v>124</v>
      </c>
      <c r="X577" s="19">
        <f>J577</f>
        <v>0.92537313432835822</v>
      </c>
      <c r="Y577" s="19">
        <f>N577</f>
        <v>5.3746443250078935E-3</v>
      </c>
      <c r="Z577" s="26">
        <f>(L577+Q577)/(L577+Q577+H577+K577)</f>
        <v>1.2006861063464836E-2</v>
      </c>
    </row>
    <row r="578" spans="1:26" x14ac:dyDescent="0.35">
      <c r="A578" t="s">
        <v>122</v>
      </c>
      <c r="B578" t="s">
        <v>122</v>
      </c>
      <c r="C578" t="s">
        <v>123</v>
      </c>
      <c r="D578" t="s">
        <v>100</v>
      </c>
      <c r="E578" t="s">
        <v>99</v>
      </c>
      <c r="F578" t="s">
        <v>12</v>
      </c>
      <c r="G578">
        <v>1</v>
      </c>
      <c r="H578">
        <v>310</v>
      </c>
      <c r="I578">
        <v>0.92537313432835799</v>
      </c>
      <c r="J578" s="25">
        <f t="shared" si="25"/>
        <v>0.92537313432835822</v>
      </c>
      <c r="K578">
        <v>3146</v>
      </c>
      <c r="L578">
        <v>17</v>
      </c>
      <c r="M578">
        <v>5.3746443250079004E-3</v>
      </c>
      <c r="N578" s="25">
        <f t="shared" ref="N578:N641" si="27">1-P578</f>
        <v>5.3746443250078935E-3</v>
      </c>
      <c r="O578">
        <v>0.994625355674992</v>
      </c>
      <c r="P578" s="25">
        <f t="shared" si="26"/>
        <v>0.99462535567499211</v>
      </c>
      <c r="Q578">
        <v>25</v>
      </c>
      <c r="R578" t="s">
        <v>124</v>
      </c>
      <c r="S578" t="s">
        <v>124</v>
      </c>
      <c r="T578" t="s">
        <v>124</v>
      </c>
      <c r="U578" t="s">
        <v>124</v>
      </c>
      <c r="X578" s="19">
        <f>J578</f>
        <v>0.92537313432835822</v>
      </c>
      <c r="Y578" s="19">
        <f>N578</f>
        <v>5.3746443250078935E-3</v>
      </c>
      <c r="Z578" s="26">
        <f>(L578+Q578)/(L578+Q578+H578+K578)</f>
        <v>1.2006861063464836E-2</v>
      </c>
    </row>
    <row r="579" spans="1:26" x14ac:dyDescent="0.35">
      <c r="A579" t="s">
        <v>122</v>
      </c>
      <c r="B579" t="s">
        <v>122</v>
      </c>
      <c r="C579" t="s">
        <v>123</v>
      </c>
      <c r="D579" t="s">
        <v>100</v>
      </c>
      <c r="E579" t="s">
        <v>99</v>
      </c>
      <c r="F579" t="s">
        <v>12</v>
      </c>
      <c r="G579">
        <v>1</v>
      </c>
      <c r="H579">
        <v>310</v>
      </c>
      <c r="I579">
        <v>0.92537313432835799</v>
      </c>
      <c r="J579" s="25">
        <f t="shared" ref="J579:J642" si="28">H579/(H579+Q579)</f>
        <v>0.92537313432835822</v>
      </c>
      <c r="K579">
        <v>3146</v>
      </c>
      <c r="L579">
        <v>17</v>
      </c>
      <c r="M579">
        <v>5.3746443250079004E-3</v>
      </c>
      <c r="N579" s="25">
        <f t="shared" si="27"/>
        <v>5.3746443250078935E-3</v>
      </c>
      <c r="O579">
        <v>0.994625355674992</v>
      </c>
      <c r="P579" s="25">
        <f t="shared" ref="P579:P642" si="29">K579/(K579+L579)</f>
        <v>0.99462535567499211</v>
      </c>
      <c r="Q579">
        <v>25</v>
      </c>
      <c r="R579" t="s">
        <v>124</v>
      </c>
      <c r="S579" t="s">
        <v>124</v>
      </c>
      <c r="T579" t="s">
        <v>124</v>
      </c>
      <c r="U579" t="s">
        <v>124</v>
      </c>
      <c r="X579" s="19">
        <f>J579</f>
        <v>0.92537313432835822</v>
      </c>
      <c r="Y579" s="19">
        <f>N579</f>
        <v>5.3746443250078935E-3</v>
      </c>
      <c r="Z579" s="26">
        <f>(L579+Q579)/(L579+Q579+H579+K579)</f>
        <v>1.2006861063464836E-2</v>
      </c>
    </row>
    <row r="580" spans="1:26" x14ac:dyDescent="0.35">
      <c r="A580" t="s">
        <v>122</v>
      </c>
      <c r="B580" t="s">
        <v>122</v>
      </c>
      <c r="C580" t="s">
        <v>123</v>
      </c>
      <c r="D580" t="s">
        <v>100</v>
      </c>
      <c r="E580" t="s">
        <v>99</v>
      </c>
      <c r="F580" t="s">
        <v>12</v>
      </c>
      <c r="G580">
        <v>1</v>
      </c>
      <c r="H580">
        <v>310</v>
      </c>
      <c r="I580">
        <v>0.92537313432835799</v>
      </c>
      <c r="J580" s="25">
        <f t="shared" si="28"/>
        <v>0.92537313432835822</v>
      </c>
      <c r="K580">
        <v>3146</v>
      </c>
      <c r="L580">
        <v>17</v>
      </c>
      <c r="M580">
        <v>5.3746443250079004E-3</v>
      </c>
      <c r="N580" s="25">
        <f t="shared" si="27"/>
        <v>5.3746443250078935E-3</v>
      </c>
      <c r="O580">
        <v>0.994625355674992</v>
      </c>
      <c r="P580" s="25">
        <f t="shared" si="29"/>
        <v>0.99462535567499211</v>
      </c>
      <c r="Q580">
        <v>25</v>
      </c>
      <c r="R580" t="s">
        <v>124</v>
      </c>
      <c r="S580" t="s">
        <v>124</v>
      </c>
      <c r="T580" t="s">
        <v>124</v>
      </c>
      <c r="U580" t="s">
        <v>124</v>
      </c>
      <c r="X580" s="19">
        <f>J580</f>
        <v>0.92537313432835822</v>
      </c>
      <c r="Y580" s="19">
        <f>N580</f>
        <v>5.3746443250078935E-3</v>
      </c>
      <c r="Z580" s="26">
        <f>(L580+Q580)/(L580+Q580+H580+K580)</f>
        <v>1.2006861063464836E-2</v>
      </c>
    </row>
    <row r="581" spans="1:26" x14ac:dyDescent="0.35">
      <c r="A581" t="s">
        <v>122</v>
      </c>
      <c r="B581" t="s">
        <v>122</v>
      </c>
      <c r="C581" t="s">
        <v>123</v>
      </c>
      <c r="D581" t="s">
        <v>100</v>
      </c>
      <c r="E581" t="s">
        <v>99</v>
      </c>
      <c r="F581" t="s">
        <v>12</v>
      </c>
      <c r="G581">
        <v>1</v>
      </c>
      <c r="H581">
        <v>310</v>
      </c>
      <c r="I581">
        <v>0.92537313432835799</v>
      </c>
      <c r="J581" s="25">
        <f t="shared" si="28"/>
        <v>0.92537313432835822</v>
      </c>
      <c r="K581">
        <v>3146</v>
      </c>
      <c r="L581">
        <v>17</v>
      </c>
      <c r="M581">
        <v>5.3746443250079004E-3</v>
      </c>
      <c r="N581" s="25">
        <f t="shared" si="27"/>
        <v>5.3746443250078935E-3</v>
      </c>
      <c r="O581">
        <v>0.994625355674992</v>
      </c>
      <c r="P581" s="25">
        <f t="shared" si="29"/>
        <v>0.99462535567499211</v>
      </c>
      <c r="Q581">
        <v>25</v>
      </c>
      <c r="R581" t="s">
        <v>124</v>
      </c>
      <c r="S581" t="s">
        <v>124</v>
      </c>
      <c r="T581" t="s">
        <v>124</v>
      </c>
      <c r="U581" t="s">
        <v>124</v>
      </c>
      <c r="X581" s="19">
        <f>J581</f>
        <v>0.92537313432835822</v>
      </c>
      <c r="Y581" s="19">
        <f>N581</f>
        <v>5.3746443250078935E-3</v>
      </c>
      <c r="Z581" s="26">
        <f>(L581+Q581)/(L581+Q581+H581+K581)</f>
        <v>1.2006861063464836E-2</v>
      </c>
    </row>
    <row r="582" spans="1:26" x14ac:dyDescent="0.35">
      <c r="A582" t="s">
        <v>122</v>
      </c>
      <c r="B582" t="s">
        <v>122</v>
      </c>
      <c r="C582" t="s">
        <v>123</v>
      </c>
      <c r="D582" t="s">
        <v>100</v>
      </c>
      <c r="E582" t="s">
        <v>99</v>
      </c>
      <c r="F582" t="s">
        <v>12</v>
      </c>
      <c r="G582">
        <v>1</v>
      </c>
      <c r="H582">
        <v>310</v>
      </c>
      <c r="I582">
        <v>0.92537313432835799</v>
      </c>
      <c r="J582" s="25">
        <f t="shared" si="28"/>
        <v>0.92537313432835822</v>
      </c>
      <c r="K582">
        <v>3146</v>
      </c>
      <c r="L582">
        <v>17</v>
      </c>
      <c r="M582">
        <v>5.3746443250079004E-3</v>
      </c>
      <c r="N582" s="25">
        <f t="shared" si="27"/>
        <v>5.3746443250078935E-3</v>
      </c>
      <c r="O582">
        <v>0.994625355674992</v>
      </c>
      <c r="P582" s="25">
        <f t="shared" si="29"/>
        <v>0.99462535567499211</v>
      </c>
      <c r="Q582">
        <v>25</v>
      </c>
      <c r="R582" t="s">
        <v>124</v>
      </c>
      <c r="S582" t="s">
        <v>124</v>
      </c>
      <c r="T582" t="s">
        <v>124</v>
      </c>
      <c r="U582" t="s">
        <v>124</v>
      </c>
      <c r="X582" s="19">
        <f>J582</f>
        <v>0.92537313432835822</v>
      </c>
      <c r="Y582" s="19">
        <f>N582</f>
        <v>5.3746443250078935E-3</v>
      </c>
      <c r="Z582" s="26">
        <f>(L582+Q582)/(L582+Q582+H582+K582)</f>
        <v>1.2006861063464836E-2</v>
      </c>
    </row>
    <row r="583" spans="1:26" x14ac:dyDescent="0.35">
      <c r="A583" t="s">
        <v>122</v>
      </c>
      <c r="B583" t="s">
        <v>122</v>
      </c>
      <c r="C583" t="s">
        <v>123</v>
      </c>
      <c r="D583" t="s">
        <v>100</v>
      </c>
      <c r="E583" t="s">
        <v>99</v>
      </c>
      <c r="F583" t="s">
        <v>12</v>
      </c>
      <c r="G583">
        <v>1</v>
      </c>
      <c r="H583">
        <v>310</v>
      </c>
      <c r="I583">
        <v>0.92537313432835799</v>
      </c>
      <c r="J583" s="25">
        <f t="shared" si="28"/>
        <v>0.92537313432835822</v>
      </c>
      <c r="K583">
        <v>3146</v>
      </c>
      <c r="L583">
        <v>17</v>
      </c>
      <c r="M583">
        <v>5.3746443250079004E-3</v>
      </c>
      <c r="N583" s="25">
        <f t="shared" si="27"/>
        <v>5.3746443250078935E-3</v>
      </c>
      <c r="O583">
        <v>0.994625355674992</v>
      </c>
      <c r="P583" s="25">
        <f t="shared" si="29"/>
        <v>0.99462535567499211</v>
      </c>
      <c r="Q583">
        <v>25</v>
      </c>
      <c r="R583" t="s">
        <v>124</v>
      </c>
      <c r="S583" t="s">
        <v>124</v>
      </c>
      <c r="T583" t="s">
        <v>124</v>
      </c>
      <c r="U583" t="s">
        <v>124</v>
      </c>
      <c r="X583" s="19">
        <f>J583</f>
        <v>0.92537313432835822</v>
      </c>
      <c r="Y583" s="19">
        <f>N583</f>
        <v>5.3746443250078935E-3</v>
      </c>
      <c r="Z583" s="26">
        <f>(L583+Q583)/(L583+Q583+H583+K583)</f>
        <v>1.2006861063464836E-2</v>
      </c>
    </row>
    <row r="584" spans="1:26" x14ac:dyDescent="0.35">
      <c r="A584" t="s">
        <v>122</v>
      </c>
      <c r="B584" t="s">
        <v>122</v>
      </c>
      <c r="C584" t="s">
        <v>123</v>
      </c>
      <c r="D584" t="s">
        <v>100</v>
      </c>
      <c r="E584" t="s">
        <v>99</v>
      </c>
      <c r="F584" t="s">
        <v>12</v>
      </c>
      <c r="G584">
        <v>1</v>
      </c>
      <c r="H584">
        <v>310</v>
      </c>
      <c r="I584">
        <v>0.92537313432835799</v>
      </c>
      <c r="J584" s="25">
        <f t="shared" si="28"/>
        <v>0.92537313432835822</v>
      </c>
      <c r="K584">
        <v>3146</v>
      </c>
      <c r="L584">
        <v>17</v>
      </c>
      <c r="M584">
        <v>5.3746443250079004E-3</v>
      </c>
      <c r="N584" s="25">
        <f t="shared" si="27"/>
        <v>5.3746443250078935E-3</v>
      </c>
      <c r="O584">
        <v>0.994625355674992</v>
      </c>
      <c r="P584" s="25">
        <f t="shared" si="29"/>
        <v>0.99462535567499211</v>
      </c>
      <c r="Q584">
        <v>25</v>
      </c>
      <c r="R584" t="s">
        <v>124</v>
      </c>
      <c r="S584" t="s">
        <v>124</v>
      </c>
      <c r="T584" t="s">
        <v>124</v>
      </c>
      <c r="U584" t="s">
        <v>124</v>
      </c>
      <c r="X584" s="19">
        <f>J584</f>
        <v>0.92537313432835822</v>
      </c>
      <c r="Y584" s="19">
        <f>N584</f>
        <v>5.3746443250078935E-3</v>
      </c>
      <c r="Z584" s="26">
        <f>(L584+Q584)/(L584+Q584+H584+K584)</f>
        <v>1.2006861063464836E-2</v>
      </c>
    </row>
    <row r="585" spans="1:26" x14ac:dyDescent="0.35">
      <c r="A585" t="s">
        <v>122</v>
      </c>
      <c r="B585" t="s">
        <v>122</v>
      </c>
      <c r="C585" t="s">
        <v>123</v>
      </c>
      <c r="D585" t="s">
        <v>100</v>
      </c>
      <c r="E585" t="s">
        <v>99</v>
      </c>
      <c r="F585" t="s">
        <v>12</v>
      </c>
      <c r="G585">
        <v>1</v>
      </c>
      <c r="H585">
        <v>310</v>
      </c>
      <c r="I585">
        <v>0.92537313432835799</v>
      </c>
      <c r="J585" s="25">
        <f t="shared" si="28"/>
        <v>0.92537313432835822</v>
      </c>
      <c r="K585">
        <v>3146</v>
      </c>
      <c r="L585">
        <v>17</v>
      </c>
      <c r="M585">
        <v>5.3746443250079004E-3</v>
      </c>
      <c r="N585" s="25">
        <f t="shared" si="27"/>
        <v>5.3746443250078935E-3</v>
      </c>
      <c r="O585">
        <v>0.994625355674992</v>
      </c>
      <c r="P585" s="25">
        <f t="shared" si="29"/>
        <v>0.99462535567499211</v>
      </c>
      <c r="Q585">
        <v>25</v>
      </c>
      <c r="R585" t="s">
        <v>124</v>
      </c>
      <c r="S585" t="s">
        <v>124</v>
      </c>
      <c r="T585" t="s">
        <v>124</v>
      </c>
      <c r="U585" t="s">
        <v>124</v>
      </c>
      <c r="X585" s="19">
        <f>J585</f>
        <v>0.92537313432835822</v>
      </c>
      <c r="Y585" s="19">
        <f>N585</f>
        <v>5.3746443250078935E-3</v>
      </c>
      <c r="Z585" s="26">
        <f>(L585+Q585)/(L585+Q585+H585+K585)</f>
        <v>1.2006861063464836E-2</v>
      </c>
    </row>
    <row r="586" spans="1:26" x14ac:dyDescent="0.35">
      <c r="A586" t="s">
        <v>122</v>
      </c>
      <c r="B586" t="s">
        <v>122</v>
      </c>
      <c r="C586" t="s">
        <v>123</v>
      </c>
      <c r="D586" t="s">
        <v>100</v>
      </c>
      <c r="E586" t="s">
        <v>99</v>
      </c>
      <c r="F586" t="s">
        <v>12</v>
      </c>
      <c r="G586">
        <v>1</v>
      </c>
      <c r="H586">
        <v>310</v>
      </c>
      <c r="I586">
        <v>0.92537313432835799</v>
      </c>
      <c r="J586" s="25">
        <f t="shared" si="28"/>
        <v>0.92537313432835822</v>
      </c>
      <c r="K586">
        <v>3146</v>
      </c>
      <c r="L586">
        <v>17</v>
      </c>
      <c r="M586">
        <v>5.3746443250079004E-3</v>
      </c>
      <c r="N586" s="25">
        <f t="shared" si="27"/>
        <v>5.3746443250078935E-3</v>
      </c>
      <c r="O586">
        <v>0.994625355674992</v>
      </c>
      <c r="P586" s="25">
        <f t="shared" si="29"/>
        <v>0.99462535567499211</v>
      </c>
      <c r="Q586">
        <v>25</v>
      </c>
      <c r="R586" t="s">
        <v>124</v>
      </c>
      <c r="S586" t="s">
        <v>124</v>
      </c>
      <c r="T586" t="s">
        <v>124</v>
      </c>
      <c r="U586" t="s">
        <v>124</v>
      </c>
      <c r="X586" s="19">
        <f>J586</f>
        <v>0.92537313432835822</v>
      </c>
      <c r="Y586" s="19">
        <f>N586</f>
        <v>5.3746443250078935E-3</v>
      </c>
      <c r="Z586" s="26">
        <f>(L586+Q586)/(L586+Q586+H586+K586)</f>
        <v>1.2006861063464836E-2</v>
      </c>
    </row>
    <row r="587" spans="1:26" x14ac:dyDescent="0.35">
      <c r="A587" t="s">
        <v>122</v>
      </c>
      <c r="B587" t="s">
        <v>122</v>
      </c>
      <c r="C587" t="s">
        <v>123</v>
      </c>
      <c r="D587" t="s">
        <v>100</v>
      </c>
      <c r="E587" t="s">
        <v>99</v>
      </c>
      <c r="F587" t="s">
        <v>12</v>
      </c>
      <c r="G587">
        <v>1</v>
      </c>
      <c r="H587">
        <v>315</v>
      </c>
      <c r="I587">
        <v>0.94029850746268595</v>
      </c>
      <c r="J587" s="25">
        <f t="shared" si="28"/>
        <v>0.94029850746268662</v>
      </c>
      <c r="K587">
        <v>3139</v>
      </c>
      <c r="L587">
        <v>24</v>
      </c>
      <c r="M587">
        <v>7.5877331647170396E-3</v>
      </c>
      <c r="N587" s="25">
        <f t="shared" si="27"/>
        <v>7.5877331647170587E-3</v>
      </c>
      <c r="O587">
        <v>0.99241226683528205</v>
      </c>
      <c r="P587" s="25">
        <f t="shared" si="29"/>
        <v>0.99241226683528294</v>
      </c>
      <c r="Q587">
        <v>20</v>
      </c>
      <c r="R587" t="s">
        <v>124</v>
      </c>
      <c r="S587" t="s">
        <v>124</v>
      </c>
      <c r="T587" t="s">
        <v>124</v>
      </c>
      <c r="U587" t="s">
        <v>124</v>
      </c>
      <c r="X587" s="19">
        <f>J587</f>
        <v>0.94029850746268662</v>
      </c>
      <c r="Y587" s="19">
        <f>N587</f>
        <v>7.5877331647170587E-3</v>
      </c>
      <c r="Z587" s="26">
        <f>(L587+Q587)/(L587+Q587+H587+K587)</f>
        <v>1.2578616352201259E-2</v>
      </c>
    </row>
    <row r="588" spans="1:26" x14ac:dyDescent="0.35">
      <c r="A588" t="s">
        <v>122</v>
      </c>
      <c r="B588" t="s">
        <v>122</v>
      </c>
      <c r="C588" t="s">
        <v>123</v>
      </c>
      <c r="D588" t="s">
        <v>100</v>
      </c>
      <c r="E588" t="s">
        <v>99</v>
      </c>
      <c r="F588" t="s">
        <v>12</v>
      </c>
      <c r="G588">
        <v>1</v>
      </c>
      <c r="H588">
        <v>315</v>
      </c>
      <c r="I588">
        <v>0.94029850746268595</v>
      </c>
      <c r="J588" s="25">
        <f t="shared" si="28"/>
        <v>0.94029850746268662</v>
      </c>
      <c r="K588">
        <v>3139</v>
      </c>
      <c r="L588">
        <v>24</v>
      </c>
      <c r="M588">
        <v>7.5877331647170396E-3</v>
      </c>
      <c r="N588" s="25">
        <f t="shared" si="27"/>
        <v>7.5877331647170587E-3</v>
      </c>
      <c r="O588">
        <v>0.99241226683528205</v>
      </c>
      <c r="P588" s="25">
        <f t="shared" si="29"/>
        <v>0.99241226683528294</v>
      </c>
      <c r="Q588">
        <v>20</v>
      </c>
      <c r="R588" t="s">
        <v>124</v>
      </c>
      <c r="S588" t="s">
        <v>124</v>
      </c>
      <c r="T588" t="s">
        <v>124</v>
      </c>
      <c r="U588" t="s">
        <v>124</v>
      </c>
      <c r="X588" s="19">
        <f>J588</f>
        <v>0.94029850746268662</v>
      </c>
      <c r="Y588" s="19">
        <f>N588</f>
        <v>7.5877331647170587E-3</v>
      </c>
      <c r="Z588" s="26">
        <f>(L588+Q588)/(L588+Q588+H588+K588)</f>
        <v>1.2578616352201259E-2</v>
      </c>
    </row>
    <row r="589" spans="1:26" x14ac:dyDescent="0.35">
      <c r="A589" t="s">
        <v>122</v>
      </c>
      <c r="B589" t="s">
        <v>122</v>
      </c>
      <c r="C589" t="s">
        <v>123</v>
      </c>
      <c r="D589" t="s">
        <v>100</v>
      </c>
      <c r="E589" t="s">
        <v>99</v>
      </c>
      <c r="F589" t="s">
        <v>12</v>
      </c>
      <c r="G589">
        <v>1</v>
      </c>
      <c r="H589">
        <v>315</v>
      </c>
      <c r="I589">
        <v>0.94029850746268595</v>
      </c>
      <c r="J589" s="25">
        <f t="shared" si="28"/>
        <v>0.94029850746268662</v>
      </c>
      <c r="K589">
        <v>3139</v>
      </c>
      <c r="L589">
        <v>24</v>
      </c>
      <c r="M589">
        <v>7.5877331647170396E-3</v>
      </c>
      <c r="N589" s="25">
        <f t="shared" si="27"/>
        <v>7.5877331647170587E-3</v>
      </c>
      <c r="O589">
        <v>0.99241226683528205</v>
      </c>
      <c r="P589" s="25">
        <f t="shared" si="29"/>
        <v>0.99241226683528294</v>
      </c>
      <c r="Q589">
        <v>20</v>
      </c>
      <c r="R589" t="s">
        <v>124</v>
      </c>
      <c r="S589" t="s">
        <v>124</v>
      </c>
      <c r="T589" t="s">
        <v>124</v>
      </c>
      <c r="U589" t="s">
        <v>124</v>
      </c>
      <c r="X589" s="19">
        <f>J589</f>
        <v>0.94029850746268662</v>
      </c>
      <c r="Y589" s="19">
        <f>N589</f>
        <v>7.5877331647170587E-3</v>
      </c>
      <c r="Z589" s="26">
        <f>(L589+Q589)/(L589+Q589+H589+K589)</f>
        <v>1.2578616352201259E-2</v>
      </c>
    </row>
    <row r="590" spans="1:26" x14ac:dyDescent="0.35">
      <c r="A590" t="s">
        <v>122</v>
      </c>
      <c r="B590" t="s">
        <v>122</v>
      </c>
      <c r="C590" t="s">
        <v>123</v>
      </c>
      <c r="D590" t="s">
        <v>100</v>
      </c>
      <c r="E590" t="s">
        <v>99</v>
      </c>
      <c r="F590" t="s">
        <v>12</v>
      </c>
      <c r="G590">
        <v>1</v>
      </c>
      <c r="H590">
        <v>315</v>
      </c>
      <c r="I590">
        <v>0.94029850746268595</v>
      </c>
      <c r="J590" s="25">
        <f t="shared" si="28"/>
        <v>0.94029850746268662</v>
      </c>
      <c r="K590">
        <v>3139</v>
      </c>
      <c r="L590">
        <v>24</v>
      </c>
      <c r="M590">
        <v>7.5877331647170396E-3</v>
      </c>
      <c r="N590" s="25">
        <f t="shared" si="27"/>
        <v>7.5877331647170587E-3</v>
      </c>
      <c r="O590">
        <v>0.99241226683528205</v>
      </c>
      <c r="P590" s="25">
        <f t="shared" si="29"/>
        <v>0.99241226683528294</v>
      </c>
      <c r="Q590">
        <v>20</v>
      </c>
      <c r="R590" t="s">
        <v>124</v>
      </c>
      <c r="S590" t="s">
        <v>124</v>
      </c>
      <c r="T590" t="s">
        <v>124</v>
      </c>
      <c r="U590" t="s">
        <v>124</v>
      </c>
      <c r="X590" s="19">
        <f>J590</f>
        <v>0.94029850746268662</v>
      </c>
      <c r="Y590" s="19">
        <f>N590</f>
        <v>7.5877331647170587E-3</v>
      </c>
      <c r="Z590" s="26">
        <f>(L590+Q590)/(L590+Q590+H590+K590)</f>
        <v>1.2578616352201259E-2</v>
      </c>
    </row>
    <row r="591" spans="1:26" x14ac:dyDescent="0.35">
      <c r="A591" t="s">
        <v>122</v>
      </c>
      <c r="B591" t="s">
        <v>122</v>
      </c>
      <c r="C591" t="s">
        <v>123</v>
      </c>
      <c r="D591" t="s">
        <v>100</v>
      </c>
      <c r="E591" t="s">
        <v>99</v>
      </c>
      <c r="F591" t="s">
        <v>12</v>
      </c>
      <c r="G591">
        <v>1</v>
      </c>
      <c r="H591">
        <v>315</v>
      </c>
      <c r="I591">
        <v>0.94029850746268595</v>
      </c>
      <c r="J591" s="25">
        <f t="shared" si="28"/>
        <v>0.94029850746268662</v>
      </c>
      <c r="K591">
        <v>3139</v>
      </c>
      <c r="L591">
        <v>24</v>
      </c>
      <c r="M591">
        <v>7.5877331647170396E-3</v>
      </c>
      <c r="N591" s="25">
        <f t="shared" si="27"/>
        <v>7.5877331647170587E-3</v>
      </c>
      <c r="O591">
        <v>0.99241226683528205</v>
      </c>
      <c r="P591" s="25">
        <f t="shared" si="29"/>
        <v>0.99241226683528294</v>
      </c>
      <c r="Q591">
        <v>20</v>
      </c>
      <c r="R591" t="s">
        <v>124</v>
      </c>
      <c r="S591" t="s">
        <v>124</v>
      </c>
      <c r="T591" t="s">
        <v>124</v>
      </c>
      <c r="U591" t="s">
        <v>124</v>
      </c>
      <c r="X591" s="19">
        <f>J591</f>
        <v>0.94029850746268662</v>
      </c>
      <c r="Y591" s="19">
        <f>N591</f>
        <v>7.5877331647170587E-3</v>
      </c>
      <c r="Z591" s="26">
        <f>(L591+Q591)/(L591+Q591+H591+K591)</f>
        <v>1.2578616352201259E-2</v>
      </c>
    </row>
    <row r="592" spans="1:26" x14ac:dyDescent="0.35">
      <c r="A592" t="s">
        <v>122</v>
      </c>
      <c r="B592" t="s">
        <v>122</v>
      </c>
      <c r="C592" t="s">
        <v>123</v>
      </c>
      <c r="D592" t="s">
        <v>100</v>
      </c>
      <c r="E592" t="s">
        <v>99</v>
      </c>
      <c r="F592" t="s">
        <v>12</v>
      </c>
      <c r="G592">
        <v>1</v>
      </c>
      <c r="H592">
        <v>315</v>
      </c>
      <c r="I592">
        <v>0.94029850746268595</v>
      </c>
      <c r="J592" s="25">
        <f t="shared" si="28"/>
        <v>0.94029850746268662</v>
      </c>
      <c r="K592">
        <v>3139</v>
      </c>
      <c r="L592">
        <v>24</v>
      </c>
      <c r="M592">
        <v>7.5877331647170396E-3</v>
      </c>
      <c r="N592" s="25">
        <f t="shared" si="27"/>
        <v>7.5877331647170587E-3</v>
      </c>
      <c r="O592">
        <v>0.99241226683528205</v>
      </c>
      <c r="P592" s="25">
        <f t="shared" si="29"/>
        <v>0.99241226683528294</v>
      </c>
      <c r="Q592">
        <v>20</v>
      </c>
      <c r="R592" t="s">
        <v>124</v>
      </c>
      <c r="S592" t="s">
        <v>124</v>
      </c>
      <c r="T592" t="s">
        <v>124</v>
      </c>
      <c r="U592" t="s">
        <v>124</v>
      </c>
      <c r="X592" s="19">
        <f>J592</f>
        <v>0.94029850746268662</v>
      </c>
      <c r="Y592" s="19">
        <f>N592</f>
        <v>7.5877331647170587E-3</v>
      </c>
      <c r="Z592" s="26">
        <f>(L592+Q592)/(L592+Q592+H592+K592)</f>
        <v>1.2578616352201259E-2</v>
      </c>
    </row>
    <row r="593" spans="1:26" x14ac:dyDescent="0.35">
      <c r="A593" t="s">
        <v>122</v>
      </c>
      <c r="B593" t="s">
        <v>122</v>
      </c>
      <c r="C593" t="s">
        <v>123</v>
      </c>
      <c r="D593" t="s">
        <v>100</v>
      </c>
      <c r="E593" t="s">
        <v>99</v>
      </c>
      <c r="F593" t="s">
        <v>12</v>
      </c>
      <c r="G593">
        <v>1</v>
      </c>
      <c r="H593">
        <v>315</v>
      </c>
      <c r="I593">
        <v>0.94029850746268595</v>
      </c>
      <c r="J593" s="25">
        <f t="shared" si="28"/>
        <v>0.94029850746268662</v>
      </c>
      <c r="K593">
        <v>3139</v>
      </c>
      <c r="L593">
        <v>24</v>
      </c>
      <c r="M593">
        <v>7.5877331647170396E-3</v>
      </c>
      <c r="N593" s="25">
        <f t="shared" si="27"/>
        <v>7.5877331647170587E-3</v>
      </c>
      <c r="O593">
        <v>0.99241226683528205</v>
      </c>
      <c r="P593" s="25">
        <f t="shared" si="29"/>
        <v>0.99241226683528294</v>
      </c>
      <c r="Q593">
        <v>20</v>
      </c>
      <c r="R593" t="s">
        <v>124</v>
      </c>
      <c r="S593" t="s">
        <v>124</v>
      </c>
      <c r="T593" t="s">
        <v>124</v>
      </c>
      <c r="U593" t="s">
        <v>124</v>
      </c>
      <c r="X593" s="19">
        <f>J593</f>
        <v>0.94029850746268662</v>
      </c>
      <c r="Y593" s="19">
        <f>N593</f>
        <v>7.5877331647170587E-3</v>
      </c>
      <c r="Z593" s="26">
        <f>(L593+Q593)/(L593+Q593+H593+K593)</f>
        <v>1.2578616352201259E-2</v>
      </c>
    </row>
    <row r="594" spans="1:26" x14ac:dyDescent="0.35">
      <c r="A594" t="s">
        <v>122</v>
      </c>
      <c r="B594" t="s">
        <v>122</v>
      </c>
      <c r="C594" t="s">
        <v>123</v>
      </c>
      <c r="D594" t="s">
        <v>100</v>
      </c>
      <c r="E594" t="s">
        <v>99</v>
      </c>
      <c r="F594" t="s">
        <v>12</v>
      </c>
      <c r="G594">
        <v>1</v>
      </c>
      <c r="H594">
        <v>315</v>
      </c>
      <c r="I594">
        <v>0.94029850746268595</v>
      </c>
      <c r="J594" s="25">
        <f t="shared" si="28"/>
        <v>0.94029850746268662</v>
      </c>
      <c r="K594">
        <v>3139</v>
      </c>
      <c r="L594">
        <v>24</v>
      </c>
      <c r="M594">
        <v>7.5877331647170396E-3</v>
      </c>
      <c r="N594" s="25">
        <f t="shared" si="27"/>
        <v>7.5877331647170587E-3</v>
      </c>
      <c r="O594">
        <v>0.99241226683528205</v>
      </c>
      <c r="P594" s="25">
        <f t="shared" si="29"/>
        <v>0.99241226683528294</v>
      </c>
      <c r="Q594">
        <v>20</v>
      </c>
      <c r="R594" t="s">
        <v>124</v>
      </c>
      <c r="S594" t="s">
        <v>124</v>
      </c>
      <c r="T594" t="s">
        <v>124</v>
      </c>
      <c r="U594" t="s">
        <v>124</v>
      </c>
      <c r="X594" s="19">
        <f>J594</f>
        <v>0.94029850746268662</v>
      </c>
      <c r="Y594" s="19">
        <f>N594</f>
        <v>7.5877331647170587E-3</v>
      </c>
      <c r="Z594" s="26">
        <f>(L594+Q594)/(L594+Q594+H594+K594)</f>
        <v>1.2578616352201259E-2</v>
      </c>
    </row>
    <row r="595" spans="1:26" x14ac:dyDescent="0.35">
      <c r="A595" t="s">
        <v>122</v>
      </c>
      <c r="B595" t="s">
        <v>122</v>
      </c>
      <c r="C595" t="s">
        <v>123</v>
      </c>
      <c r="D595" t="s">
        <v>100</v>
      </c>
      <c r="E595" t="s">
        <v>99</v>
      </c>
      <c r="F595" t="s">
        <v>12</v>
      </c>
      <c r="G595">
        <v>1</v>
      </c>
      <c r="H595">
        <v>315</v>
      </c>
      <c r="I595">
        <v>0.94029850746268595</v>
      </c>
      <c r="J595" s="25">
        <f t="shared" si="28"/>
        <v>0.94029850746268662</v>
      </c>
      <c r="K595">
        <v>3139</v>
      </c>
      <c r="L595">
        <v>24</v>
      </c>
      <c r="M595">
        <v>7.5877331647170396E-3</v>
      </c>
      <c r="N595" s="25">
        <f t="shared" si="27"/>
        <v>7.5877331647170587E-3</v>
      </c>
      <c r="O595">
        <v>0.99241226683528205</v>
      </c>
      <c r="P595" s="25">
        <f t="shared" si="29"/>
        <v>0.99241226683528294</v>
      </c>
      <c r="Q595">
        <v>20</v>
      </c>
      <c r="R595" t="s">
        <v>124</v>
      </c>
      <c r="S595" t="s">
        <v>124</v>
      </c>
      <c r="T595" t="s">
        <v>124</v>
      </c>
      <c r="U595" t="s">
        <v>124</v>
      </c>
      <c r="X595" s="19">
        <f>J595</f>
        <v>0.94029850746268662</v>
      </c>
      <c r="Y595" s="19">
        <f>N595</f>
        <v>7.5877331647170587E-3</v>
      </c>
      <c r="Z595" s="26">
        <f>(L595+Q595)/(L595+Q595+H595+K595)</f>
        <v>1.2578616352201259E-2</v>
      </c>
    </row>
    <row r="596" spans="1:26" x14ac:dyDescent="0.35">
      <c r="A596" t="s">
        <v>122</v>
      </c>
      <c r="B596" t="s">
        <v>122</v>
      </c>
      <c r="C596" t="s">
        <v>123</v>
      </c>
      <c r="D596" t="s">
        <v>100</v>
      </c>
      <c r="E596" t="s">
        <v>99</v>
      </c>
      <c r="F596" t="s">
        <v>12</v>
      </c>
      <c r="G596">
        <v>1</v>
      </c>
      <c r="H596">
        <v>315</v>
      </c>
      <c r="I596">
        <v>0.94029850746268595</v>
      </c>
      <c r="J596" s="25">
        <f t="shared" si="28"/>
        <v>0.94029850746268662</v>
      </c>
      <c r="K596">
        <v>3139</v>
      </c>
      <c r="L596">
        <v>24</v>
      </c>
      <c r="M596">
        <v>7.5877331647170396E-3</v>
      </c>
      <c r="N596" s="25">
        <f t="shared" si="27"/>
        <v>7.5877331647170587E-3</v>
      </c>
      <c r="O596">
        <v>0.99241226683528205</v>
      </c>
      <c r="P596" s="25">
        <f t="shared" si="29"/>
        <v>0.99241226683528294</v>
      </c>
      <c r="Q596">
        <v>20</v>
      </c>
      <c r="R596" t="s">
        <v>124</v>
      </c>
      <c r="S596" t="s">
        <v>124</v>
      </c>
      <c r="T596" t="s">
        <v>124</v>
      </c>
      <c r="U596" t="s">
        <v>124</v>
      </c>
      <c r="X596" s="19">
        <f>J596</f>
        <v>0.94029850746268662</v>
      </c>
      <c r="Y596" s="19">
        <f>N596</f>
        <v>7.5877331647170587E-3</v>
      </c>
      <c r="Z596" s="26">
        <f>(L596+Q596)/(L596+Q596+H596+K596)</f>
        <v>1.2578616352201259E-2</v>
      </c>
    </row>
    <row r="597" spans="1:26" x14ac:dyDescent="0.35">
      <c r="A597" t="s">
        <v>122</v>
      </c>
      <c r="B597" t="s">
        <v>122</v>
      </c>
      <c r="C597" t="s">
        <v>123</v>
      </c>
      <c r="D597" t="s">
        <v>100</v>
      </c>
      <c r="E597" t="s">
        <v>99</v>
      </c>
      <c r="F597" t="s">
        <v>12</v>
      </c>
      <c r="G597">
        <v>1</v>
      </c>
      <c r="H597">
        <v>315</v>
      </c>
      <c r="I597">
        <v>0.94029850746268595</v>
      </c>
      <c r="J597" s="25">
        <f t="shared" si="28"/>
        <v>0.94029850746268662</v>
      </c>
      <c r="K597">
        <v>3139</v>
      </c>
      <c r="L597">
        <v>24</v>
      </c>
      <c r="M597">
        <v>7.5877331647170396E-3</v>
      </c>
      <c r="N597" s="25">
        <f t="shared" si="27"/>
        <v>7.5877331647170587E-3</v>
      </c>
      <c r="O597">
        <v>0.99241226683528205</v>
      </c>
      <c r="P597" s="25">
        <f t="shared" si="29"/>
        <v>0.99241226683528294</v>
      </c>
      <c r="Q597">
        <v>20</v>
      </c>
      <c r="R597" t="s">
        <v>124</v>
      </c>
      <c r="S597" t="s">
        <v>124</v>
      </c>
      <c r="T597" t="s">
        <v>124</v>
      </c>
      <c r="U597" t="s">
        <v>124</v>
      </c>
      <c r="X597" s="19">
        <f>J597</f>
        <v>0.94029850746268662</v>
      </c>
      <c r="Y597" s="19">
        <f>N597</f>
        <v>7.5877331647170587E-3</v>
      </c>
      <c r="Z597" s="26">
        <f>(L597+Q597)/(L597+Q597+H597+K597)</f>
        <v>1.2578616352201259E-2</v>
      </c>
    </row>
    <row r="598" spans="1:26" x14ac:dyDescent="0.35">
      <c r="A598" t="s">
        <v>122</v>
      </c>
      <c r="B598" t="s">
        <v>122</v>
      </c>
      <c r="C598" t="s">
        <v>123</v>
      </c>
      <c r="D598" t="s">
        <v>100</v>
      </c>
      <c r="E598" t="s">
        <v>99</v>
      </c>
      <c r="F598" t="s">
        <v>12</v>
      </c>
      <c r="G598">
        <v>1</v>
      </c>
      <c r="H598">
        <v>315</v>
      </c>
      <c r="I598">
        <v>0.94029850746268595</v>
      </c>
      <c r="J598" s="25">
        <f t="shared" si="28"/>
        <v>0.94029850746268662</v>
      </c>
      <c r="K598">
        <v>3139</v>
      </c>
      <c r="L598">
        <v>24</v>
      </c>
      <c r="M598">
        <v>7.5877331647170396E-3</v>
      </c>
      <c r="N598" s="25">
        <f t="shared" si="27"/>
        <v>7.5877331647170587E-3</v>
      </c>
      <c r="O598">
        <v>0.99241226683528205</v>
      </c>
      <c r="P598" s="25">
        <f t="shared" si="29"/>
        <v>0.99241226683528294</v>
      </c>
      <c r="Q598">
        <v>20</v>
      </c>
      <c r="R598" t="s">
        <v>124</v>
      </c>
      <c r="S598" t="s">
        <v>124</v>
      </c>
      <c r="T598" t="s">
        <v>124</v>
      </c>
      <c r="U598" t="s">
        <v>124</v>
      </c>
      <c r="X598" s="19">
        <f>J598</f>
        <v>0.94029850746268662</v>
      </c>
      <c r="Y598" s="19">
        <f>N598</f>
        <v>7.5877331647170587E-3</v>
      </c>
      <c r="Z598" s="26">
        <f>(L598+Q598)/(L598+Q598+H598+K598)</f>
        <v>1.2578616352201259E-2</v>
      </c>
    </row>
    <row r="599" spans="1:26" x14ac:dyDescent="0.35">
      <c r="A599" t="s">
        <v>122</v>
      </c>
      <c r="B599" t="s">
        <v>122</v>
      </c>
      <c r="C599" t="s">
        <v>123</v>
      </c>
      <c r="D599" t="s">
        <v>100</v>
      </c>
      <c r="E599" t="s">
        <v>99</v>
      </c>
      <c r="F599" t="s">
        <v>12</v>
      </c>
      <c r="G599">
        <v>1</v>
      </c>
      <c r="H599">
        <v>315</v>
      </c>
      <c r="I599">
        <v>0.94029850746268595</v>
      </c>
      <c r="J599" s="25">
        <f t="shared" si="28"/>
        <v>0.94029850746268662</v>
      </c>
      <c r="K599">
        <v>3139</v>
      </c>
      <c r="L599">
        <v>24</v>
      </c>
      <c r="M599">
        <v>7.5877331647170396E-3</v>
      </c>
      <c r="N599" s="25">
        <f t="shared" si="27"/>
        <v>7.5877331647170587E-3</v>
      </c>
      <c r="O599">
        <v>0.99241226683528205</v>
      </c>
      <c r="P599" s="25">
        <f t="shared" si="29"/>
        <v>0.99241226683528294</v>
      </c>
      <c r="Q599">
        <v>20</v>
      </c>
      <c r="R599" t="s">
        <v>124</v>
      </c>
      <c r="S599" t="s">
        <v>124</v>
      </c>
      <c r="T599" t="s">
        <v>124</v>
      </c>
      <c r="U599" t="s">
        <v>124</v>
      </c>
      <c r="X599" s="19">
        <f>J599</f>
        <v>0.94029850746268662</v>
      </c>
      <c r="Y599" s="19">
        <f>N599</f>
        <v>7.5877331647170587E-3</v>
      </c>
      <c r="Z599" s="26">
        <f>(L599+Q599)/(L599+Q599+H599+K599)</f>
        <v>1.2578616352201259E-2</v>
      </c>
    </row>
    <row r="600" spans="1:26" x14ac:dyDescent="0.35">
      <c r="A600" t="s">
        <v>122</v>
      </c>
      <c r="B600" t="s">
        <v>122</v>
      </c>
      <c r="C600" t="s">
        <v>123</v>
      </c>
      <c r="D600" t="s">
        <v>100</v>
      </c>
      <c r="E600" t="s">
        <v>99</v>
      </c>
      <c r="F600" t="s">
        <v>12</v>
      </c>
      <c r="G600">
        <v>1</v>
      </c>
      <c r="H600">
        <v>315</v>
      </c>
      <c r="I600">
        <v>0.94029850746268595</v>
      </c>
      <c r="J600" s="25">
        <f t="shared" si="28"/>
        <v>0.94029850746268662</v>
      </c>
      <c r="K600">
        <v>3139</v>
      </c>
      <c r="L600">
        <v>24</v>
      </c>
      <c r="M600">
        <v>7.5877331647170396E-3</v>
      </c>
      <c r="N600" s="25">
        <f t="shared" si="27"/>
        <v>7.5877331647170587E-3</v>
      </c>
      <c r="O600">
        <v>0.99241226683528205</v>
      </c>
      <c r="P600" s="25">
        <f t="shared" si="29"/>
        <v>0.99241226683528294</v>
      </c>
      <c r="Q600">
        <v>20</v>
      </c>
      <c r="R600" t="s">
        <v>124</v>
      </c>
      <c r="S600" t="s">
        <v>124</v>
      </c>
      <c r="T600" t="s">
        <v>124</v>
      </c>
      <c r="U600" t="s">
        <v>124</v>
      </c>
      <c r="X600" s="19">
        <f>J600</f>
        <v>0.94029850746268662</v>
      </c>
      <c r="Y600" s="19">
        <f>N600</f>
        <v>7.5877331647170587E-3</v>
      </c>
      <c r="Z600" s="26">
        <f>(L600+Q600)/(L600+Q600+H600+K600)</f>
        <v>1.2578616352201259E-2</v>
      </c>
    </row>
    <row r="601" spans="1:26" x14ac:dyDescent="0.35">
      <c r="A601" t="s">
        <v>122</v>
      </c>
      <c r="B601" t="s">
        <v>122</v>
      </c>
      <c r="C601" t="s">
        <v>123</v>
      </c>
      <c r="D601" t="s">
        <v>100</v>
      </c>
      <c r="E601" t="s">
        <v>99</v>
      </c>
      <c r="F601" t="s">
        <v>12</v>
      </c>
      <c r="G601">
        <v>1</v>
      </c>
      <c r="H601">
        <v>315</v>
      </c>
      <c r="I601">
        <v>0.94029850746268595</v>
      </c>
      <c r="J601" s="25">
        <f t="shared" si="28"/>
        <v>0.94029850746268662</v>
      </c>
      <c r="K601">
        <v>3139</v>
      </c>
      <c r="L601">
        <v>24</v>
      </c>
      <c r="M601">
        <v>7.5877331647170396E-3</v>
      </c>
      <c r="N601" s="25">
        <f t="shared" si="27"/>
        <v>7.5877331647170587E-3</v>
      </c>
      <c r="O601">
        <v>0.99241226683528205</v>
      </c>
      <c r="P601" s="25">
        <f t="shared" si="29"/>
        <v>0.99241226683528294</v>
      </c>
      <c r="Q601">
        <v>20</v>
      </c>
      <c r="R601" t="s">
        <v>124</v>
      </c>
      <c r="S601" t="s">
        <v>124</v>
      </c>
      <c r="T601" t="s">
        <v>124</v>
      </c>
      <c r="U601" t="s">
        <v>124</v>
      </c>
      <c r="X601" s="19">
        <f>J601</f>
        <v>0.94029850746268662</v>
      </c>
      <c r="Y601" s="19">
        <f>N601</f>
        <v>7.5877331647170587E-3</v>
      </c>
      <c r="Z601" s="26">
        <f>(L601+Q601)/(L601+Q601+H601+K601)</f>
        <v>1.2578616352201259E-2</v>
      </c>
    </row>
    <row r="602" spans="1:26" x14ac:dyDescent="0.35">
      <c r="A602" t="s">
        <v>122</v>
      </c>
      <c r="B602" t="s">
        <v>122</v>
      </c>
      <c r="C602" t="s">
        <v>123</v>
      </c>
      <c r="D602" t="s">
        <v>100</v>
      </c>
      <c r="E602" t="s">
        <v>99</v>
      </c>
      <c r="F602" t="s">
        <v>12</v>
      </c>
      <c r="G602">
        <v>1</v>
      </c>
      <c r="H602">
        <v>315</v>
      </c>
      <c r="I602">
        <v>0.94029850746268595</v>
      </c>
      <c r="J602" s="25">
        <f t="shared" si="28"/>
        <v>0.94029850746268662</v>
      </c>
      <c r="K602">
        <v>3139</v>
      </c>
      <c r="L602">
        <v>24</v>
      </c>
      <c r="M602">
        <v>7.5877331647170396E-3</v>
      </c>
      <c r="N602" s="25">
        <f t="shared" si="27"/>
        <v>7.5877331647170587E-3</v>
      </c>
      <c r="O602">
        <v>0.99241226683528205</v>
      </c>
      <c r="P602" s="25">
        <f t="shared" si="29"/>
        <v>0.99241226683528294</v>
      </c>
      <c r="Q602">
        <v>20</v>
      </c>
      <c r="R602" t="s">
        <v>124</v>
      </c>
      <c r="S602" t="s">
        <v>124</v>
      </c>
      <c r="T602" t="s">
        <v>124</v>
      </c>
      <c r="U602" t="s">
        <v>124</v>
      </c>
      <c r="X602" s="19">
        <f>J602</f>
        <v>0.94029850746268662</v>
      </c>
      <c r="Y602" s="19">
        <f>N602</f>
        <v>7.5877331647170587E-3</v>
      </c>
      <c r="Z602" s="26">
        <f>(L602+Q602)/(L602+Q602+H602+K602)</f>
        <v>1.2578616352201259E-2</v>
      </c>
    </row>
    <row r="603" spans="1:26" x14ac:dyDescent="0.35">
      <c r="A603" t="s">
        <v>122</v>
      </c>
      <c r="B603" t="s">
        <v>122</v>
      </c>
      <c r="C603" t="s">
        <v>123</v>
      </c>
      <c r="D603" t="s">
        <v>100</v>
      </c>
      <c r="E603" t="s">
        <v>99</v>
      </c>
      <c r="F603" t="s">
        <v>12</v>
      </c>
      <c r="G603">
        <v>1</v>
      </c>
      <c r="H603">
        <v>315</v>
      </c>
      <c r="I603">
        <v>0.94029850746268595</v>
      </c>
      <c r="J603" s="25">
        <f t="shared" si="28"/>
        <v>0.94029850746268662</v>
      </c>
      <c r="K603">
        <v>3139</v>
      </c>
      <c r="L603">
        <v>24</v>
      </c>
      <c r="M603">
        <v>7.5877331647170396E-3</v>
      </c>
      <c r="N603" s="25">
        <f t="shared" si="27"/>
        <v>7.5877331647170587E-3</v>
      </c>
      <c r="O603">
        <v>0.99241226683528205</v>
      </c>
      <c r="P603" s="25">
        <f t="shared" si="29"/>
        <v>0.99241226683528294</v>
      </c>
      <c r="Q603">
        <v>20</v>
      </c>
      <c r="R603" t="s">
        <v>124</v>
      </c>
      <c r="S603" t="s">
        <v>124</v>
      </c>
      <c r="T603" t="s">
        <v>124</v>
      </c>
      <c r="U603" t="s">
        <v>124</v>
      </c>
      <c r="X603" s="19">
        <f>J603</f>
        <v>0.94029850746268662</v>
      </c>
      <c r="Y603" s="19">
        <f>N603</f>
        <v>7.5877331647170587E-3</v>
      </c>
      <c r="Z603" s="26">
        <f>(L603+Q603)/(L603+Q603+H603+K603)</f>
        <v>1.2578616352201259E-2</v>
      </c>
    </row>
    <row r="604" spans="1:26" x14ac:dyDescent="0.35">
      <c r="A604" t="s">
        <v>122</v>
      </c>
      <c r="B604" t="s">
        <v>122</v>
      </c>
      <c r="C604" t="s">
        <v>123</v>
      </c>
      <c r="D604" t="s">
        <v>100</v>
      </c>
      <c r="E604" t="s">
        <v>99</v>
      </c>
      <c r="F604" t="s">
        <v>12</v>
      </c>
      <c r="G604">
        <v>1</v>
      </c>
      <c r="H604">
        <v>315</v>
      </c>
      <c r="I604">
        <v>0.94029850746268595</v>
      </c>
      <c r="J604" s="25">
        <f t="shared" si="28"/>
        <v>0.94029850746268662</v>
      </c>
      <c r="K604">
        <v>3139</v>
      </c>
      <c r="L604">
        <v>24</v>
      </c>
      <c r="M604">
        <v>7.5877331647170396E-3</v>
      </c>
      <c r="N604" s="25">
        <f t="shared" si="27"/>
        <v>7.5877331647170587E-3</v>
      </c>
      <c r="O604">
        <v>0.99241226683528205</v>
      </c>
      <c r="P604" s="25">
        <f t="shared" si="29"/>
        <v>0.99241226683528294</v>
      </c>
      <c r="Q604">
        <v>20</v>
      </c>
      <c r="R604" t="s">
        <v>124</v>
      </c>
      <c r="S604" t="s">
        <v>124</v>
      </c>
      <c r="T604" t="s">
        <v>124</v>
      </c>
      <c r="U604" t="s">
        <v>124</v>
      </c>
      <c r="X604" s="19">
        <f>J604</f>
        <v>0.94029850746268662</v>
      </c>
      <c r="Y604" s="19">
        <f>N604</f>
        <v>7.5877331647170587E-3</v>
      </c>
      <c r="Z604" s="26">
        <f>(L604+Q604)/(L604+Q604+H604+K604)</f>
        <v>1.2578616352201259E-2</v>
      </c>
    </row>
    <row r="605" spans="1:26" x14ac:dyDescent="0.35">
      <c r="A605" t="s">
        <v>122</v>
      </c>
      <c r="B605" t="s">
        <v>122</v>
      </c>
      <c r="C605" t="s">
        <v>123</v>
      </c>
      <c r="D605" t="s">
        <v>100</v>
      </c>
      <c r="E605" t="s">
        <v>99</v>
      </c>
      <c r="F605" t="s">
        <v>12</v>
      </c>
      <c r="G605">
        <v>1</v>
      </c>
      <c r="H605">
        <v>315</v>
      </c>
      <c r="I605">
        <v>0.94029850746268595</v>
      </c>
      <c r="J605" s="25">
        <f t="shared" si="28"/>
        <v>0.94029850746268662</v>
      </c>
      <c r="K605">
        <v>3139</v>
      </c>
      <c r="L605">
        <v>24</v>
      </c>
      <c r="M605">
        <v>7.5877331647170396E-3</v>
      </c>
      <c r="N605" s="25">
        <f t="shared" si="27"/>
        <v>7.5877331647170587E-3</v>
      </c>
      <c r="O605">
        <v>0.99241226683528205</v>
      </c>
      <c r="P605" s="25">
        <f t="shared" si="29"/>
        <v>0.99241226683528294</v>
      </c>
      <c r="Q605">
        <v>20</v>
      </c>
      <c r="R605" t="s">
        <v>124</v>
      </c>
      <c r="S605" t="s">
        <v>124</v>
      </c>
      <c r="T605" t="s">
        <v>124</v>
      </c>
      <c r="U605" t="s">
        <v>124</v>
      </c>
      <c r="X605" s="19">
        <f>J605</f>
        <v>0.94029850746268662</v>
      </c>
      <c r="Y605" s="19">
        <f>N605</f>
        <v>7.5877331647170587E-3</v>
      </c>
      <c r="Z605" s="26">
        <f>(L605+Q605)/(L605+Q605+H605+K605)</f>
        <v>1.2578616352201259E-2</v>
      </c>
    </row>
    <row r="606" spans="1:26" x14ac:dyDescent="0.35">
      <c r="A606" t="s">
        <v>122</v>
      </c>
      <c r="B606" t="s">
        <v>122</v>
      </c>
      <c r="C606" t="s">
        <v>123</v>
      </c>
      <c r="D606" t="s">
        <v>100</v>
      </c>
      <c r="E606" t="s">
        <v>99</v>
      </c>
      <c r="F606" t="s">
        <v>12</v>
      </c>
      <c r="G606">
        <v>1</v>
      </c>
      <c r="H606">
        <v>315</v>
      </c>
      <c r="I606">
        <v>0.94029850746268595</v>
      </c>
      <c r="J606" s="25">
        <f t="shared" si="28"/>
        <v>0.94029850746268662</v>
      </c>
      <c r="K606">
        <v>3139</v>
      </c>
      <c r="L606">
        <v>24</v>
      </c>
      <c r="M606">
        <v>7.5877331647170396E-3</v>
      </c>
      <c r="N606" s="25">
        <f t="shared" si="27"/>
        <v>7.5877331647170587E-3</v>
      </c>
      <c r="O606">
        <v>0.99241226683528205</v>
      </c>
      <c r="P606" s="25">
        <f t="shared" si="29"/>
        <v>0.99241226683528294</v>
      </c>
      <c r="Q606">
        <v>20</v>
      </c>
      <c r="R606" t="s">
        <v>124</v>
      </c>
      <c r="S606" t="s">
        <v>124</v>
      </c>
      <c r="T606" t="s">
        <v>124</v>
      </c>
      <c r="U606" t="s">
        <v>124</v>
      </c>
      <c r="X606" s="19">
        <f>J606</f>
        <v>0.94029850746268662</v>
      </c>
      <c r="Y606" s="19">
        <f>N606</f>
        <v>7.5877331647170587E-3</v>
      </c>
      <c r="Z606" s="26">
        <f>(L606+Q606)/(L606+Q606+H606+K606)</f>
        <v>1.2578616352201259E-2</v>
      </c>
    </row>
    <row r="607" spans="1:26" x14ac:dyDescent="0.35">
      <c r="A607" t="s">
        <v>122</v>
      </c>
      <c r="B607" t="s">
        <v>122</v>
      </c>
      <c r="C607" t="s">
        <v>123</v>
      </c>
      <c r="D607" t="s">
        <v>100</v>
      </c>
      <c r="E607" t="s">
        <v>99</v>
      </c>
      <c r="F607" t="s">
        <v>12</v>
      </c>
      <c r="G607">
        <v>1</v>
      </c>
      <c r="H607">
        <v>315</v>
      </c>
      <c r="I607">
        <v>0.94029850746268595</v>
      </c>
      <c r="J607" s="25">
        <f t="shared" si="28"/>
        <v>0.94029850746268662</v>
      </c>
      <c r="K607">
        <v>3139</v>
      </c>
      <c r="L607">
        <v>24</v>
      </c>
      <c r="M607">
        <v>7.5877331647170396E-3</v>
      </c>
      <c r="N607" s="25">
        <f t="shared" si="27"/>
        <v>7.5877331647170587E-3</v>
      </c>
      <c r="O607">
        <v>0.99241226683528205</v>
      </c>
      <c r="P607" s="25">
        <f t="shared" si="29"/>
        <v>0.99241226683528294</v>
      </c>
      <c r="Q607">
        <v>20</v>
      </c>
      <c r="R607" t="s">
        <v>124</v>
      </c>
      <c r="S607" t="s">
        <v>124</v>
      </c>
      <c r="T607" t="s">
        <v>124</v>
      </c>
      <c r="U607" t="s">
        <v>124</v>
      </c>
      <c r="X607" s="19">
        <f>J607</f>
        <v>0.94029850746268662</v>
      </c>
      <c r="Y607" s="19">
        <f>N607</f>
        <v>7.5877331647170587E-3</v>
      </c>
      <c r="Z607" s="26">
        <f>(L607+Q607)/(L607+Q607+H607+K607)</f>
        <v>1.2578616352201259E-2</v>
      </c>
    </row>
    <row r="608" spans="1:26" x14ac:dyDescent="0.35">
      <c r="A608" t="s">
        <v>122</v>
      </c>
      <c r="B608" t="s">
        <v>122</v>
      </c>
      <c r="C608" t="s">
        <v>123</v>
      </c>
      <c r="D608" t="s">
        <v>100</v>
      </c>
      <c r="E608" t="s">
        <v>99</v>
      </c>
      <c r="F608" t="s">
        <v>12</v>
      </c>
      <c r="G608">
        <v>1</v>
      </c>
      <c r="H608">
        <v>315</v>
      </c>
      <c r="I608">
        <v>0.94029850746268595</v>
      </c>
      <c r="J608" s="25">
        <f t="shared" si="28"/>
        <v>0.94029850746268662</v>
      </c>
      <c r="K608">
        <v>3139</v>
      </c>
      <c r="L608">
        <v>24</v>
      </c>
      <c r="M608">
        <v>7.5877331647170396E-3</v>
      </c>
      <c r="N608" s="25">
        <f t="shared" si="27"/>
        <v>7.5877331647170587E-3</v>
      </c>
      <c r="O608">
        <v>0.99241226683528205</v>
      </c>
      <c r="P608" s="25">
        <f t="shared" si="29"/>
        <v>0.99241226683528294</v>
      </c>
      <c r="Q608">
        <v>20</v>
      </c>
      <c r="R608" t="s">
        <v>124</v>
      </c>
      <c r="S608" t="s">
        <v>124</v>
      </c>
      <c r="T608" t="s">
        <v>124</v>
      </c>
      <c r="U608" t="s">
        <v>124</v>
      </c>
      <c r="X608" s="19">
        <f>J608</f>
        <v>0.94029850746268662</v>
      </c>
      <c r="Y608" s="19">
        <f>N608</f>
        <v>7.5877331647170587E-3</v>
      </c>
      <c r="Z608" s="26">
        <f>(L608+Q608)/(L608+Q608+H608+K608)</f>
        <v>1.2578616352201259E-2</v>
      </c>
    </row>
    <row r="609" spans="1:26" x14ac:dyDescent="0.35">
      <c r="A609" t="s">
        <v>122</v>
      </c>
      <c r="B609" t="s">
        <v>122</v>
      </c>
      <c r="C609" t="s">
        <v>123</v>
      </c>
      <c r="D609" t="s">
        <v>100</v>
      </c>
      <c r="E609" t="s">
        <v>99</v>
      </c>
      <c r="F609" t="s">
        <v>12</v>
      </c>
      <c r="G609">
        <v>1</v>
      </c>
      <c r="H609">
        <v>315</v>
      </c>
      <c r="I609">
        <v>0.94029850746268595</v>
      </c>
      <c r="J609" s="25">
        <f t="shared" si="28"/>
        <v>0.94029850746268662</v>
      </c>
      <c r="K609">
        <v>3139</v>
      </c>
      <c r="L609">
        <v>24</v>
      </c>
      <c r="M609">
        <v>7.5877331647170396E-3</v>
      </c>
      <c r="N609" s="25">
        <f t="shared" si="27"/>
        <v>7.5877331647170587E-3</v>
      </c>
      <c r="O609">
        <v>0.99241226683528205</v>
      </c>
      <c r="P609" s="25">
        <f t="shared" si="29"/>
        <v>0.99241226683528294</v>
      </c>
      <c r="Q609">
        <v>20</v>
      </c>
      <c r="R609" t="s">
        <v>124</v>
      </c>
      <c r="S609" t="s">
        <v>124</v>
      </c>
      <c r="T609" t="s">
        <v>124</v>
      </c>
      <c r="U609" t="s">
        <v>124</v>
      </c>
      <c r="X609" s="19">
        <f>J609</f>
        <v>0.94029850746268662</v>
      </c>
      <c r="Y609" s="19">
        <f>N609</f>
        <v>7.5877331647170587E-3</v>
      </c>
      <c r="Z609" s="26">
        <f>(L609+Q609)/(L609+Q609+H609+K609)</f>
        <v>1.2578616352201259E-2</v>
      </c>
    </row>
    <row r="610" spans="1:26" x14ac:dyDescent="0.35">
      <c r="A610" t="s">
        <v>122</v>
      </c>
      <c r="B610" t="s">
        <v>122</v>
      </c>
      <c r="C610" t="s">
        <v>123</v>
      </c>
      <c r="D610" t="s">
        <v>100</v>
      </c>
      <c r="E610" t="s">
        <v>99</v>
      </c>
      <c r="F610" t="s">
        <v>12</v>
      </c>
      <c r="G610">
        <v>1</v>
      </c>
      <c r="H610">
        <v>315</v>
      </c>
      <c r="I610">
        <v>0.94029850746268595</v>
      </c>
      <c r="J610" s="25">
        <f t="shared" si="28"/>
        <v>0.94029850746268662</v>
      </c>
      <c r="K610">
        <v>3139</v>
      </c>
      <c r="L610">
        <v>24</v>
      </c>
      <c r="M610">
        <v>7.5877331647170396E-3</v>
      </c>
      <c r="N610" s="25">
        <f t="shared" si="27"/>
        <v>7.5877331647170587E-3</v>
      </c>
      <c r="O610">
        <v>0.99241226683528205</v>
      </c>
      <c r="P610" s="25">
        <f t="shared" si="29"/>
        <v>0.99241226683528294</v>
      </c>
      <c r="Q610">
        <v>20</v>
      </c>
      <c r="R610" t="s">
        <v>124</v>
      </c>
      <c r="S610" t="s">
        <v>124</v>
      </c>
      <c r="T610" t="s">
        <v>124</v>
      </c>
      <c r="U610" t="s">
        <v>124</v>
      </c>
      <c r="X610" s="19">
        <f>J610</f>
        <v>0.94029850746268662</v>
      </c>
      <c r="Y610" s="19">
        <f>N610</f>
        <v>7.5877331647170587E-3</v>
      </c>
      <c r="Z610" s="26">
        <f>(L610+Q610)/(L610+Q610+H610+K610)</f>
        <v>1.2578616352201259E-2</v>
      </c>
    </row>
    <row r="611" spans="1:26" x14ac:dyDescent="0.35">
      <c r="A611" t="s">
        <v>122</v>
      </c>
      <c r="B611" t="s">
        <v>122</v>
      </c>
      <c r="C611" t="s">
        <v>123</v>
      </c>
      <c r="D611" t="s">
        <v>100</v>
      </c>
      <c r="E611" t="s">
        <v>99</v>
      </c>
      <c r="F611" t="s">
        <v>12</v>
      </c>
      <c r="G611">
        <v>1</v>
      </c>
      <c r="H611">
        <v>315</v>
      </c>
      <c r="I611">
        <v>0.94029850746268595</v>
      </c>
      <c r="J611" s="25">
        <f t="shared" si="28"/>
        <v>0.94029850746268662</v>
      </c>
      <c r="K611">
        <v>3139</v>
      </c>
      <c r="L611">
        <v>24</v>
      </c>
      <c r="M611">
        <v>7.5877331647170396E-3</v>
      </c>
      <c r="N611" s="25">
        <f t="shared" si="27"/>
        <v>7.5877331647170587E-3</v>
      </c>
      <c r="O611">
        <v>0.99241226683528205</v>
      </c>
      <c r="P611" s="25">
        <f t="shared" si="29"/>
        <v>0.99241226683528294</v>
      </c>
      <c r="Q611">
        <v>20</v>
      </c>
      <c r="R611" t="s">
        <v>124</v>
      </c>
      <c r="S611" t="s">
        <v>124</v>
      </c>
      <c r="T611" t="s">
        <v>124</v>
      </c>
      <c r="U611" t="s">
        <v>124</v>
      </c>
      <c r="X611" s="19">
        <f>J611</f>
        <v>0.94029850746268662</v>
      </c>
      <c r="Y611" s="19">
        <f>N611</f>
        <v>7.5877331647170587E-3</v>
      </c>
      <c r="Z611" s="26">
        <f>(L611+Q611)/(L611+Q611+H611+K611)</f>
        <v>1.2578616352201259E-2</v>
      </c>
    </row>
    <row r="612" spans="1:26" x14ac:dyDescent="0.35">
      <c r="A612" t="s">
        <v>122</v>
      </c>
      <c r="B612" t="s">
        <v>122</v>
      </c>
      <c r="C612" t="s">
        <v>123</v>
      </c>
      <c r="D612" t="s">
        <v>100</v>
      </c>
      <c r="E612" t="s">
        <v>99</v>
      </c>
      <c r="F612" t="s">
        <v>12</v>
      </c>
      <c r="G612">
        <v>1</v>
      </c>
      <c r="H612">
        <v>315</v>
      </c>
      <c r="I612">
        <v>0.94029850746268595</v>
      </c>
      <c r="J612" s="25">
        <f t="shared" si="28"/>
        <v>0.94029850746268662</v>
      </c>
      <c r="K612">
        <v>3139</v>
      </c>
      <c r="L612">
        <v>24</v>
      </c>
      <c r="M612">
        <v>7.5877331647170396E-3</v>
      </c>
      <c r="N612" s="25">
        <f t="shared" si="27"/>
        <v>7.5877331647170587E-3</v>
      </c>
      <c r="O612">
        <v>0.99241226683528205</v>
      </c>
      <c r="P612" s="25">
        <f t="shared" si="29"/>
        <v>0.99241226683528294</v>
      </c>
      <c r="Q612">
        <v>20</v>
      </c>
      <c r="R612" t="s">
        <v>124</v>
      </c>
      <c r="S612" t="s">
        <v>124</v>
      </c>
      <c r="T612" t="s">
        <v>124</v>
      </c>
      <c r="U612" t="s">
        <v>124</v>
      </c>
      <c r="X612" s="19">
        <f>J612</f>
        <v>0.94029850746268662</v>
      </c>
      <c r="Y612" s="19">
        <f>N612</f>
        <v>7.5877331647170587E-3</v>
      </c>
      <c r="Z612" s="26">
        <f>(L612+Q612)/(L612+Q612+H612+K612)</f>
        <v>1.2578616352201259E-2</v>
      </c>
    </row>
    <row r="613" spans="1:26" x14ac:dyDescent="0.35">
      <c r="A613" t="s">
        <v>122</v>
      </c>
      <c r="B613" t="s">
        <v>122</v>
      </c>
      <c r="C613" t="s">
        <v>123</v>
      </c>
      <c r="D613" t="s">
        <v>100</v>
      </c>
      <c r="E613" t="s">
        <v>99</v>
      </c>
      <c r="F613" t="s">
        <v>12</v>
      </c>
      <c r="G613">
        <v>1</v>
      </c>
      <c r="H613">
        <v>315</v>
      </c>
      <c r="I613">
        <v>0.94029850746268595</v>
      </c>
      <c r="J613" s="25">
        <f t="shared" si="28"/>
        <v>0.94029850746268662</v>
      </c>
      <c r="K613">
        <v>3139</v>
      </c>
      <c r="L613">
        <v>24</v>
      </c>
      <c r="M613">
        <v>7.5877331647170396E-3</v>
      </c>
      <c r="N613" s="25">
        <f t="shared" si="27"/>
        <v>7.5877331647170587E-3</v>
      </c>
      <c r="O613">
        <v>0.99241226683528205</v>
      </c>
      <c r="P613" s="25">
        <f t="shared" si="29"/>
        <v>0.99241226683528294</v>
      </c>
      <c r="Q613">
        <v>20</v>
      </c>
      <c r="R613" t="s">
        <v>124</v>
      </c>
      <c r="S613" t="s">
        <v>124</v>
      </c>
      <c r="T613" t="s">
        <v>124</v>
      </c>
      <c r="U613" t="s">
        <v>124</v>
      </c>
      <c r="X613" s="19">
        <f>J613</f>
        <v>0.94029850746268662</v>
      </c>
      <c r="Y613" s="19">
        <f>N613</f>
        <v>7.5877331647170587E-3</v>
      </c>
      <c r="Z613" s="26">
        <f>(L613+Q613)/(L613+Q613+H613+K613)</f>
        <v>1.2578616352201259E-2</v>
      </c>
    </row>
    <row r="614" spans="1:26" x14ac:dyDescent="0.35">
      <c r="A614" t="s">
        <v>122</v>
      </c>
      <c r="B614" t="s">
        <v>122</v>
      </c>
      <c r="C614" t="s">
        <v>123</v>
      </c>
      <c r="D614" t="s">
        <v>100</v>
      </c>
      <c r="E614" t="s">
        <v>99</v>
      </c>
      <c r="F614" t="s">
        <v>12</v>
      </c>
      <c r="G614">
        <v>1</v>
      </c>
      <c r="H614">
        <v>315</v>
      </c>
      <c r="I614">
        <v>0.94029850746268595</v>
      </c>
      <c r="J614" s="25">
        <f t="shared" si="28"/>
        <v>0.94029850746268662</v>
      </c>
      <c r="K614">
        <v>3139</v>
      </c>
      <c r="L614">
        <v>24</v>
      </c>
      <c r="M614">
        <v>7.5877331647170396E-3</v>
      </c>
      <c r="N614" s="25">
        <f t="shared" si="27"/>
        <v>7.5877331647170587E-3</v>
      </c>
      <c r="O614">
        <v>0.99241226683528205</v>
      </c>
      <c r="P614" s="25">
        <f t="shared" si="29"/>
        <v>0.99241226683528294</v>
      </c>
      <c r="Q614">
        <v>20</v>
      </c>
      <c r="R614" t="s">
        <v>124</v>
      </c>
      <c r="S614" t="s">
        <v>124</v>
      </c>
      <c r="T614" t="s">
        <v>124</v>
      </c>
      <c r="U614" t="s">
        <v>124</v>
      </c>
      <c r="X614" s="19">
        <f>J614</f>
        <v>0.94029850746268662</v>
      </c>
      <c r="Y614" s="19">
        <f>N614</f>
        <v>7.5877331647170587E-3</v>
      </c>
      <c r="Z614" s="26">
        <f>(L614+Q614)/(L614+Q614+H614+K614)</f>
        <v>1.2578616352201259E-2</v>
      </c>
    </row>
    <row r="615" spans="1:26" x14ac:dyDescent="0.35">
      <c r="A615" t="s">
        <v>122</v>
      </c>
      <c r="B615" t="s">
        <v>122</v>
      </c>
      <c r="C615" t="s">
        <v>123</v>
      </c>
      <c r="D615" t="s">
        <v>100</v>
      </c>
      <c r="E615" t="s">
        <v>99</v>
      </c>
      <c r="F615" t="s">
        <v>12</v>
      </c>
      <c r="G615">
        <v>1</v>
      </c>
      <c r="H615">
        <v>315</v>
      </c>
      <c r="I615">
        <v>0.94029850746268595</v>
      </c>
      <c r="J615" s="25">
        <f t="shared" si="28"/>
        <v>0.94029850746268662</v>
      </c>
      <c r="K615">
        <v>3139</v>
      </c>
      <c r="L615">
        <v>24</v>
      </c>
      <c r="M615">
        <v>7.5877331647170396E-3</v>
      </c>
      <c r="N615" s="25">
        <f t="shared" si="27"/>
        <v>7.5877331647170587E-3</v>
      </c>
      <c r="O615">
        <v>0.99241226683528205</v>
      </c>
      <c r="P615" s="25">
        <f t="shared" si="29"/>
        <v>0.99241226683528294</v>
      </c>
      <c r="Q615">
        <v>20</v>
      </c>
      <c r="R615" t="s">
        <v>124</v>
      </c>
      <c r="S615" t="s">
        <v>124</v>
      </c>
      <c r="T615" t="s">
        <v>124</v>
      </c>
      <c r="U615" t="s">
        <v>124</v>
      </c>
      <c r="X615" s="19">
        <f>J615</f>
        <v>0.94029850746268662</v>
      </c>
      <c r="Y615" s="19">
        <f>N615</f>
        <v>7.5877331647170587E-3</v>
      </c>
      <c r="Z615" s="26">
        <f>(L615+Q615)/(L615+Q615+H615+K615)</f>
        <v>1.2578616352201259E-2</v>
      </c>
    </row>
    <row r="616" spans="1:26" x14ac:dyDescent="0.35">
      <c r="A616" t="s">
        <v>122</v>
      </c>
      <c r="B616" t="s">
        <v>122</v>
      </c>
      <c r="C616" t="s">
        <v>123</v>
      </c>
      <c r="D616" t="s">
        <v>100</v>
      </c>
      <c r="E616" t="s">
        <v>99</v>
      </c>
      <c r="F616" t="s">
        <v>12</v>
      </c>
      <c r="G616">
        <v>1</v>
      </c>
      <c r="H616">
        <v>315</v>
      </c>
      <c r="I616">
        <v>0.94029850746268595</v>
      </c>
      <c r="J616" s="25">
        <f t="shared" si="28"/>
        <v>0.94029850746268662</v>
      </c>
      <c r="K616">
        <v>3139</v>
      </c>
      <c r="L616">
        <v>24</v>
      </c>
      <c r="M616">
        <v>7.5877331647170396E-3</v>
      </c>
      <c r="N616" s="25">
        <f t="shared" si="27"/>
        <v>7.5877331647170587E-3</v>
      </c>
      <c r="O616">
        <v>0.99241226683528205</v>
      </c>
      <c r="P616" s="25">
        <f t="shared" si="29"/>
        <v>0.99241226683528294</v>
      </c>
      <c r="Q616">
        <v>20</v>
      </c>
      <c r="R616" t="s">
        <v>124</v>
      </c>
      <c r="S616" t="s">
        <v>124</v>
      </c>
      <c r="T616" t="s">
        <v>124</v>
      </c>
      <c r="U616" t="s">
        <v>124</v>
      </c>
      <c r="X616" s="19">
        <f>J616</f>
        <v>0.94029850746268662</v>
      </c>
      <c r="Y616" s="19">
        <f>N616</f>
        <v>7.5877331647170587E-3</v>
      </c>
      <c r="Z616" s="26">
        <f>(L616+Q616)/(L616+Q616+H616+K616)</f>
        <v>1.2578616352201259E-2</v>
      </c>
    </row>
    <row r="617" spans="1:26" x14ac:dyDescent="0.35">
      <c r="A617" t="s">
        <v>122</v>
      </c>
      <c r="B617" t="s">
        <v>122</v>
      </c>
      <c r="C617" t="s">
        <v>123</v>
      </c>
      <c r="D617" t="s">
        <v>100</v>
      </c>
      <c r="E617" t="s">
        <v>99</v>
      </c>
      <c r="F617" t="s">
        <v>12</v>
      </c>
      <c r="G617">
        <v>1</v>
      </c>
      <c r="H617">
        <v>315</v>
      </c>
      <c r="I617">
        <v>0.94029850746268595</v>
      </c>
      <c r="J617" s="25">
        <f t="shared" si="28"/>
        <v>0.94029850746268662</v>
      </c>
      <c r="K617">
        <v>3139</v>
      </c>
      <c r="L617">
        <v>24</v>
      </c>
      <c r="M617">
        <v>7.5877331647170396E-3</v>
      </c>
      <c r="N617" s="25">
        <f t="shared" si="27"/>
        <v>7.5877331647170587E-3</v>
      </c>
      <c r="O617">
        <v>0.99241226683528205</v>
      </c>
      <c r="P617" s="25">
        <f t="shared" si="29"/>
        <v>0.99241226683528294</v>
      </c>
      <c r="Q617">
        <v>20</v>
      </c>
      <c r="R617" t="s">
        <v>124</v>
      </c>
      <c r="S617" t="s">
        <v>124</v>
      </c>
      <c r="T617" t="s">
        <v>124</v>
      </c>
      <c r="U617" t="s">
        <v>124</v>
      </c>
      <c r="X617" s="19">
        <f>J617</f>
        <v>0.94029850746268662</v>
      </c>
      <c r="Y617" s="19">
        <f>N617</f>
        <v>7.5877331647170587E-3</v>
      </c>
      <c r="Z617" s="26">
        <f>(L617+Q617)/(L617+Q617+H617+K617)</f>
        <v>1.2578616352201259E-2</v>
      </c>
    </row>
    <row r="618" spans="1:26" x14ac:dyDescent="0.35">
      <c r="A618" t="s">
        <v>122</v>
      </c>
      <c r="B618" t="s">
        <v>122</v>
      </c>
      <c r="C618" t="s">
        <v>123</v>
      </c>
      <c r="D618" t="s">
        <v>100</v>
      </c>
      <c r="E618" t="s">
        <v>99</v>
      </c>
      <c r="F618" t="s">
        <v>12</v>
      </c>
      <c r="G618">
        <v>1</v>
      </c>
      <c r="H618">
        <v>315</v>
      </c>
      <c r="I618">
        <v>0.94029850746268595</v>
      </c>
      <c r="J618" s="25">
        <f t="shared" si="28"/>
        <v>0.94029850746268662</v>
      </c>
      <c r="K618">
        <v>3139</v>
      </c>
      <c r="L618">
        <v>24</v>
      </c>
      <c r="M618">
        <v>7.5877331647170396E-3</v>
      </c>
      <c r="N618" s="25">
        <f t="shared" si="27"/>
        <v>7.5877331647170587E-3</v>
      </c>
      <c r="O618">
        <v>0.99241226683528205</v>
      </c>
      <c r="P618" s="25">
        <f t="shared" si="29"/>
        <v>0.99241226683528294</v>
      </c>
      <c r="Q618">
        <v>20</v>
      </c>
      <c r="R618" t="s">
        <v>124</v>
      </c>
      <c r="S618" t="s">
        <v>124</v>
      </c>
      <c r="T618" t="s">
        <v>124</v>
      </c>
      <c r="U618" t="s">
        <v>124</v>
      </c>
      <c r="X618" s="19">
        <f>J618</f>
        <v>0.94029850746268662</v>
      </c>
      <c r="Y618" s="19">
        <f>N618</f>
        <v>7.5877331647170587E-3</v>
      </c>
      <c r="Z618" s="26">
        <f>(L618+Q618)/(L618+Q618+H618+K618)</f>
        <v>1.2578616352201259E-2</v>
      </c>
    </row>
    <row r="619" spans="1:26" x14ac:dyDescent="0.35">
      <c r="A619" t="s">
        <v>122</v>
      </c>
      <c r="B619" t="s">
        <v>122</v>
      </c>
      <c r="C619" t="s">
        <v>123</v>
      </c>
      <c r="D619" t="s">
        <v>100</v>
      </c>
      <c r="E619" t="s">
        <v>99</v>
      </c>
      <c r="F619" t="s">
        <v>12</v>
      </c>
      <c r="G619">
        <v>1</v>
      </c>
      <c r="H619">
        <v>315</v>
      </c>
      <c r="I619">
        <v>0.94029850746268595</v>
      </c>
      <c r="J619" s="25">
        <f t="shared" si="28"/>
        <v>0.94029850746268662</v>
      </c>
      <c r="K619">
        <v>3139</v>
      </c>
      <c r="L619">
        <v>24</v>
      </c>
      <c r="M619">
        <v>7.5877331647170396E-3</v>
      </c>
      <c r="N619" s="25">
        <f t="shared" si="27"/>
        <v>7.5877331647170587E-3</v>
      </c>
      <c r="O619">
        <v>0.99241226683528205</v>
      </c>
      <c r="P619" s="25">
        <f t="shared" si="29"/>
        <v>0.99241226683528294</v>
      </c>
      <c r="Q619">
        <v>20</v>
      </c>
      <c r="R619" t="s">
        <v>124</v>
      </c>
      <c r="S619" t="s">
        <v>124</v>
      </c>
      <c r="T619" t="s">
        <v>124</v>
      </c>
      <c r="U619" t="s">
        <v>124</v>
      </c>
      <c r="X619" s="19">
        <f>J619</f>
        <v>0.94029850746268662</v>
      </c>
      <c r="Y619" s="19">
        <f>N619</f>
        <v>7.5877331647170587E-3</v>
      </c>
      <c r="Z619" s="26">
        <f>(L619+Q619)/(L619+Q619+H619+K619)</f>
        <v>1.2578616352201259E-2</v>
      </c>
    </row>
    <row r="620" spans="1:26" x14ac:dyDescent="0.35">
      <c r="A620" t="s">
        <v>122</v>
      </c>
      <c r="B620" t="s">
        <v>122</v>
      </c>
      <c r="C620" t="s">
        <v>123</v>
      </c>
      <c r="D620" t="s">
        <v>100</v>
      </c>
      <c r="E620" t="s">
        <v>99</v>
      </c>
      <c r="F620" t="s">
        <v>12</v>
      </c>
      <c r="G620">
        <v>1</v>
      </c>
      <c r="H620">
        <v>315</v>
      </c>
      <c r="I620">
        <v>0.94029850746268595</v>
      </c>
      <c r="J620" s="25">
        <f t="shared" si="28"/>
        <v>0.94029850746268662</v>
      </c>
      <c r="K620">
        <v>3139</v>
      </c>
      <c r="L620">
        <v>24</v>
      </c>
      <c r="M620">
        <v>7.5877331647170396E-3</v>
      </c>
      <c r="N620" s="25">
        <f t="shared" si="27"/>
        <v>7.5877331647170587E-3</v>
      </c>
      <c r="O620">
        <v>0.99241226683528205</v>
      </c>
      <c r="P620" s="25">
        <f t="shared" si="29"/>
        <v>0.99241226683528294</v>
      </c>
      <c r="Q620">
        <v>20</v>
      </c>
      <c r="R620" t="s">
        <v>124</v>
      </c>
      <c r="S620" t="s">
        <v>124</v>
      </c>
      <c r="T620" t="s">
        <v>124</v>
      </c>
      <c r="U620" t="s">
        <v>124</v>
      </c>
      <c r="X620" s="19">
        <f>J620</f>
        <v>0.94029850746268662</v>
      </c>
      <c r="Y620" s="19">
        <f>N620</f>
        <v>7.5877331647170587E-3</v>
      </c>
      <c r="Z620" s="26">
        <f>(L620+Q620)/(L620+Q620+H620+K620)</f>
        <v>1.2578616352201259E-2</v>
      </c>
    </row>
    <row r="621" spans="1:26" x14ac:dyDescent="0.35">
      <c r="A621" t="s">
        <v>122</v>
      </c>
      <c r="B621" t="s">
        <v>122</v>
      </c>
      <c r="C621" t="s">
        <v>123</v>
      </c>
      <c r="D621" t="s">
        <v>100</v>
      </c>
      <c r="E621" t="s">
        <v>99</v>
      </c>
      <c r="F621" t="s">
        <v>12</v>
      </c>
      <c r="G621">
        <v>1</v>
      </c>
      <c r="H621">
        <v>315</v>
      </c>
      <c r="I621">
        <v>0.94029850746268595</v>
      </c>
      <c r="J621" s="25">
        <f t="shared" si="28"/>
        <v>0.94029850746268662</v>
      </c>
      <c r="K621">
        <v>3139</v>
      </c>
      <c r="L621">
        <v>24</v>
      </c>
      <c r="M621">
        <v>7.5877331647170396E-3</v>
      </c>
      <c r="N621" s="25">
        <f t="shared" si="27"/>
        <v>7.5877331647170587E-3</v>
      </c>
      <c r="O621">
        <v>0.99241226683528205</v>
      </c>
      <c r="P621" s="25">
        <f t="shared" si="29"/>
        <v>0.99241226683528294</v>
      </c>
      <c r="Q621">
        <v>20</v>
      </c>
      <c r="R621" t="s">
        <v>124</v>
      </c>
      <c r="S621" t="s">
        <v>124</v>
      </c>
      <c r="T621" t="s">
        <v>124</v>
      </c>
      <c r="U621" t="s">
        <v>124</v>
      </c>
      <c r="X621" s="19">
        <f>J621</f>
        <v>0.94029850746268662</v>
      </c>
      <c r="Y621" s="19">
        <f>N621</f>
        <v>7.5877331647170587E-3</v>
      </c>
      <c r="Z621" s="26">
        <f>(L621+Q621)/(L621+Q621+H621+K621)</f>
        <v>1.2578616352201259E-2</v>
      </c>
    </row>
    <row r="622" spans="1:26" x14ac:dyDescent="0.35">
      <c r="A622" t="s">
        <v>122</v>
      </c>
      <c r="B622" t="s">
        <v>122</v>
      </c>
      <c r="C622" t="s">
        <v>123</v>
      </c>
      <c r="D622" t="s">
        <v>100</v>
      </c>
      <c r="E622" t="s">
        <v>99</v>
      </c>
      <c r="F622" t="s">
        <v>12</v>
      </c>
      <c r="G622">
        <v>1</v>
      </c>
      <c r="H622">
        <v>315</v>
      </c>
      <c r="I622">
        <v>0.94029850746268595</v>
      </c>
      <c r="J622" s="25">
        <f t="shared" si="28"/>
        <v>0.94029850746268662</v>
      </c>
      <c r="K622">
        <v>3139</v>
      </c>
      <c r="L622">
        <v>24</v>
      </c>
      <c r="M622">
        <v>7.5877331647170396E-3</v>
      </c>
      <c r="N622" s="25">
        <f t="shared" si="27"/>
        <v>7.5877331647170587E-3</v>
      </c>
      <c r="O622">
        <v>0.99241226683528205</v>
      </c>
      <c r="P622" s="25">
        <f t="shared" si="29"/>
        <v>0.99241226683528294</v>
      </c>
      <c r="Q622">
        <v>20</v>
      </c>
      <c r="R622" t="s">
        <v>124</v>
      </c>
      <c r="S622" t="s">
        <v>124</v>
      </c>
      <c r="T622" t="s">
        <v>124</v>
      </c>
      <c r="U622" t="s">
        <v>124</v>
      </c>
      <c r="X622" s="19">
        <f>J622</f>
        <v>0.94029850746268662</v>
      </c>
      <c r="Y622" s="19">
        <f>N622</f>
        <v>7.5877331647170587E-3</v>
      </c>
      <c r="Z622" s="26">
        <f>(L622+Q622)/(L622+Q622+H622+K622)</f>
        <v>1.2578616352201259E-2</v>
      </c>
    </row>
    <row r="623" spans="1:26" x14ac:dyDescent="0.35">
      <c r="A623" t="s">
        <v>122</v>
      </c>
      <c r="B623" t="s">
        <v>122</v>
      </c>
      <c r="C623" t="s">
        <v>123</v>
      </c>
      <c r="D623" t="s">
        <v>100</v>
      </c>
      <c r="E623" t="s">
        <v>99</v>
      </c>
      <c r="F623" t="s">
        <v>12</v>
      </c>
      <c r="G623">
        <v>1</v>
      </c>
      <c r="H623">
        <v>315</v>
      </c>
      <c r="I623">
        <v>0.94029850746268595</v>
      </c>
      <c r="J623" s="25">
        <f t="shared" si="28"/>
        <v>0.94029850746268662</v>
      </c>
      <c r="K623">
        <v>3139</v>
      </c>
      <c r="L623">
        <v>24</v>
      </c>
      <c r="M623">
        <v>7.5877331647170396E-3</v>
      </c>
      <c r="N623" s="25">
        <f t="shared" si="27"/>
        <v>7.5877331647170587E-3</v>
      </c>
      <c r="O623">
        <v>0.99241226683528205</v>
      </c>
      <c r="P623" s="25">
        <f t="shared" si="29"/>
        <v>0.99241226683528294</v>
      </c>
      <c r="Q623">
        <v>20</v>
      </c>
      <c r="R623" t="s">
        <v>124</v>
      </c>
      <c r="S623" t="s">
        <v>124</v>
      </c>
      <c r="T623" t="s">
        <v>124</v>
      </c>
      <c r="U623" t="s">
        <v>124</v>
      </c>
      <c r="X623" s="19">
        <f>J623</f>
        <v>0.94029850746268662</v>
      </c>
      <c r="Y623" s="19">
        <f>N623</f>
        <v>7.5877331647170587E-3</v>
      </c>
      <c r="Z623" s="26">
        <f>(L623+Q623)/(L623+Q623+H623+K623)</f>
        <v>1.2578616352201259E-2</v>
      </c>
    </row>
    <row r="624" spans="1:26" x14ac:dyDescent="0.35">
      <c r="A624" t="s">
        <v>122</v>
      </c>
      <c r="B624" t="s">
        <v>122</v>
      </c>
      <c r="C624" t="s">
        <v>123</v>
      </c>
      <c r="D624" t="s">
        <v>100</v>
      </c>
      <c r="E624" t="s">
        <v>99</v>
      </c>
      <c r="F624" t="s">
        <v>12</v>
      </c>
      <c r="G624">
        <v>1</v>
      </c>
      <c r="H624">
        <v>315</v>
      </c>
      <c r="I624">
        <v>0.94029850746268595</v>
      </c>
      <c r="J624" s="25">
        <f t="shared" si="28"/>
        <v>0.94029850746268662</v>
      </c>
      <c r="K624">
        <v>3139</v>
      </c>
      <c r="L624">
        <v>24</v>
      </c>
      <c r="M624">
        <v>7.5877331647170396E-3</v>
      </c>
      <c r="N624" s="25">
        <f t="shared" si="27"/>
        <v>7.5877331647170587E-3</v>
      </c>
      <c r="O624">
        <v>0.99241226683528205</v>
      </c>
      <c r="P624" s="25">
        <f t="shared" si="29"/>
        <v>0.99241226683528294</v>
      </c>
      <c r="Q624">
        <v>20</v>
      </c>
      <c r="R624" t="s">
        <v>124</v>
      </c>
      <c r="S624" t="s">
        <v>124</v>
      </c>
      <c r="T624" t="s">
        <v>124</v>
      </c>
      <c r="U624" t="s">
        <v>124</v>
      </c>
      <c r="X624" s="19">
        <f>J624</f>
        <v>0.94029850746268662</v>
      </c>
      <c r="Y624" s="19">
        <f>N624</f>
        <v>7.5877331647170587E-3</v>
      </c>
      <c r="Z624" s="26">
        <f>(L624+Q624)/(L624+Q624+H624+K624)</f>
        <v>1.2578616352201259E-2</v>
      </c>
    </row>
    <row r="625" spans="1:26" x14ac:dyDescent="0.35">
      <c r="A625" t="s">
        <v>122</v>
      </c>
      <c r="B625" t="s">
        <v>122</v>
      </c>
      <c r="C625" t="s">
        <v>123</v>
      </c>
      <c r="D625" t="s">
        <v>100</v>
      </c>
      <c r="E625" t="s">
        <v>99</v>
      </c>
      <c r="F625" t="s">
        <v>12</v>
      </c>
      <c r="G625">
        <v>1</v>
      </c>
      <c r="H625">
        <v>315</v>
      </c>
      <c r="I625">
        <v>0.94029850746268595</v>
      </c>
      <c r="J625" s="25">
        <f t="shared" si="28"/>
        <v>0.94029850746268662</v>
      </c>
      <c r="K625">
        <v>3139</v>
      </c>
      <c r="L625">
        <v>24</v>
      </c>
      <c r="M625">
        <v>7.5877331647170396E-3</v>
      </c>
      <c r="N625" s="25">
        <f t="shared" si="27"/>
        <v>7.5877331647170587E-3</v>
      </c>
      <c r="O625">
        <v>0.99241226683528205</v>
      </c>
      <c r="P625" s="25">
        <f t="shared" si="29"/>
        <v>0.99241226683528294</v>
      </c>
      <c r="Q625">
        <v>20</v>
      </c>
      <c r="R625" t="s">
        <v>124</v>
      </c>
      <c r="S625" t="s">
        <v>124</v>
      </c>
      <c r="T625" t="s">
        <v>124</v>
      </c>
      <c r="U625" t="s">
        <v>124</v>
      </c>
      <c r="X625" s="19">
        <f>J625</f>
        <v>0.94029850746268662</v>
      </c>
      <c r="Y625" s="19">
        <f>N625</f>
        <v>7.5877331647170587E-3</v>
      </c>
      <c r="Z625" s="26">
        <f>(L625+Q625)/(L625+Q625+H625+K625)</f>
        <v>1.2578616352201259E-2</v>
      </c>
    </row>
    <row r="626" spans="1:26" x14ac:dyDescent="0.35">
      <c r="A626" t="s">
        <v>122</v>
      </c>
      <c r="B626" t="s">
        <v>122</v>
      </c>
      <c r="C626" t="s">
        <v>123</v>
      </c>
      <c r="D626" t="s">
        <v>100</v>
      </c>
      <c r="E626" t="s">
        <v>99</v>
      </c>
      <c r="F626" t="s">
        <v>12</v>
      </c>
      <c r="G626">
        <v>1</v>
      </c>
      <c r="H626">
        <v>315</v>
      </c>
      <c r="I626">
        <v>0.94029850746268595</v>
      </c>
      <c r="J626" s="25">
        <f t="shared" si="28"/>
        <v>0.94029850746268662</v>
      </c>
      <c r="K626">
        <v>3139</v>
      </c>
      <c r="L626">
        <v>24</v>
      </c>
      <c r="M626">
        <v>7.5877331647170396E-3</v>
      </c>
      <c r="N626" s="25">
        <f t="shared" si="27"/>
        <v>7.5877331647170587E-3</v>
      </c>
      <c r="O626">
        <v>0.99241226683528205</v>
      </c>
      <c r="P626" s="25">
        <f t="shared" si="29"/>
        <v>0.99241226683528294</v>
      </c>
      <c r="Q626">
        <v>20</v>
      </c>
      <c r="R626" t="s">
        <v>124</v>
      </c>
      <c r="S626" t="s">
        <v>124</v>
      </c>
      <c r="T626" t="s">
        <v>124</v>
      </c>
      <c r="U626" t="s">
        <v>124</v>
      </c>
      <c r="X626" s="19">
        <f>J626</f>
        <v>0.94029850746268662</v>
      </c>
      <c r="Y626" s="19">
        <f>N626</f>
        <v>7.5877331647170587E-3</v>
      </c>
      <c r="Z626" s="26">
        <f>(L626+Q626)/(L626+Q626+H626+K626)</f>
        <v>1.2578616352201259E-2</v>
      </c>
    </row>
    <row r="627" spans="1:26" x14ac:dyDescent="0.35">
      <c r="A627" t="s">
        <v>122</v>
      </c>
      <c r="B627" t="s">
        <v>122</v>
      </c>
      <c r="C627" t="s">
        <v>123</v>
      </c>
      <c r="D627" t="s">
        <v>100</v>
      </c>
      <c r="E627" t="s">
        <v>99</v>
      </c>
      <c r="F627" t="s">
        <v>12</v>
      </c>
      <c r="G627">
        <v>1</v>
      </c>
      <c r="H627">
        <v>315</v>
      </c>
      <c r="I627">
        <v>0.94029850746268595</v>
      </c>
      <c r="J627" s="25">
        <f t="shared" si="28"/>
        <v>0.94029850746268662</v>
      </c>
      <c r="K627">
        <v>3139</v>
      </c>
      <c r="L627">
        <v>24</v>
      </c>
      <c r="M627">
        <v>7.5877331647170396E-3</v>
      </c>
      <c r="N627" s="25">
        <f t="shared" si="27"/>
        <v>7.5877331647170587E-3</v>
      </c>
      <c r="O627">
        <v>0.99241226683528205</v>
      </c>
      <c r="P627" s="25">
        <f t="shared" si="29"/>
        <v>0.99241226683528294</v>
      </c>
      <c r="Q627">
        <v>20</v>
      </c>
      <c r="R627" t="s">
        <v>124</v>
      </c>
      <c r="S627" t="s">
        <v>124</v>
      </c>
      <c r="T627" t="s">
        <v>124</v>
      </c>
      <c r="U627" t="s">
        <v>124</v>
      </c>
      <c r="X627" s="19">
        <f>J627</f>
        <v>0.94029850746268662</v>
      </c>
      <c r="Y627" s="19">
        <f>N627</f>
        <v>7.5877331647170587E-3</v>
      </c>
      <c r="Z627" s="26">
        <f>(L627+Q627)/(L627+Q627+H627+K627)</f>
        <v>1.2578616352201259E-2</v>
      </c>
    </row>
    <row r="628" spans="1:26" x14ac:dyDescent="0.35">
      <c r="A628" t="s">
        <v>122</v>
      </c>
      <c r="B628" t="s">
        <v>122</v>
      </c>
      <c r="C628" t="s">
        <v>123</v>
      </c>
      <c r="D628" t="s">
        <v>100</v>
      </c>
      <c r="E628" t="s">
        <v>99</v>
      </c>
      <c r="F628" t="s">
        <v>12</v>
      </c>
      <c r="G628">
        <v>1</v>
      </c>
      <c r="H628">
        <v>315</v>
      </c>
      <c r="I628">
        <v>0.94029850746268595</v>
      </c>
      <c r="J628" s="25">
        <f t="shared" si="28"/>
        <v>0.94029850746268662</v>
      </c>
      <c r="K628">
        <v>3139</v>
      </c>
      <c r="L628">
        <v>24</v>
      </c>
      <c r="M628">
        <v>7.5877331647170396E-3</v>
      </c>
      <c r="N628" s="25">
        <f t="shared" si="27"/>
        <v>7.5877331647170587E-3</v>
      </c>
      <c r="O628">
        <v>0.99241226683528205</v>
      </c>
      <c r="P628" s="25">
        <f t="shared" si="29"/>
        <v>0.99241226683528294</v>
      </c>
      <c r="Q628">
        <v>20</v>
      </c>
      <c r="R628" t="s">
        <v>124</v>
      </c>
      <c r="S628" t="s">
        <v>124</v>
      </c>
      <c r="T628" t="s">
        <v>124</v>
      </c>
      <c r="U628" t="s">
        <v>124</v>
      </c>
      <c r="X628" s="19">
        <f>J628</f>
        <v>0.94029850746268662</v>
      </c>
      <c r="Y628" s="19">
        <f>N628</f>
        <v>7.5877331647170587E-3</v>
      </c>
      <c r="Z628" s="26">
        <f>(L628+Q628)/(L628+Q628+H628+K628)</f>
        <v>1.2578616352201259E-2</v>
      </c>
    </row>
    <row r="629" spans="1:26" x14ac:dyDescent="0.35">
      <c r="A629" t="s">
        <v>122</v>
      </c>
      <c r="B629" t="s">
        <v>122</v>
      </c>
      <c r="C629" t="s">
        <v>123</v>
      </c>
      <c r="D629" t="s">
        <v>100</v>
      </c>
      <c r="E629" t="s">
        <v>99</v>
      </c>
      <c r="F629" t="s">
        <v>12</v>
      </c>
      <c r="G629">
        <v>1</v>
      </c>
      <c r="H629">
        <v>315</v>
      </c>
      <c r="I629">
        <v>0.94029850746268595</v>
      </c>
      <c r="J629" s="25">
        <f t="shared" si="28"/>
        <v>0.94029850746268662</v>
      </c>
      <c r="K629">
        <v>3139</v>
      </c>
      <c r="L629">
        <v>24</v>
      </c>
      <c r="M629">
        <v>7.5877331647170396E-3</v>
      </c>
      <c r="N629" s="25">
        <f t="shared" si="27"/>
        <v>7.5877331647170587E-3</v>
      </c>
      <c r="O629">
        <v>0.99241226683528205</v>
      </c>
      <c r="P629" s="25">
        <f t="shared" si="29"/>
        <v>0.99241226683528294</v>
      </c>
      <c r="Q629">
        <v>20</v>
      </c>
      <c r="R629" t="s">
        <v>124</v>
      </c>
      <c r="S629" t="s">
        <v>124</v>
      </c>
      <c r="T629" t="s">
        <v>124</v>
      </c>
      <c r="U629" t="s">
        <v>124</v>
      </c>
      <c r="X629" s="19">
        <f>J629</f>
        <v>0.94029850746268662</v>
      </c>
      <c r="Y629" s="19">
        <f>N629</f>
        <v>7.5877331647170587E-3</v>
      </c>
      <c r="Z629" s="26">
        <f>(L629+Q629)/(L629+Q629+H629+K629)</f>
        <v>1.2578616352201259E-2</v>
      </c>
    </row>
    <row r="630" spans="1:26" x14ac:dyDescent="0.35">
      <c r="A630" t="s">
        <v>122</v>
      </c>
      <c r="B630" t="s">
        <v>122</v>
      </c>
      <c r="C630" t="s">
        <v>123</v>
      </c>
      <c r="D630" t="s">
        <v>100</v>
      </c>
      <c r="E630" t="s">
        <v>99</v>
      </c>
      <c r="F630" t="s">
        <v>12</v>
      </c>
      <c r="G630">
        <v>1</v>
      </c>
      <c r="H630">
        <v>315</v>
      </c>
      <c r="I630">
        <v>0.94029850746268595</v>
      </c>
      <c r="J630" s="25">
        <f t="shared" si="28"/>
        <v>0.94029850746268662</v>
      </c>
      <c r="K630">
        <v>3139</v>
      </c>
      <c r="L630">
        <v>24</v>
      </c>
      <c r="M630">
        <v>7.5877331647170396E-3</v>
      </c>
      <c r="N630" s="25">
        <f t="shared" si="27"/>
        <v>7.5877331647170587E-3</v>
      </c>
      <c r="O630">
        <v>0.99241226683528205</v>
      </c>
      <c r="P630" s="25">
        <f t="shared" si="29"/>
        <v>0.99241226683528294</v>
      </c>
      <c r="Q630">
        <v>20</v>
      </c>
      <c r="R630" t="s">
        <v>124</v>
      </c>
      <c r="S630" t="s">
        <v>124</v>
      </c>
      <c r="T630" t="s">
        <v>124</v>
      </c>
      <c r="U630" t="s">
        <v>124</v>
      </c>
      <c r="X630" s="19">
        <f>J630</f>
        <v>0.94029850746268662</v>
      </c>
      <c r="Y630" s="19">
        <f>N630</f>
        <v>7.5877331647170587E-3</v>
      </c>
      <c r="Z630" s="26">
        <f>(L630+Q630)/(L630+Q630+H630+K630)</f>
        <v>1.2578616352201259E-2</v>
      </c>
    </row>
    <row r="631" spans="1:26" x14ac:dyDescent="0.35">
      <c r="A631" t="s">
        <v>122</v>
      </c>
      <c r="B631" t="s">
        <v>122</v>
      </c>
      <c r="C631" t="s">
        <v>123</v>
      </c>
      <c r="D631" t="s">
        <v>100</v>
      </c>
      <c r="E631" t="s">
        <v>99</v>
      </c>
      <c r="F631" t="s">
        <v>12</v>
      </c>
      <c r="G631">
        <v>1</v>
      </c>
      <c r="H631">
        <v>315</v>
      </c>
      <c r="I631">
        <v>0.94029850746268595</v>
      </c>
      <c r="J631" s="25">
        <f t="shared" si="28"/>
        <v>0.94029850746268662</v>
      </c>
      <c r="K631">
        <v>3139</v>
      </c>
      <c r="L631">
        <v>24</v>
      </c>
      <c r="M631">
        <v>7.5877331647170396E-3</v>
      </c>
      <c r="N631" s="25">
        <f t="shared" si="27"/>
        <v>7.5877331647170587E-3</v>
      </c>
      <c r="O631">
        <v>0.99241226683528205</v>
      </c>
      <c r="P631" s="25">
        <f t="shared" si="29"/>
        <v>0.99241226683528294</v>
      </c>
      <c r="Q631">
        <v>20</v>
      </c>
      <c r="R631" t="s">
        <v>124</v>
      </c>
      <c r="S631" t="s">
        <v>124</v>
      </c>
      <c r="T631" t="s">
        <v>124</v>
      </c>
      <c r="U631" t="s">
        <v>124</v>
      </c>
      <c r="X631" s="19">
        <f>J631</f>
        <v>0.94029850746268662</v>
      </c>
      <c r="Y631" s="19">
        <f>N631</f>
        <v>7.5877331647170587E-3</v>
      </c>
      <c r="Z631" s="26">
        <f>(L631+Q631)/(L631+Q631+H631+K631)</f>
        <v>1.2578616352201259E-2</v>
      </c>
    </row>
    <row r="632" spans="1:26" x14ac:dyDescent="0.35">
      <c r="A632" t="s">
        <v>122</v>
      </c>
      <c r="B632" t="s">
        <v>122</v>
      </c>
      <c r="C632" t="s">
        <v>123</v>
      </c>
      <c r="D632" t="s">
        <v>100</v>
      </c>
      <c r="E632" t="s">
        <v>99</v>
      </c>
      <c r="F632" t="s">
        <v>12</v>
      </c>
      <c r="G632">
        <v>1</v>
      </c>
      <c r="H632">
        <v>315</v>
      </c>
      <c r="I632">
        <v>0.94029850746268595</v>
      </c>
      <c r="J632" s="25">
        <f t="shared" si="28"/>
        <v>0.94029850746268662</v>
      </c>
      <c r="K632">
        <v>3139</v>
      </c>
      <c r="L632">
        <v>24</v>
      </c>
      <c r="M632">
        <v>7.5877331647170396E-3</v>
      </c>
      <c r="N632" s="25">
        <f t="shared" si="27"/>
        <v>7.5877331647170587E-3</v>
      </c>
      <c r="O632">
        <v>0.99241226683528205</v>
      </c>
      <c r="P632" s="25">
        <f t="shared" si="29"/>
        <v>0.99241226683528294</v>
      </c>
      <c r="Q632">
        <v>20</v>
      </c>
      <c r="R632" t="s">
        <v>124</v>
      </c>
      <c r="S632" t="s">
        <v>124</v>
      </c>
      <c r="T632" t="s">
        <v>124</v>
      </c>
      <c r="U632" t="s">
        <v>124</v>
      </c>
      <c r="X632" s="19">
        <f>J632</f>
        <v>0.94029850746268662</v>
      </c>
      <c r="Y632" s="19">
        <f>N632</f>
        <v>7.5877331647170587E-3</v>
      </c>
      <c r="Z632" s="26">
        <f>(L632+Q632)/(L632+Q632+H632+K632)</f>
        <v>1.2578616352201259E-2</v>
      </c>
    </row>
    <row r="633" spans="1:26" x14ac:dyDescent="0.35">
      <c r="A633" t="s">
        <v>122</v>
      </c>
      <c r="B633" t="s">
        <v>122</v>
      </c>
      <c r="C633" t="s">
        <v>123</v>
      </c>
      <c r="D633" t="s">
        <v>100</v>
      </c>
      <c r="E633" t="s">
        <v>99</v>
      </c>
      <c r="F633" t="s">
        <v>12</v>
      </c>
      <c r="G633">
        <v>1</v>
      </c>
      <c r="H633">
        <v>315</v>
      </c>
      <c r="I633">
        <v>0.94029850746268595</v>
      </c>
      <c r="J633" s="25">
        <f t="shared" si="28"/>
        <v>0.94029850746268662</v>
      </c>
      <c r="K633">
        <v>3139</v>
      </c>
      <c r="L633">
        <v>24</v>
      </c>
      <c r="M633">
        <v>7.5877331647170396E-3</v>
      </c>
      <c r="N633" s="25">
        <f t="shared" si="27"/>
        <v>7.5877331647170587E-3</v>
      </c>
      <c r="O633">
        <v>0.99241226683528205</v>
      </c>
      <c r="P633" s="25">
        <f t="shared" si="29"/>
        <v>0.99241226683528294</v>
      </c>
      <c r="Q633">
        <v>20</v>
      </c>
      <c r="R633" t="s">
        <v>124</v>
      </c>
      <c r="S633" t="s">
        <v>124</v>
      </c>
      <c r="T633" t="s">
        <v>124</v>
      </c>
      <c r="U633" t="s">
        <v>124</v>
      </c>
      <c r="X633" s="19">
        <f>J633</f>
        <v>0.94029850746268662</v>
      </c>
      <c r="Y633" s="19">
        <f>N633</f>
        <v>7.5877331647170587E-3</v>
      </c>
      <c r="Z633" s="26">
        <f>(L633+Q633)/(L633+Q633+H633+K633)</f>
        <v>1.2578616352201259E-2</v>
      </c>
    </row>
    <row r="634" spans="1:26" x14ac:dyDescent="0.35">
      <c r="A634" t="s">
        <v>122</v>
      </c>
      <c r="B634" t="s">
        <v>122</v>
      </c>
      <c r="C634" t="s">
        <v>123</v>
      </c>
      <c r="D634" t="s">
        <v>100</v>
      </c>
      <c r="E634" t="s">
        <v>99</v>
      </c>
      <c r="F634" t="s">
        <v>12</v>
      </c>
      <c r="G634">
        <v>1</v>
      </c>
      <c r="H634">
        <v>315</v>
      </c>
      <c r="I634">
        <v>0.94029850746268595</v>
      </c>
      <c r="J634" s="25">
        <f t="shared" si="28"/>
        <v>0.94029850746268662</v>
      </c>
      <c r="K634">
        <v>3139</v>
      </c>
      <c r="L634">
        <v>24</v>
      </c>
      <c r="M634">
        <v>7.5877331647170396E-3</v>
      </c>
      <c r="N634" s="25">
        <f t="shared" si="27"/>
        <v>7.5877331647170587E-3</v>
      </c>
      <c r="O634">
        <v>0.99241226683528205</v>
      </c>
      <c r="P634" s="25">
        <f t="shared" si="29"/>
        <v>0.99241226683528294</v>
      </c>
      <c r="Q634">
        <v>20</v>
      </c>
      <c r="R634" t="s">
        <v>124</v>
      </c>
      <c r="S634" t="s">
        <v>124</v>
      </c>
      <c r="T634" t="s">
        <v>124</v>
      </c>
      <c r="U634" t="s">
        <v>124</v>
      </c>
      <c r="X634" s="19">
        <f>J634</f>
        <v>0.94029850746268662</v>
      </c>
      <c r="Y634" s="19">
        <f>N634</f>
        <v>7.5877331647170587E-3</v>
      </c>
      <c r="Z634" s="26">
        <f>(L634+Q634)/(L634+Q634+H634+K634)</f>
        <v>1.2578616352201259E-2</v>
      </c>
    </row>
    <row r="635" spans="1:26" x14ac:dyDescent="0.35">
      <c r="A635" t="s">
        <v>122</v>
      </c>
      <c r="B635" t="s">
        <v>122</v>
      </c>
      <c r="C635" t="s">
        <v>123</v>
      </c>
      <c r="D635" t="s">
        <v>100</v>
      </c>
      <c r="E635" t="s">
        <v>99</v>
      </c>
      <c r="F635" t="s">
        <v>12</v>
      </c>
      <c r="G635">
        <v>1</v>
      </c>
      <c r="H635">
        <v>315</v>
      </c>
      <c r="I635">
        <v>0.94029850746268595</v>
      </c>
      <c r="J635" s="25">
        <f t="shared" si="28"/>
        <v>0.94029850746268662</v>
      </c>
      <c r="K635">
        <v>3139</v>
      </c>
      <c r="L635">
        <v>24</v>
      </c>
      <c r="M635">
        <v>7.5877331647170396E-3</v>
      </c>
      <c r="N635" s="25">
        <f t="shared" si="27"/>
        <v>7.5877331647170587E-3</v>
      </c>
      <c r="O635">
        <v>0.99241226683528205</v>
      </c>
      <c r="P635" s="25">
        <f t="shared" si="29"/>
        <v>0.99241226683528294</v>
      </c>
      <c r="Q635">
        <v>20</v>
      </c>
      <c r="R635" t="s">
        <v>124</v>
      </c>
      <c r="S635" t="s">
        <v>124</v>
      </c>
      <c r="T635" t="s">
        <v>124</v>
      </c>
      <c r="U635" t="s">
        <v>124</v>
      </c>
      <c r="X635" s="19">
        <f>J635</f>
        <v>0.94029850746268662</v>
      </c>
      <c r="Y635" s="19">
        <f>N635</f>
        <v>7.5877331647170587E-3</v>
      </c>
      <c r="Z635" s="26">
        <f>(L635+Q635)/(L635+Q635+H635+K635)</f>
        <v>1.2578616352201259E-2</v>
      </c>
    </row>
    <row r="636" spans="1:26" x14ac:dyDescent="0.35">
      <c r="A636" t="s">
        <v>122</v>
      </c>
      <c r="B636" t="s">
        <v>122</v>
      </c>
      <c r="C636" t="s">
        <v>123</v>
      </c>
      <c r="D636" t="s">
        <v>100</v>
      </c>
      <c r="E636" t="s">
        <v>99</v>
      </c>
      <c r="F636" t="s">
        <v>12</v>
      </c>
      <c r="G636">
        <v>1</v>
      </c>
      <c r="H636">
        <v>315</v>
      </c>
      <c r="I636">
        <v>0.94029850746268595</v>
      </c>
      <c r="J636" s="25">
        <f t="shared" si="28"/>
        <v>0.94029850746268662</v>
      </c>
      <c r="K636">
        <v>3139</v>
      </c>
      <c r="L636">
        <v>24</v>
      </c>
      <c r="M636">
        <v>7.5877331647170396E-3</v>
      </c>
      <c r="N636" s="25">
        <f t="shared" si="27"/>
        <v>7.5877331647170587E-3</v>
      </c>
      <c r="O636">
        <v>0.99241226683528205</v>
      </c>
      <c r="P636" s="25">
        <f t="shared" si="29"/>
        <v>0.99241226683528294</v>
      </c>
      <c r="Q636">
        <v>20</v>
      </c>
      <c r="R636" t="s">
        <v>124</v>
      </c>
      <c r="S636" t="s">
        <v>124</v>
      </c>
      <c r="T636" t="s">
        <v>124</v>
      </c>
      <c r="U636" t="s">
        <v>124</v>
      </c>
      <c r="X636" s="19">
        <f>J636</f>
        <v>0.94029850746268662</v>
      </c>
      <c r="Y636" s="19">
        <f>N636</f>
        <v>7.5877331647170587E-3</v>
      </c>
      <c r="Z636" s="26">
        <f>(L636+Q636)/(L636+Q636+H636+K636)</f>
        <v>1.2578616352201259E-2</v>
      </c>
    </row>
    <row r="637" spans="1:26" x14ac:dyDescent="0.35">
      <c r="A637" t="s">
        <v>122</v>
      </c>
      <c r="B637" t="s">
        <v>122</v>
      </c>
      <c r="C637" t="s">
        <v>123</v>
      </c>
      <c r="D637" t="s">
        <v>100</v>
      </c>
      <c r="E637" t="s">
        <v>99</v>
      </c>
      <c r="F637" t="s">
        <v>12</v>
      </c>
      <c r="G637">
        <v>1</v>
      </c>
      <c r="H637">
        <v>315</v>
      </c>
      <c r="I637">
        <v>0.94029850746268595</v>
      </c>
      <c r="J637" s="25">
        <f t="shared" si="28"/>
        <v>0.94029850746268662</v>
      </c>
      <c r="K637">
        <v>3139</v>
      </c>
      <c r="L637">
        <v>24</v>
      </c>
      <c r="M637">
        <v>7.5877331647170396E-3</v>
      </c>
      <c r="N637" s="25">
        <f t="shared" si="27"/>
        <v>7.5877331647170587E-3</v>
      </c>
      <c r="O637">
        <v>0.99241226683528205</v>
      </c>
      <c r="P637" s="25">
        <f t="shared" si="29"/>
        <v>0.99241226683528294</v>
      </c>
      <c r="Q637">
        <v>20</v>
      </c>
      <c r="R637" t="s">
        <v>124</v>
      </c>
      <c r="S637" t="s">
        <v>124</v>
      </c>
      <c r="T637" t="s">
        <v>124</v>
      </c>
      <c r="U637" t="s">
        <v>124</v>
      </c>
      <c r="X637" s="19">
        <f>J637</f>
        <v>0.94029850746268662</v>
      </c>
      <c r="Y637" s="19">
        <f>N637</f>
        <v>7.5877331647170587E-3</v>
      </c>
      <c r="Z637" s="26">
        <f>(L637+Q637)/(L637+Q637+H637+K637)</f>
        <v>1.2578616352201259E-2</v>
      </c>
    </row>
    <row r="638" spans="1:26" x14ac:dyDescent="0.35">
      <c r="A638" t="s">
        <v>122</v>
      </c>
      <c r="B638" t="s">
        <v>122</v>
      </c>
      <c r="C638" t="s">
        <v>123</v>
      </c>
      <c r="D638" t="s">
        <v>100</v>
      </c>
      <c r="E638" t="s">
        <v>99</v>
      </c>
      <c r="F638" t="s">
        <v>12</v>
      </c>
      <c r="G638">
        <v>1</v>
      </c>
      <c r="H638">
        <v>315</v>
      </c>
      <c r="I638">
        <v>0.94029850746268595</v>
      </c>
      <c r="J638" s="25">
        <f t="shared" si="28"/>
        <v>0.94029850746268662</v>
      </c>
      <c r="K638">
        <v>3139</v>
      </c>
      <c r="L638">
        <v>24</v>
      </c>
      <c r="M638">
        <v>7.5877331647170396E-3</v>
      </c>
      <c r="N638" s="25">
        <f t="shared" si="27"/>
        <v>7.5877331647170587E-3</v>
      </c>
      <c r="O638">
        <v>0.99241226683528205</v>
      </c>
      <c r="P638" s="25">
        <f t="shared" si="29"/>
        <v>0.99241226683528294</v>
      </c>
      <c r="Q638">
        <v>20</v>
      </c>
      <c r="R638" t="s">
        <v>124</v>
      </c>
      <c r="S638" t="s">
        <v>124</v>
      </c>
      <c r="T638" t="s">
        <v>124</v>
      </c>
      <c r="U638" t="s">
        <v>124</v>
      </c>
      <c r="X638" s="19">
        <f>J638</f>
        <v>0.94029850746268662</v>
      </c>
      <c r="Y638" s="19">
        <f>N638</f>
        <v>7.5877331647170587E-3</v>
      </c>
      <c r="Z638" s="26">
        <f>(L638+Q638)/(L638+Q638+H638+K638)</f>
        <v>1.2578616352201259E-2</v>
      </c>
    </row>
    <row r="639" spans="1:26" x14ac:dyDescent="0.35">
      <c r="A639" t="s">
        <v>122</v>
      </c>
      <c r="B639" t="s">
        <v>122</v>
      </c>
      <c r="C639" t="s">
        <v>123</v>
      </c>
      <c r="D639" t="s">
        <v>100</v>
      </c>
      <c r="E639" t="s">
        <v>99</v>
      </c>
      <c r="F639" t="s">
        <v>12</v>
      </c>
      <c r="G639">
        <v>1</v>
      </c>
      <c r="H639">
        <v>315</v>
      </c>
      <c r="I639">
        <v>0.94029850746268595</v>
      </c>
      <c r="J639" s="25">
        <f t="shared" si="28"/>
        <v>0.94029850746268662</v>
      </c>
      <c r="K639">
        <v>3139</v>
      </c>
      <c r="L639">
        <v>24</v>
      </c>
      <c r="M639">
        <v>7.5877331647170396E-3</v>
      </c>
      <c r="N639" s="25">
        <f t="shared" si="27"/>
        <v>7.5877331647170587E-3</v>
      </c>
      <c r="O639">
        <v>0.99241226683528205</v>
      </c>
      <c r="P639" s="25">
        <f t="shared" si="29"/>
        <v>0.99241226683528294</v>
      </c>
      <c r="Q639">
        <v>20</v>
      </c>
      <c r="R639" t="s">
        <v>124</v>
      </c>
      <c r="S639" t="s">
        <v>124</v>
      </c>
      <c r="T639" t="s">
        <v>124</v>
      </c>
      <c r="U639" t="s">
        <v>124</v>
      </c>
      <c r="X639" s="19">
        <f>J639</f>
        <v>0.94029850746268662</v>
      </c>
      <c r="Y639" s="19">
        <f>N639</f>
        <v>7.5877331647170587E-3</v>
      </c>
      <c r="Z639" s="26">
        <f>(L639+Q639)/(L639+Q639+H639+K639)</f>
        <v>1.2578616352201259E-2</v>
      </c>
    </row>
    <row r="640" spans="1:26" x14ac:dyDescent="0.35">
      <c r="A640" t="s">
        <v>122</v>
      </c>
      <c r="B640" t="s">
        <v>122</v>
      </c>
      <c r="C640" t="s">
        <v>123</v>
      </c>
      <c r="D640" t="s">
        <v>100</v>
      </c>
      <c r="E640" t="s">
        <v>99</v>
      </c>
      <c r="F640" t="s">
        <v>12</v>
      </c>
      <c r="G640">
        <v>1</v>
      </c>
      <c r="H640">
        <v>315</v>
      </c>
      <c r="I640">
        <v>0.94029850746268595</v>
      </c>
      <c r="J640" s="25">
        <f t="shared" si="28"/>
        <v>0.94029850746268662</v>
      </c>
      <c r="K640">
        <v>3139</v>
      </c>
      <c r="L640">
        <v>24</v>
      </c>
      <c r="M640">
        <v>7.5877331647170396E-3</v>
      </c>
      <c r="N640" s="25">
        <f t="shared" si="27"/>
        <v>7.5877331647170587E-3</v>
      </c>
      <c r="O640">
        <v>0.99241226683528205</v>
      </c>
      <c r="P640" s="25">
        <f t="shared" si="29"/>
        <v>0.99241226683528294</v>
      </c>
      <c r="Q640">
        <v>20</v>
      </c>
      <c r="R640" t="s">
        <v>124</v>
      </c>
      <c r="S640" t="s">
        <v>124</v>
      </c>
      <c r="T640" t="s">
        <v>124</v>
      </c>
      <c r="U640" t="s">
        <v>124</v>
      </c>
      <c r="X640" s="19">
        <f>J640</f>
        <v>0.94029850746268662</v>
      </c>
      <c r="Y640" s="19">
        <f>N640</f>
        <v>7.5877331647170587E-3</v>
      </c>
      <c r="Z640" s="26">
        <f>(L640+Q640)/(L640+Q640+H640+K640)</f>
        <v>1.2578616352201259E-2</v>
      </c>
    </row>
    <row r="641" spans="1:26" x14ac:dyDescent="0.35">
      <c r="A641" t="s">
        <v>122</v>
      </c>
      <c r="B641" t="s">
        <v>122</v>
      </c>
      <c r="C641" t="s">
        <v>123</v>
      </c>
      <c r="D641" t="s">
        <v>100</v>
      </c>
      <c r="E641" t="s">
        <v>99</v>
      </c>
      <c r="F641" t="s">
        <v>12</v>
      </c>
      <c r="G641">
        <v>1</v>
      </c>
      <c r="H641">
        <v>315</v>
      </c>
      <c r="I641">
        <v>0.94029850746268595</v>
      </c>
      <c r="J641" s="25">
        <f t="shared" si="28"/>
        <v>0.94029850746268662</v>
      </c>
      <c r="K641">
        <v>3139</v>
      </c>
      <c r="L641">
        <v>24</v>
      </c>
      <c r="M641">
        <v>7.5877331647170396E-3</v>
      </c>
      <c r="N641" s="25">
        <f t="shared" si="27"/>
        <v>7.5877331647170587E-3</v>
      </c>
      <c r="O641">
        <v>0.99241226683528205</v>
      </c>
      <c r="P641" s="25">
        <f t="shared" si="29"/>
        <v>0.99241226683528294</v>
      </c>
      <c r="Q641">
        <v>20</v>
      </c>
      <c r="R641" t="s">
        <v>124</v>
      </c>
      <c r="S641" t="s">
        <v>124</v>
      </c>
      <c r="T641" t="s">
        <v>124</v>
      </c>
      <c r="U641" t="s">
        <v>124</v>
      </c>
      <c r="X641" s="19">
        <f>J641</f>
        <v>0.94029850746268662</v>
      </c>
      <c r="Y641" s="19">
        <f>N641</f>
        <v>7.5877331647170587E-3</v>
      </c>
      <c r="Z641" s="26">
        <f>(L641+Q641)/(L641+Q641+H641+K641)</f>
        <v>1.2578616352201259E-2</v>
      </c>
    </row>
    <row r="642" spans="1:26" x14ac:dyDescent="0.35">
      <c r="A642" t="s">
        <v>122</v>
      </c>
      <c r="B642" t="s">
        <v>122</v>
      </c>
      <c r="C642" t="s">
        <v>123</v>
      </c>
      <c r="D642" t="s">
        <v>100</v>
      </c>
      <c r="E642" t="s">
        <v>99</v>
      </c>
      <c r="F642" t="s">
        <v>12</v>
      </c>
      <c r="G642">
        <v>1</v>
      </c>
      <c r="H642">
        <v>315</v>
      </c>
      <c r="I642">
        <v>0.94029850746268595</v>
      </c>
      <c r="J642" s="25">
        <f t="shared" si="28"/>
        <v>0.94029850746268662</v>
      </c>
      <c r="K642">
        <v>3139</v>
      </c>
      <c r="L642">
        <v>24</v>
      </c>
      <c r="M642">
        <v>7.5877331647170396E-3</v>
      </c>
      <c r="N642" s="25">
        <f t="shared" ref="N642:N705" si="30">1-P642</f>
        <v>7.5877331647170587E-3</v>
      </c>
      <c r="O642">
        <v>0.99241226683528205</v>
      </c>
      <c r="P642" s="25">
        <f t="shared" si="29"/>
        <v>0.99241226683528294</v>
      </c>
      <c r="Q642">
        <v>20</v>
      </c>
      <c r="R642" t="s">
        <v>124</v>
      </c>
      <c r="S642" t="s">
        <v>124</v>
      </c>
      <c r="T642" t="s">
        <v>124</v>
      </c>
      <c r="U642" t="s">
        <v>124</v>
      </c>
      <c r="X642" s="19">
        <f>J642</f>
        <v>0.94029850746268662</v>
      </c>
      <c r="Y642" s="19">
        <f>N642</f>
        <v>7.5877331647170587E-3</v>
      </c>
      <c r="Z642" s="26">
        <f>(L642+Q642)/(L642+Q642+H642+K642)</f>
        <v>1.2578616352201259E-2</v>
      </c>
    </row>
    <row r="643" spans="1:26" x14ac:dyDescent="0.35">
      <c r="A643" t="s">
        <v>122</v>
      </c>
      <c r="B643" t="s">
        <v>122</v>
      </c>
      <c r="C643" t="s">
        <v>123</v>
      </c>
      <c r="D643" t="s">
        <v>100</v>
      </c>
      <c r="E643" t="s">
        <v>99</v>
      </c>
      <c r="F643" t="s">
        <v>12</v>
      </c>
      <c r="G643">
        <v>1</v>
      </c>
      <c r="H643">
        <v>315</v>
      </c>
      <c r="I643">
        <v>0.94029850746268595</v>
      </c>
      <c r="J643" s="25">
        <f t="shared" ref="J643:J706" si="31">H643/(H643+Q643)</f>
        <v>0.94029850746268662</v>
      </c>
      <c r="K643">
        <v>3139</v>
      </c>
      <c r="L643">
        <v>24</v>
      </c>
      <c r="M643">
        <v>7.5877331647170396E-3</v>
      </c>
      <c r="N643" s="25">
        <f t="shared" si="30"/>
        <v>7.5877331647170587E-3</v>
      </c>
      <c r="O643">
        <v>0.99241226683528205</v>
      </c>
      <c r="P643" s="25">
        <f t="shared" ref="P643:P706" si="32">K643/(K643+L643)</f>
        <v>0.99241226683528294</v>
      </c>
      <c r="Q643">
        <v>20</v>
      </c>
      <c r="R643" t="s">
        <v>124</v>
      </c>
      <c r="S643" t="s">
        <v>124</v>
      </c>
      <c r="T643" t="s">
        <v>124</v>
      </c>
      <c r="U643" t="s">
        <v>124</v>
      </c>
      <c r="X643" s="19">
        <f>J643</f>
        <v>0.94029850746268662</v>
      </c>
      <c r="Y643" s="19">
        <f>N643</f>
        <v>7.5877331647170587E-3</v>
      </c>
      <c r="Z643" s="26">
        <f>(L643+Q643)/(L643+Q643+H643+K643)</f>
        <v>1.2578616352201259E-2</v>
      </c>
    </row>
    <row r="644" spans="1:26" x14ac:dyDescent="0.35">
      <c r="A644" t="s">
        <v>122</v>
      </c>
      <c r="B644" t="s">
        <v>122</v>
      </c>
      <c r="C644" t="s">
        <v>123</v>
      </c>
      <c r="D644" t="s">
        <v>100</v>
      </c>
      <c r="E644" t="s">
        <v>99</v>
      </c>
      <c r="F644" t="s">
        <v>12</v>
      </c>
      <c r="G644">
        <v>1</v>
      </c>
      <c r="H644">
        <v>315</v>
      </c>
      <c r="I644">
        <v>0.94029850746268595</v>
      </c>
      <c r="J644" s="25">
        <f t="shared" si="31"/>
        <v>0.94029850746268662</v>
      </c>
      <c r="K644">
        <v>3139</v>
      </c>
      <c r="L644">
        <v>24</v>
      </c>
      <c r="M644">
        <v>7.5877331647170396E-3</v>
      </c>
      <c r="N644" s="25">
        <f t="shared" si="30"/>
        <v>7.5877331647170587E-3</v>
      </c>
      <c r="O644">
        <v>0.99241226683528205</v>
      </c>
      <c r="P644" s="25">
        <f t="shared" si="32"/>
        <v>0.99241226683528294</v>
      </c>
      <c r="Q644">
        <v>20</v>
      </c>
      <c r="R644" t="s">
        <v>124</v>
      </c>
      <c r="S644" t="s">
        <v>124</v>
      </c>
      <c r="T644" t="s">
        <v>124</v>
      </c>
      <c r="U644" t="s">
        <v>124</v>
      </c>
      <c r="X644" s="19">
        <f>J644</f>
        <v>0.94029850746268662</v>
      </c>
      <c r="Y644" s="19">
        <f>N644</f>
        <v>7.5877331647170587E-3</v>
      </c>
      <c r="Z644" s="26">
        <f>(L644+Q644)/(L644+Q644+H644+K644)</f>
        <v>1.2578616352201259E-2</v>
      </c>
    </row>
    <row r="645" spans="1:26" x14ac:dyDescent="0.35">
      <c r="A645" t="s">
        <v>122</v>
      </c>
      <c r="B645" t="s">
        <v>122</v>
      </c>
      <c r="C645" t="s">
        <v>123</v>
      </c>
      <c r="D645" t="s">
        <v>100</v>
      </c>
      <c r="E645" t="s">
        <v>99</v>
      </c>
      <c r="F645" t="s">
        <v>12</v>
      </c>
      <c r="G645">
        <v>1</v>
      </c>
      <c r="H645">
        <v>315</v>
      </c>
      <c r="I645">
        <v>0.94029850746268595</v>
      </c>
      <c r="J645" s="25">
        <f t="shared" si="31"/>
        <v>0.94029850746268662</v>
      </c>
      <c r="K645">
        <v>3139</v>
      </c>
      <c r="L645">
        <v>24</v>
      </c>
      <c r="M645">
        <v>7.5877331647170396E-3</v>
      </c>
      <c r="N645" s="25">
        <f t="shared" si="30"/>
        <v>7.5877331647170587E-3</v>
      </c>
      <c r="O645">
        <v>0.99241226683528205</v>
      </c>
      <c r="P645" s="25">
        <f t="shared" si="32"/>
        <v>0.99241226683528294</v>
      </c>
      <c r="Q645">
        <v>20</v>
      </c>
      <c r="R645" t="s">
        <v>124</v>
      </c>
      <c r="S645" t="s">
        <v>124</v>
      </c>
      <c r="T645" t="s">
        <v>124</v>
      </c>
      <c r="U645" t="s">
        <v>124</v>
      </c>
      <c r="X645" s="19">
        <f>J645</f>
        <v>0.94029850746268662</v>
      </c>
      <c r="Y645" s="19">
        <f>N645</f>
        <v>7.5877331647170587E-3</v>
      </c>
      <c r="Z645" s="26">
        <f>(L645+Q645)/(L645+Q645+H645+K645)</f>
        <v>1.2578616352201259E-2</v>
      </c>
    </row>
    <row r="646" spans="1:26" x14ac:dyDescent="0.35">
      <c r="A646" t="s">
        <v>122</v>
      </c>
      <c r="B646" t="s">
        <v>122</v>
      </c>
      <c r="C646" t="s">
        <v>123</v>
      </c>
      <c r="D646" t="s">
        <v>100</v>
      </c>
      <c r="E646" t="s">
        <v>99</v>
      </c>
      <c r="F646" t="s">
        <v>12</v>
      </c>
      <c r="G646">
        <v>1</v>
      </c>
      <c r="H646">
        <v>315</v>
      </c>
      <c r="I646">
        <v>0.94029850746268595</v>
      </c>
      <c r="J646" s="25">
        <f t="shared" si="31"/>
        <v>0.94029850746268662</v>
      </c>
      <c r="K646">
        <v>3139</v>
      </c>
      <c r="L646">
        <v>24</v>
      </c>
      <c r="M646">
        <v>7.5877331647170396E-3</v>
      </c>
      <c r="N646" s="25">
        <f t="shared" si="30"/>
        <v>7.5877331647170587E-3</v>
      </c>
      <c r="O646">
        <v>0.99241226683528205</v>
      </c>
      <c r="P646" s="25">
        <f t="shared" si="32"/>
        <v>0.99241226683528294</v>
      </c>
      <c r="Q646">
        <v>20</v>
      </c>
      <c r="R646" t="s">
        <v>124</v>
      </c>
      <c r="S646" t="s">
        <v>124</v>
      </c>
      <c r="T646" t="s">
        <v>124</v>
      </c>
      <c r="U646" t="s">
        <v>124</v>
      </c>
      <c r="X646" s="19">
        <f>J646</f>
        <v>0.94029850746268662</v>
      </c>
      <c r="Y646" s="19">
        <f>N646</f>
        <v>7.5877331647170587E-3</v>
      </c>
      <c r="Z646" s="26">
        <f>(L646+Q646)/(L646+Q646+H646+K646)</f>
        <v>1.2578616352201259E-2</v>
      </c>
    </row>
    <row r="647" spans="1:26" x14ac:dyDescent="0.35">
      <c r="A647" t="s">
        <v>122</v>
      </c>
      <c r="B647" t="s">
        <v>122</v>
      </c>
      <c r="C647" t="s">
        <v>123</v>
      </c>
      <c r="D647" t="s">
        <v>100</v>
      </c>
      <c r="E647" t="s">
        <v>99</v>
      </c>
      <c r="F647" t="s">
        <v>12</v>
      </c>
      <c r="G647">
        <v>1</v>
      </c>
      <c r="H647">
        <v>315</v>
      </c>
      <c r="I647">
        <v>0.94029850746268595</v>
      </c>
      <c r="J647" s="25">
        <f t="shared" si="31"/>
        <v>0.94029850746268662</v>
      </c>
      <c r="K647">
        <v>3139</v>
      </c>
      <c r="L647">
        <v>24</v>
      </c>
      <c r="M647">
        <v>7.5877331647170396E-3</v>
      </c>
      <c r="N647" s="25">
        <f t="shared" si="30"/>
        <v>7.5877331647170587E-3</v>
      </c>
      <c r="O647">
        <v>0.99241226683528205</v>
      </c>
      <c r="P647" s="25">
        <f t="shared" si="32"/>
        <v>0.99241226683528294</v>
      </c>
      <c r="Q647">
        <v>20</v>
      </c>
      <c r="R647" t="s">
        <v>124</v>
      </c>
      <c r="S647" t="s">
        <v>124</v>
      </c>
      <c r="T647" t="s">
        <v>124</v>
      </c>
      <c r="U647" t="s">
        <v>124</v>
      </c>
      <c r="X647" s="19">
        <f>J647</f>
        <v>0.94029850746268662</v>
      </c>
      <c r="Y647" s="19">
        <f>N647</f>
        <v>7.5877331647170587E-3</v>
      </c>
      <c r="Z647" s="26">
        <f>(L647+Q647)/(L647+Q647+H647+K647)</f>
        <v>1.2578616352201259E-2</v>
      </c>
    </row>
    <row r="648" spans="1:26" x14ac:dyDescent="0.35">
      <c r="A648" t="s">
        <v>122</v>
      </c>
      <c r="B648" t="s">
        <v>122</v>
      </c>
      <c r="C648" t="s">
        <v>123</v>
      </c>
      <c r="D648" t="s">
        <v>100</v>
      </c>
      <c r="E648" t="s">
        <v>99</v>
      </c>
      <c r="F648" t="s">
        <v>12</v>
      </c>
      <c r="G648">
        <v>1</v>
      </c>
      <c r="H648">
        <v>315</v>
      </c>
      <c r="I648">
        <v>0.94029850746268595</v>
      </c>
      <c r="J648" s="25">
        <f t="shared" si="31"/>
        <v>0.94029850746268662</v>
      </c>
      <c r="K648">
        <v>3139</v>
      </c>
      <c r="L648">
        <v>24</v>
      </c>
      <c r="M648">
        <v>7.5877331647170396E-3</v>
      </c>
      <c r="N648" s="25">
        <f t="shared" si="30"/>
        <v>7.5877331647170587E-3</v>
      </c>
      <c r="O648">
        <v>0.99241226683528205</v>
      </c>
      <c r="P648" s="25">
        <f t="shared" si="32"/>
        <v>0.99241226683528294</v>
      </c>
      <c r="Q648">
        <v>20</v>
      </c>
      <c r="R648" t="s">
        <v>124</v>
      </c>
      <c r="S648" t="s">
        <v>124</v>
      </c>
      <c r="T648" t="s">
        <v>124</v>
      </c>
      <c r="U648" t="s">
        <v>124</v>
      </c>
      <c r="X648" s="19">
        <f>J648</f>
        <v>0.94029850746268662</v>
      </c>
      <c r="Y648" s="19">
        <f>N648</f>
        <v>7.5877331647170587E-3</v>
      </c>
      <c r="Z648" s="26">
        <f>(L648+Q648)/(L648+Q648+H648+K648)</f>
        <v>1.2578616352201259E-2</v>
      </c>
    </row>
    <row r="649" spans="1:26" x14ac:dyDescent="0.35">
      <c r="A649" t="s">
        <v>122</v>
      </c>
      <c r="B649" t="s">
        <v>122</v>
      </c>
      <c r="C649" t="s">
        <v>123</v>
      </c>
      <c r="D649" t="s">
        <v>100</v>
      </c>
      <c r="E649" t="s">
        <v>99</v>
      </c>
      <c r="F649" t="s">
        <v>12</v>
      </c>
      <c r="G649">
        <v>1</v>
      </c>
      <c r="H649">
        <v>315</v>
      </c>
      <c r="I649">
        <v>0.94029850746268595</v>
      </c>
      <c r="J649" s="25">
        <f t="shared" si="31"/>
        <v>0.94029850746268662</v>
      </c>
      <c r="K649">
        <v>3139</v>
      </c>
      <c r="L649">
        <v>24</v>
      </c>
      <c r="M649">
        <v>7.5877331647170396E-3</v>
      </c>
      <c r="N649" s="25">
        <f t="shared" si="30"/>
        <v>7.5877331647170587E-3</v>
      </c>
      <c r="O649">
        <v>0.99241226683528205</v>
      </c>
      <c r="P649" s="25">
        <f t="shared" si="32"/>
        <v>0.99241226683528294</v>
      </c>
      <c r="Q649">
        <v>20</v>
      </c>
      <c r="R649" t="s">
        <v>124</v>
      </c>
      <c r="S649" t="s">
        <v>124</v>
      </c>
      <c r="T649" t="s">
        <v>124</v>
      </c>
      <c r="U649" t="s">
        <v>124</v>
      </c>
      <c r="X649" s="19">
        <f>J649</f>
        <v>0.94029850746268662</v>
      </c>
      <c r="Y649" s="19">
        <f>N649</f>
        <v>7.5877331647170587E-3</v>
      </c>
      <c r="Z649" s="26">
        <f>(L649+Q649)/(L649+Q649+H649+K649)</f>
        <v>1.2578616352201259E-2</v>
      </c>
    </row>
    <row r="650" spans="1:26" x14ac:dyDescent="0.35">
      <c r="A650" t="s">
        <v>122</v>
      </c>
      <c r="B650" t="s">
        <v>122</v>
      </c>
      <c r="C650" t="s">
        <v>123</v>
      </c>
      <c r="D650" t="s">
        <v>100</v>
      </c>
      <c r="E650" t="s">
        <v>99</v>
      </c>
      <c r="F650" t="s">
        <v>12</v>
      </c>
      <c r="G650">
        <v>1</v>
      </c>
      <c r="H650">
        <v>315</v>
      </c>
      <c r="I650">
        <v>0.94029850746268595</v>
      </c>
      <c r="J650" s="25">
        <f t="shared" si="31"/>
        <v>0.94029850746268662</v>
      </c>
      <c r="K650">
        <v>3139</v>
      </c>
      <c r="L650">
        <v>24</v>
      </c>
      <c r="M650">
        <v>7.5877331647170396E-3</v>
      </c>
      <c r="N650" s="25">
        <f t="shared" si="30"/>
        <v>7.5877331647170587E-3</v>
      </c>
      <c r="O650">
        <v>0.99241226683528205</v>
      </c>
      <c r="P650" s="25">
        <f t="shared" si="32"/>
        <v>0.99241226683528294</v>
      </c>
      <c r="Q650">
        <v>20</v>
      </c>
      <c r="R650" t="s">
        <v>124</v>
      </c>
      <c r="S650" t="s">
        <v>124</v>
      </c>
      <c r="T650" t="s">
        <v>124</v>
      </c>
      <c r="U650" t="s">
        <v>124</v>
      </c>
      <c r="X650" s="19">
        <f>J650</f>
        <v>0.94029850746268662</v>
      </c>
      <c r="Y650" s="19">
        <f>N650</f>
        <v>7.5877331647170587E-3</v>
      </c>
      <c r="Z650" s="26">
        <f>(L650+Q650)/(L650+Q650+H650+K650)</f>
        <v>1.2578616352201259E-2</v>
      </c>
    </row>
    <row r="651" spans="1:26" x14ac:dyDescent="0.35">
      <c r="A651" t="s">
        <v>122</v>
      </c>
      <c r="B651" t="s">
        <v>122</v>
      </c>
      <c r="C651" t="s">
        <v>123</v>
      </c>
      <c r="D651" t="s">
        <v>100</v>
      </c>
      <c r="E651" t="s">
        <v>99</v>
      </c>
      <c r="F651" t="s">
        <v>12</v>
      </c>
      <c r="G651">
        <v>1</v>
      </c>
      <c r="H651">
        <v>315</v>
      </c>
      <c r="I651">
        <v>0.94029850746268595</v>
      </c>
      <c r="J651" s="25">
        <f t="shared" si="31"/>
        <v>0.94029850746268662</v>
      </c>
      <c r="K651">
        <v>3139</v>
      </c>
      <c r="L651">
        <v>24</v>
      </c>
      <c r="M651">
        <v>7.5877331647170396E-3</v>
      </c>
      <c r="N651" s="25">
        <f t="shared" si="30"/>
        <v>7.5877331647170587E-3</v>
      </c>
      <c r="O651">
        <v>0.99241226683528205</v>
      </c>
      <c r="P651" s="25">
        <f t="shared" si="32"/>
        <v>0.99241226683528294</v>
      </c>
      <c r="Q651">
        <v>20</v>
      </c>
      <c r="R651" t="s">
        <v>124</v>
      </c>
      <c r="S651" t="s">
        <v>124</v>
      </c>
      <c r="T651" t="s">
        <v>124</v>
      </c>
      <c r="U651" t="s">
        <v>124</v>
      </c>
      <c r="X651" s="19">
        <f>J651</f>
        <v>0.94029850746268662</v>
      </c>
      <c r="Y651" s="19">
        <f>N651</f>
        <v>7.5877331647170587E-3</v>
      </c>
      <c r="Z651" s="26">
        <f>(L651+Q651)/(L651+Q651+H651+K651)</f>
        <v>1.2578616352201259E-2</v>
      </c>
    </row>
    <row r="652" spans="1:26" x14ac:dyDescent="0.35">
      <c r="A652" t="s">
        <v>122</v>
      </c>
      <c r="B652" t="s">
        <v>122</v>
      </c>
      <c r="C652" t="s">
        <v>123</v>
      </c>
      <c r="D652" t="s">
        <v>100</v>
      </c>
      <c r="E652" t="s">
        <v>99</v>
      </c>
      <c r="F652" t="s">
        <v>12</v>
      </c>
      <c r="G652">
        <v>1</v>
      </c>
      <c r="H652">
        <v>315</v>
      </c>
      <c r="I652">
        <v>0.94029850746268595</v>
      </c>
      <c r="J652" s="25">
        <f t="shared" si="31"/>
        <v>0.94029850746268662</v>
      </c>
      <c r="K652">
        <v>3139</v>
      </c>
      <c r="L652">
        <v>24</v>
      </c>
      <c r="M652">
        <v>7.5877331647170396E-3</v>
      </c>
      <c r="N652" s="25">
        <f t="shared" si="30"/>
        <v>7.5877331647170587E-3</v>
      </c>
      <c r="O652">
        <v>0.99241226683528205</v>
      </c>
      <c r="P652" s="25">
        <f t="shared" si="32"/>
        <v>0.99241226683528294</v>
      </c>
      <c r="Q652">
        <v>20</v>
      </c>
      <c r="R652" t="s">
        <v>124</v>
      </c>
      <c r="S652" t="s">
        <v>124</v>
      </c>
      <c r="T652" t="s">
        <v>124</v>
      </c>
      <c r="U652" t="s">
        <v>124</v>
      </c>
      <c r="X652" s="19">
        <f>J652</f>
        <v>0.94029850746268662</v>
      </c>
      <c r="Y652" s="19">
        <f>N652</f>
        <v>7.5877331647170587E-3</v>
      </c>
      <c r="Z652" s="26">
        <f>(L652+Q652)/(L652+Q652+H652+K652)</f>
        <v>1.2578616352201259E-2</v>
      </c>
    </row>
    <row r="653" spans="1:26" x14ac:dyDescent="0.35">
      <c r="A653" t="s">
        <v>122</v>
      </c>
      <c r="B653" t="s">
        <v>122</v>
      </c>
      <c r="C653" t="s">
        <v>123</v>
      </c>
      <c r="D653" t="s">
        <v>100</v>
      </c>
      <c r="E653" t="s">
        <v>99</v>
      </c>
      <c r="F653" t="s">
        <v>12</v>
      </c>
      <c r="G653">
        <v>1</v>
      </c>
      <c r="H653">
        <v>315</v>
      </c>
      <c r="I653">
        <v>0.94029850746268595</v>
      </c>
      <c r="J653" s="25">
        <f t="shared" si="31"/>
        <v>0.94029850746268662</v>
      </c>
      <c r="K653">
        <v>3139</v>
      </c>
      <c r="L653">
        <v>24</v>
      </c>
      <c r="M653">
        <v>7.5877331647170396E-3</v>
      </c>
      <c r="N653" s="25">
        <f t="shared" si="30"/>
        <v>7.5877331647170587E-3</v>
      </c>
      <c r="O653">
        <v>0.99241226683528205</v>
      </c>
      <c r="P653" s="25">
        <f t="shared" si="32"/>
        <v>0.99241226683528294</v>
      </c>
      <c r="Q653">
        <v>20</v>
      </c>
      <c r="R653" t="s">
        <v>124</v>
      </c>
      <c r="S653" t="s">
        <v>124</v>
      </c>
      <c r="T653" t="s">
        <v>124</v>
      </c>
      <c r="U653" t="s">
        <v>124</v>
      </c>
      <c r="X653" s="19">
        <f>J653</f>
        <v>0.94029850746268662</v>
      </c>
      <c r="Y653" s="19">
        <f>N653</f>
        <v>7.5877331647170587E-3</v>
      </c>
      <c r="Z653" s="26">
        <f>(L653+Q653)/(L653+Q653+H653+K653)</f>
        <v>1.2578616352201259E-2</v>
      </c>
    </row>
    <row r="654" spans="1:26" x14ac:dyDescent="0.35">
      <c r="A654" t="s">
        <v>122</v>
      </c>
      <c r="B654" t="s">
        <v>122</v>
      </c>
      <c r="C654" t="s">
        <v>123</v>
      </c>
      <c r="D654" t="s">
        <v>100</v>
      </c>
      <c r="E654" t="s">
        <v>99</v>
      </c>
      <c r="F654" t="s">
        <v>12</v>
      </c>
      <c r="G654">
        <v>1</v>
      </c>
      <c r="H654">
        <v>315</v>
      </c>
      <c r="I654">
        <v>0.94029850746268595</v>
      </c>
      <c r="J654" s="25">
        <f t="shared" si="31"/>
        <v>0.94029850746268662</v>
      </c>
      <c r="K654">
        <v>3139</v>
      </c>
      <c r="L654">
        <v>24</v>
      </c>
      <c r="M654">
        <v>7.5877331647170396E-3</v>
      </c>
      <c r="N654" s="25">
        <f t="shared" si="30"/>
        <v>7.5877331647170587E-3</v>
      </c>
      <c r="O654">
        <v>0.99241226683528205</v>
      </c>
      <c r="P654" s="25">
        <f t="shared" si="32"/>
        <v>0.99241226683528294</v>
      </c>
      <c r="Q654">
        <v>20</v>
      </c>
      <c r="R654" t="s">
        <v>124</v>
      </c>
      <c r="S654" t="s">
        <v>124</v>
      </c>
      <c r="T654" t="s">
        <v>124</v>
      </c>
      <c r="U654" t="s">
        <v>124</v>
      </c>
      <c r="X654" s="19">
        <f>J654</f>
        <v>0.94029850746268662</v>
      </c>
      <c r="Y654" s="19">
        <f>N654</f>
        <v>7.5877331647170587E-3</v>
      </c>
      <c r="Z654" s="26">
        <f>(L654+Q654)/(L654+Q654+H654+K654)</f>
        <v>1.2578616352201259E-2</v>
      </c>
    </row>
    <row r="655" spans="1:26" x14ac:dyDescent="0.35">
      <c r="A655" t="s">
        <v>122</v>
      </c>
      <c r="B655" t="s">
        <v>122</v>
      </c>
      <c r="C655" t="s">
        <v>123</v>
      </c>
      <c r="D655" t="s">
        <v>100</v>
      </c>
      <c r="E655" t="s">
        <v>99</v>
      </c>
      <c r="F655" t="s">
        <v>12</v>
      </c>
      <c r="G655">
        <v>1</v>
      </c>
      <c r="H655">
        <v>315</v>
      </c>
      <c r="I655">
        <v>0.94029850746268595</v>
      </c>
      <c r="J655" s="25">
        <f t="shared" si="31"/>
        <v>0.94029850746268662</v>
      </c>
      <c r="K655">
        <v>3139</v>
      </c>
      <c r="L655">
        <v>24</v>
      </c>
      <c r="M655">
        <v>7.5877331647170396E-3</v>
      </c>
      <c r="N655" s="25">
        <f t="shared" si="30"/>
        <v>7.5877331647170587E-3</v>
      </c>
      <c r="O655">
        <v>0.99241226683528205</v>
      </c>
      <c r="P655" s="25">
        <f t="shared" si="32"/>
        <v>0.99241226683528294</v>
      </c>
      <c r="Q655">
        <v>20</v>
      </c>
      <c r="R655" t="s">
        <v>124</v>
      </c>
      <c r="S655" t="s">
        <v>124</v>
      </c>
      <c r="T655" t="s">
        <v>124</v>
      </c>
      <c r="U655" t="s">
        <v>124</v>
      </c>
      <c r="X655" s="19">
        <f>J655</f>
        <v>0.94029850746268662</v>
      </c>
      <c r="Y655" s="19">
        <f>N655</f>
        <v>7.5877331647170587E-3</v>
      </c>
      <c r="Z655" s="26">
        <f>(L655+Q655)/(L655+Q655+H655+K655)</f>
        <v>1.2578616352201259E-2</v>
      </c>
    </row>
    <row r="656" spans="1:26" x14ac:dyDescent="0.35">
      <c r="A656" t="s">
        <v>122</v>
      </c>
      <c r="B656" t="s">
        <v>122</v>
      </c>
      <c r="C656" t="s">
        <v>123</v>
      </c>
      <c r="D656" t="s">
        <v>100</v>
      </c>
      <c r="E656" t="s">
        <v>99</v>
      </c>
      <c r="F656" t="s">
        <v>12</v>
      </c>
      <c r="G656">
        <v>1</v>
      </c>
      <c r="H656">
        <v>315</v>
      </c>
      <c r="I656">
        <v>0.94029850746268595</v>
      </c>
      <c r="J656" s="25">
        <f t="shared" si="31"/>
        <v>0.94029850746268662</v>
      </c>
      <c r="K656">
        <v>3139</v>
      </c>
      <c r="L656">
        <v>24</v>
      </c>
      <c r="M656">
        <v>7.5877331647170396E-3</v>
      </c>
      <c r="N656" s="25">
        <f t="shared" si="30"/>
        <v>7.5877331647170587E-3</v>
      </c>
      <c r="O656">
        <v>0.99241226683528205</v>
      </c>
      <c r="P656" s="25">
        <f t="shared" si="32"/>
        <v>0.99241226683528294</v>
      </c>
      <c r="Q656">
        <v>20</v>
      </c>
      <c r="R656" t="s">
        <v>124</v>
      </c>
      <c r="S656" t="s">
        <v>124</v>
      </c>
      <c r="T656" t="s">
        <v>124</v>
      </c>
      <c r="U656" t="s">
        <v>124</v>
      </c>
      <c r="X656" s="19">
        <f>J656</f>
        <v>0.94029850746268662</v>
      </c>
      <c r="Y656" s="19">
        <f>N656</f>
        <v>7.5877331647170587E-3</v>
      </c>
      <c r="Z656" s="26">
        <f>(L656+Q656)/(L656+Q656+H656+K656)</f>
        <v>1.2578616352201259E-2</v>
      </c>
    </row>
    <row r="657" spans="1:26" x14ac:dyDescent="0.35">
      <c r="A657" t="s">
        <v>122</v>
      </c>
      <c r="B657" t="s">
        <v>122</v>
      </c>
      <c r="C657" t="s">
        <v>123</v>
      </c>
      <c r="D657" t="s">
        <v>100</v>
      </c>
      <c r="E657" t="s">
        <v>99</v>
      </c>
      <c r="F657" t="s">
        <v>12</v>
      </c>
      <c r="G657">
        <v>1</v>
      </c>
      <c r="H657">
        <v>315</v>
      </c>
      <c r="I657">
        <v>0.94029850746268595</v>
      </c>
      <c r="J657" s="25">
        <f t="shared" si="31"/>
        <v>0.94029850746268662</v>
      </c>
      <c r="K657">
        <v>3139</v>
      </c>
      <c r="L657">
        <v>24</v>
      </c>
      <c r="M657">
        <v>7.5877331647170396E-3</v>
      </c>
      <c r="N657" s="25">
        <f t="shared" si="30"/>
        <v>7.5877331647170587E-3</v>
      </c>
      <c r="O657">
        <v>0.99241226683528205</v>
      </c>
      <c r="P657" s="25">
        <f t="shared" si="32"/>
        <v>0.99241226683528294</v>
      </c>
      <c r="Q657">
        <v>20</v>
      </c>
      <c r="R657" t="s">
        <v>124</v>
      </c>
      <c r="S657" t="s">
        <v>124</v>
      </c>
      <c r="T657" t="s">
        <v>124</v>
      </c>
      <c r="U657" t="s">
        <v>124</v>
      </c>
      <c r="X657" s="19">
        <f>J657</f>
        <v>0.94029850746268662</v>
      </c>
      <c r="Y657" s="19">
        <f>N657</f>
        <v>7.5877331647170587E-3</v>
      </c>
      <c r="Z657" s="26">
        <f>(L657+Q657)/(L657+Q657+H657+K657)</f>
        <v>1.2578616352201259E-2</v>
      </c>
    </row>
    <row r="658" spans="1:26" x14ac:dyDescent="0.35">
      <c r="A658" t="s">
        <v>122</v>
      </c>
      <c r="B658" t="s">
        <v>122</v>
      </c>
      <c r="C658" t="s">
        <v>123</v>
      </c>
      <c r="D658" t="s">
        <v>100</v>
      </c>
      <c r="E658" t="s">
        <v>99</v>
      </c>
      <c r="F658" t="s">
        <v>12</v>
      </c>
      <c r="G658">
        <v>1</v>
      </c>
      <c r="H658">
        <v>315</v>
      </c>
      <c r="I658">
        <v>0.94029850746268595</v>
      </c>
      <c r="J658" s="25">
        <f t="shared" si="31"/>
        <v>0.94029850746268662</v>
      </c>
      <c r="K658">
        <v>3139</v>
      </c>
      <c r="L658">
        <v>24</v>
      </c>
      <c r="M658">
        <v>7.5877331647170396E-3</v>
      </c>
      <c r="N658" s="25">
        <f t="shared" si="30"/>
        <v>7.5877331647170587E-3</v>
      </c>
      <c r="O658">
        <v>0.99241226683528205</v>
      </c>
      <c r="P658" s="25">
        <f t="shared" si="32"/>
        <v>0.99241226683528294</v>
      </c>
      <c r="Q658">
        <v>20</v>
      </c>
      <c r="R658" t="s">
        <v>124</v>
      </c>
      <c r="S658" t="s">
        <v>124</v>
      </c>
      <c r="T658" t="s">
        <v>124</v>
      </c>
      <c r="U658" t="s">
        <v>124</v>
      </c>
      <c r="X658" s="19">
        <f>J658</f>
        <v>0.94029850746268662</v>
      </c>
      <c r="Y658" s="19">
        <f>N658</f>
        <v>7.5877331647170587E-3</v>
      </c>
      <c r="Z658" s="26">
        <f>(L658+Q658)/(L658+Q658+H658+K658)</f>
        <v>1.2578616352201259E-2</v>
      </c>
    </row>
    <row r="659" spans="1:26" x14ac:dyDescent="0.35">
      <c r="A659" t="s">
        <v>122</v>
      </c>
      <c r="B659" t="s">
        <v>122</v>
      </c>
      <c r="C659" t="s">
        <v>123</v>
      </c>
      <c r="D659" t="s">
        <v>100</v>
      </c>
      <c r="E659" t="s">
        <v>99</v>
      </c>
      <c r="F659" t="s">
        <v>12</v>
      </c>
      <c r="G659">
        <v>1</v>
      </c>
      <c r="H659">
        <v>315</v>
      </c>
      <c r="I659">
        <v>0.94029850746268595</v>
      </c>
      <c r="J659" s="25">
        <f t="shared" si="31"/>
        <v>0.94029850746268662</v>
      </c>
      <c r="K659">
        <v>3139</v>
      </c>
      <c r="L659">
        <v>24</v>
      </c>
      <c r="M659">
        <v>7.5877331647170396E-3</v>
      </c>
      <c r="N659" s="25">
        <f t="shared" si="30"/>
        <v>7.5877331647170587E-3</v>
      </c>
      <c r="O659">
        <v>0.99241226683528205</v>
      </c>
      <c r="P659" s="25">
        <f t="shared" si="32"/>
        <v>0.99241226683528294</v>
      </c>
      <c r="Q659">
        <v>20</v>
      </c>
      <c r="R659" t="s">
        <v>124</v>
      </c>
      <c r="S659" t="s">
        <v>124</v>
      </c>
      <c r="T659" t="s">
        <v>124</v>
      </c>
      <c r="U659" t="s">
        <v>124</v>
      </c>
      <c r="X659" s="19">
        <f>J659</f>
        <v>0.94029850746268662</v>
      </c>
      <c r="Y659" s="19">
        <f>N659</f>
        <v>7.5877331647170587E-3</v>
      </c>
      <c r="Z659" s="26">
        <f>(L659+Q659)/(L659+Q659+H659+K659)</f>
        <v>1.2578616352201259E-2</v>
      </c>
    </row>
    <row r="660" spans="1:26" x14ac:dyDescent="0.35">
      <c r="A660" t="s">
        <v>122</v>
      </c>
      <c r="B660" t="s">
        <v>122</v>
      </c>
      <c r="C660" t="s">
        <v>123</v>
      </c>
      <c r="D660" t="s">
        <v>100</v>
      </c>
      <c r="E660" t="s">
        <v>99</v>
      </c>
      <c r="F660" t="s">
        <v>12</v>
      </c>
      <c r="G660">
        <v>1</v>
      </c>
      <c r="H660">
        <v>315</v>
      </c>
      <c r="I660">
        <v>0.94029850746268595</v>
      </c>
      <c r="J660" s="25">
        <f t="shared" si="31"/>
        <v>0.94029850746268662</v>
      </c>
      <c r="K660">
        <v>3139</v>
      </c>
      <c r="L660">
        <v>24</v>
      </c>
      <c r="M660">
        <v>7.5877331647170396E-3</v>
      </c>
      <c r="N660" s="25">
        <f t="shared" si="30"/>
        <v>7.5877331647170587E-3</v>
      </c>
      <c r="O660">
        <v>0.99241226683528205</v>
      </c>
      <c r="P660" s="25">
        <f t="shared" si="32"/>
        <v>0.99241226683528294</v>
      </c>
      <c r="Q660">
        <v>20</v>
      </c>
      <c r="R660" t="s">
        <v>124</v>
      </c>
      <c r="S660" t="s">
        <v>124</v>
      </c>
      <c r="T660" t="s">
        <v>124</v>
      </c>
      <c r="U660" t="s">
        <v>124</v>
      </c>
      <c r="X660" s="19">
        <f>J660</f>
        <v>0.94029850746268662</v>
      </c>
      <c r="Y660" s="19">
        <f>N660</f>
        <v>7.5877331647170587E-3</v>
      </c>
      <c r="Z660" s="26">
        <f>(L660+Q660)/(L660+Q660+H660+K660)</f>
        <v>1.2578616352201259E-2</v>
      </c>
    </row>
    <row r="661" spans="1:26" x14ac:dyDescent="0.35">
      <c r="A661" t="s">
        <v>122</v>
      </c>
      <c r="B661" t="s">
        <v>122</v>
      </c>
      <c r="C661" t="s">
        <v>123</v>
      </c>
      <c r="D661" t="s">
        <v>100</v>
      </c>
      <c r="E661" t="s">
        <v>99</v>
      </c>
      <c r="F661" t="s">
        <v>12</v>
      </c>
      <c r="G661">
        <v>1</v>
      </c>
      <c r="H661">
        <v>315</v>
      </c>
      <c r="I661">
        <v>0.94029850746268595</v>
      </c>
      <c r="J661" s="25">
        <f t="shared" si="31"/>
        <v>0.94029850746268662</v>
      </c>
      <c r="K661">
        <v>3139</v>
      </c>
      <c r="L661">
        <v>24</v>
      </c>
      <c r="M661">
        <v>7.5877331647170396E-3</v>
      </c>
      <c r="N661" s="25">
        <f t="shared" si="30"/>
        <v>7.5877331647170587E-3</v>
      </c>
      <c r="O661">
        <v>0.99241226683528205</v>
      </c>
      <c r="P661" s="25">
        <f t="shared" si="32"/>
        <v>0.99241226683528294</v>
      </c>
      <c r="Q661">
        <v>20</v>
      </c>
      <c r="R661" t="s">
        <v>124</v>
      </c>
      <c r="S661" t="s">
        <v>124</v>
      </c>
      <c r="T661" t="s">
        <v>124</v>
      </c>
      <c r="U661" t="s">
        <v>124</v>
      </c>
      <c r="X661" s="19">
        <f>J661</f>
        <v>0.94029850746268662</v>
      </c>
      <c r="Y661" s="19">
        <f>N661</f>
        <v>7.5877331647170587E-3</v>
      </c>
      <c r="Z661" s="26">
        <f>(L661+Q661)/(L661+Q661+H661+K661)</f>
        <v>1.2578616352201259E-2</v>
      </c>
    </row>
    <row r="662" spans="1:26" x14ac:dyDescent="0.35">
      <c r="A662" t="s">
        <v>122</v>
      </c>
      <c r="B662" t="s">
        <v>122</v>
      </c>
      <c r="C662" t="s">
        <v>123</v>
      </c>
      <c r="D662" t="s">
        <v>100</v>
      </c>
      <c r="E662" t="s">
        <v>99</v>
      </c>
      <c r="F662" t="s">
        <v>12</v>
      </c>
      <c r="G662">
        <v>1</v>
      </c>
      <c r="H662">
        <v>315</v>
      </c>
      <c r="I662">
        <v>0.94029850746268595</v>
      </c>
      <c r="J662" s="25">
        <f t="shared" si="31"/>
        <v>0.94029850746268662</v>
      </c>
      <c r="K662">
        <v>3139</v>
      </c>
      <c r="L662">
        <v>24</v>
      </c>
      <c r="M662">
        <v>7.5877331647170396E-3</v>
      </c>
      <c r="N662" s="25">
        <f t="shared" si="30"/>
        <v>7.5877331647170587E-3</v>
      </c>
      <c r="O662">
        <v>0.99241226683528205</v>
      </c>
      <c r="P662" s="25">
        <f t="shared" si="32"/>
        <v>0.99241226683528294</v>
      </c>
      <c r="Q662">
        <v>20</v>
      </c>
      <c r="R662" t="s">
        <v>124</v>
      </c>
      <c r="S662" t="s">
        <v>124</v>
      </c>
      <c r="T662" t="s">
        <v>124</v>
      </c>
      <c r="U662" t="s">
        <v>124</v>
      </c>
      <c r="X662" s="19">
        <f>J662</f>
        <v>0.94029850746268662</v>
      </c>
      <c r="Y662" s="19">
        <f>N662</f>
        <v>7.5877331647170587E-3</v>
      </c>
      <c r="Z662" s="26">
        <f>(L662+Q662)/(L662+Q662+H662+K662)</f>
        <v>1.2578616352201259E-2</v>
      </c>
    </row>
    <row r="663" spans="1:26" x14ac:dyDescent="0.35">
      <c r="A663" t="s">
        <v>122</v>
      </c>
      <c r="B663" t="s">
        <v>122</v>
      </c>
      <c r="C663" t="s">
        <v>123</v>
      </c>
      <c r="D663" t="s">
        <v>100</v>
      </c>
      <c r="E663" t="s">
        <v>99</v>
      </c>
      <c r="F663" t="s">
        <v>12</v>
      </c>
      <c r="G663">
        <v>1</v>
      </c>
      <c r="H663">
        <v>315</v>
      </c>
      <c r="I663">
        <v>0.94029850746268595</v>
      </c>
      <c r="J663" s="25">
        <f t="shared" si="31"/>
        <v>0.94029850746268662</v>
      </c>
      <c r="K663">
        <v>3139</v>
      </c>
      <c r="L663">
        <v>24</v>
      </c>
      <c r="M663">
        <v>7.5877331647170396E-3</v>
      </c>
      <c r="N663" s="25">
        <f t="shared" si="30"/>
        <v>7.5877331647170587E-3</v>
      </c>
      <c r="O663">
        <v>0.99241226683528205</v>
      </c>
      <c r="P663" s="25">
        <f t="shared" si="32"/>
        <v>0.99241226683528294</v>
      </c>
      <c r="Q663">
        <v>20</v>
      </c>
      <c r="R663" t="s">
        <v>124</v>
      </c>
      <c r="S663" t="s">
        <v>124</v>
      </c>
      <c r="T663" t="s">
        <v>124</v>
      </c>
      <c r="U663" t="s">
        <v>124</v>
      </c>
      <c r="X663" s="19">
        <f>J663</f>
        <v>0.94029850746268662</v>
      </c>
      <c r="Y663" s="19">
        <f>N663</f>
        <v>7.5877331647170587E-3</v>
      </c>
      <c r="Z663" s="26">
        <f>(L663+Q663)/(L663+Q663+H663+K663)</f>
        <v>1.2578616352201259E-2</v>
      </c>
    </row>
    <row r="664" spans="1:26" x14ac:dyDescent="0.35">
      <c r="A664" t="s">
        <v>122</v>
      </c>
      <c r="B664" t="s">
        <v>122</v>
      </c>
      <c r="C664" t="s">
        <v>123</v>
      </c>
      <c r="D664" t="s">
        <v>100</v>
      </c>
      <c r="E664" t="s">
        <v>99</v>
      </c>
      <c r="F664" t="s">
        <v>12</v>
      </c>
      <c r="G664">
        <v>1</v>
      </c>
      <c r="H664">
        <v>315</v>
      </c>
      <c r="I664">
        <v>0.94029850746268595</v>
      </c>
      <c r="J664" s="25">
        <f t="shared" si="31"/>
        <v>0.94029850746268662</v>
      </c>
      <c r="K664">
        <v>3139</v>
      </c>
      <c r="L664">
        <v>24</v>
      </c>
      <c r="M664">
        <v>7.5877331647170396E-3</v>
      </c>
      <c r="N664" s="25">
        <f t="shared" si="30"/>
        <v>7.5877331647170587E-3</v>
      </c>
      <c r="O664">
        <v>0.99241226683528205</v>
      </c>
      <c r="P664" s="25">
        <f t="shared" si="32"/>
        <v>0.99241226683528294</v>
      </c>
      <c r="Q664">
        <v>20</v>
      </c>
      <c r="R664" t="s">
        <v>124</v>
      </c>
      <c r="S664" t="s">
        <v>124</v>
      </c>
      <c r="T664" t="s">
        <v>124</v>
      </c>
      <c r="U664" t="s">
        <v>124</v>
      </c>
      <c r="X664" s="19">
        <f>J664</f>
        <v>0.94029850746268662</v>
      </c>
      <c r="Y664" s="19">
        <f>N664</f>
        <v>7.5877331647170587E-3</v>
      </c>
      <c r="Z664" s="26">
        <f>(L664+Q664)/(L664+Q664+H664+K664)</f>
        <v>1.2578616352201259E-2</v>
      </c>
    </row>
    <row r="665" spans="1:26" x14ac:dyDescent="0.35">
      <c r="A665" t="s">
        <v>122</v>
      </c>
      <c r="B665" t="s">
        <v>122</v>
      </c>
      <c r="C665" t="s">
        <v>123</v>
      </c>
      <c r="D665" t="s">
        <v>100</v>
      </c>
      <c r="E665" t="s">
        <v>99</v>
      </c>
      <c r="F665" t="s">
        <v>12</v>
      </c>
      <c r="G665">
        <v>1</v>
      </c>
      <c r="H665">
        <v>315</v>
      </c>
      <c r="I665">
        <v>0.94029850746268595</v>
      </c>
      <c r="J665" s="25">
        <f t="shared" si="31"/>
        <v>0.94029850746268662</v>
      </c>
      <c r="K665">
        <v>3139</v>
      </c>
      <c r="L665">
        <v>24</v>
      </c>
      <c r="M665">
        <v>7.5877331647170396E-3</v>
      </c>
      <c r="N665" s="25">
        <f t="shared" si="30"/>
        <v>7.5877331647170587E-3</v>
      </c>
      <c r="O665">
        <v>0.99241226683528205</v>
      </c>
      <c r="P665" s="25">
        <f t="shared" si="32"/>
        <v>0.99241226683528294</v>
      </c>
      <c r="Q665">
        <v>20</v>
      </c>
      <c r="R665" t="s">
        <v>124</v>
      </c>
      <c r="S665" t="s">
        <v>124</v>
      </c>
      <c r="T665" t="s">
        <v>124</v>
      </c>
      <c r="U665" t="s">
        <v>124</v>
      </c>
      <c r="X665" s="19">
        <f>J665</f>
        <v>0.94029850746268662</v>
      </c>
      <c r="Y665" s="19">
        <f>N665</f>
        <v>7.5877331647170587E-3</v>
      </c>
      <c r="Z665" s="26">
        <f>(L665+Q665)/(L665+Q665+H665+K665)</f>
        <v>1.2578616352201259E-2</v>
      </c>
    </row>
    <row r="666" spans="1:26" x14ac:dyDescent="0.35">
      <c r="A666" t="s">
        <v>122</v>
      </c>
      <c r="B666" t="s">
        <v>122</v>
      </c>
      <c r="C666" t="s">
        <v>123</v>
      </c>
      <c r="D666" t="s">
        <v>100</v>
      </c>
      <c r="E666" t="s">
        <v>99</v>
      </c>
      <c r="F666" t="s">
        <v>12</v>
      </c>
      <c r="G666">
        <v>1</v>
      </c>
      <c r="H666">
        <v>315</v>
      </c>
      <c r="I666">
        <v>0.94029850746268595</v>
      </c>
      <c r="J666" s="25">
        <f t="shared" si="31"/>
        <v>0.94029850746268662</v>
      </c>
      <c r="K666">
        <v>3139</v>
      </c>
      <c r="L666">
        <v>24</v>
      </c>
      <c r="M666">
        <v>7.5877331647170396E-3</v>
      </c>
      <c r="N666" s="25">
        <f t="shared" si="30"/>
        <v>7.5877331647170587E-3</v>
      </c>
      <c r="O666">
        <v>0.99241226683528205</v>
      </c>
      <c r="P666" s="25">
        <f t="shared" si="32"/>
        <v>0.99241226683528294</v>
      </c>
      <c r="Q666">
        <v>20</v>
      </c>
      <c r="R666" t="s">
        <v>124</v>
      </c>
      <c r="S666" t="s">
        <v>124</v>
      </c>
      <c r="T666" t="s">
        <v>124</v>
      </c>
      <c r="U666" t="s">
        <v>124</v>
      </c>
      <c r="X666" s="19">
        <f>J666</f>
        <v>0.94029850746268662</v>
      </c>
      <c r="Y666" s="19">
        <f>N666</f>
        <v>7.5877331647170587E-3</v>
      </c>
      <c r="Z666" s="26">
        <f>(L666+Q666)/(L666+Q666+H666+K666)</f>
        <v>1.2578616352201259E-2</v>
      </c>
    </row>
    <row r="667" spans="1:26" x14ac:dyDescent="0.35">
      <c r="A667" t="s">
        <v>122</v>
      </c>
      <c r="B667" t="s">
        <v>122</v>
      </c>
      <c r="C667" t="s">
        <v>123</v>
      </c>
      <c r="D667" t="s">
        <v>100</v>
      </c>
      <c r="E667" t="s">
        <v>99</v>
      </c>
      <c r="F667" t="s">
        <v>12</v>
      </c>
      <c r="G667">
        <v>1</v>
      </c>
      <c r="H667">
        <v>315</v>
      </c>
      <c r="I667">
        <v>0.94029850746268595</v>
      </c>
      <c r="J667" s="25">
        <f t="shared" si="31"/>
        <v>0.94029850746268662</v>
      </c>
      <c r="K667">
        <v>3139</v>
      </c>
      <c r="L667">
        <v>24</v>
      </c>
      <c r="M667">
        <v>7.5877331647170396E-3</v>
      </c>
      <c r="N667" s="25">
        <f t="shared" si="30"/>
        <v>7.5877331647170587E-3</v>
      </c>
      <c r="O667">
        <v>0.99241226683528205</v>
      </c>
      <c r="P667" s="25">
        <f t="shared" si="32"/>
        <v>0.99241226683528294</v>
      </c>
      <c r="Q667">
        <v>20</v>
      </c>
      <c r="R667" t="s">
        <v>124</v>
      </c>
      <c r="S667" t="s">
        <v>124</v>
      </c>
      <c r="T667" t="s">
        <v>124</v>
      </c>
      <c r="U667" t="s">
        <v>124</v>
      </c>
      <c r="X667" s="19">
        <f>J667</f>
        <v>0.94029850746268662</v>
      </c>
      <c r="Y667" s="19">
        <f>N667</f>
        <v>7.5877331647170587E-3</v>
      </c>
      <c r="Z667" s="26">
        <f>(L667+Q667)/(L667+Q667+H667+K667)</f>
        <v>1.2578616352201259E-2</v>
      </c>
    </row>
    <row r="668" spans="1:26" x14ac:dyDescent="0.35">
      <c r="A668" t="s">
        <v>122</v>
      </c>
      <c r="B668" t="s">
        <v>122</v>
      </c>
      <c r="C668" t="s">
        <v>123</v>
      </c>
      <c r="D668" t="s">
        <v>100</v>
      </c>
      <c r="E668" t="s">
        <v>99</v>
      </c>
      <c r="F668" t="s">
        <v>12</v>
      </c>
      <c r="G668">
        <v>1</v>
      </c>
      <c r="H668">
        <v>315</v>
      </c>
      <c r="I668">
        <v>0.94029850746268595</v>
      </c>
      <c r="J668" s="25">
        <f t="shared" si="31"/>
        <v>0.94029850746268662</v>
      </c>
      <c r="K668">
        <v>3139</v>
      </c>
      <c r="L668">
        <v>24</v>
      </c>
      <c r="M668">
        <v>7.5877331647170396E-3</v>
      </c>
      <c r="N668" s="25">
        <f t="shared" si="30"/>
        <v>7.5877331647170587E-3</v>
      </c>
      <c r="O668">
        <v>0.99241226683528205</v>
      </c>
      <c r="P668" s="25">
        <f t="shared" si="32"/>
        <v>0.99241226683528294</v>
      </c>
      <c r="Q668">
        <v>20</v>
      </c>
      <c r="R668" t="s">
        <v>124</v>
      </c>
      <c r="S668" t="s">
        <v>124</v>
      </c>
      <c r="T668" t="s">
        <v>124</v>
      </c>
      <c r="U668" t="s">
        <v>124</v>
      </c>
      <c r="X668" s="19">
        <f>J668</f>
        <v>0.94029850746268662</v>
      </c>
      <c r="Y668" s="19">
        <f>N668</f>
        <v>7.5877331647170587E-3</v>
      </c>
      <c r="Z668" s="26">
        <f>(L668+Q668)/(L668+Q668+H668+K668)</f>
        <v>1.2578616352201259E-2</v>
      </c>
    </row>
    <row r="669" spans="1:26" x14ac:dyDescent="0.35">
      <c r="A669" t="s">
        <v>122</v>
      </c>
      <c r="B669" t="s">
        <v>122</v>
      </c>
      <c r="C669" t="s">
        <v>123</v>
      </c>
      <c r="D669" t="s">
        <v>100</v>
      </c>
      <c r="E669" t="s">
        <v>99</v>
      </c>
      <c r="F669" t="s">
        <v>12</v>
      </c>
      <c r="G669">
        <v>1</v>
      </c>
      <c r="H669">
        <v>315</v>
      </c>
      <c r="I669">
        <v>0.94029850746268595</v>
      </c>
      <c r="J669" s="25">
        <f t="shared" si="31"/>
        <v>0.94029850746268662</v>
      </c>
      <c r="K669">
        <v>3139</v>
      </c>
      <c r="L669">
        <v>24</v>
      </c>
      <c r="M669">
        <v>7.5877331647170396E-3</v>
      </c>
      <c r="N669" s="25">
        <f t="shared" si="30"/>
        <v>7.5877331647170587E-3</v>
      </c>
      <c r="O669">
        <v>0.99241226683528205</v>
      </c>
      <c r="P669" s="25">
        <f t="shared" si="32"/>
        <v>0.99241226683528294</v>
      </c>
      <c r="Q669">
        <v>20</v>
      </c>
      <c r="R669" t="s">
        <v>124</v>
      </c>
      <c r="S669" t="s">
        <v>124</v>
      </c>
      <c r="T669" t="s">
        <v>124</v>
      </c>
      <c r="U669" t="s">
        <v>124</v>
      </c>
      <c r="X669" s="19">
        <f>J669</f>
        <v>0.94029850746268662</v>
      </c>
      <c r="Y669" s="19">
        <f>N669</f>
        <v>7.5877331647170587E-3</v>
      </c>
      <c r="Z669" s="26">
        <f>(L669+Q669)/(L669+Q669+H669+K669)</f>
        <v>1.2578616352201259E-2</v>
      </c>
    </row>
    <row r="670" spans="1:26" x14ac:dyDescent="0.35">
      <c r="A670" t="s">
        <v>122</v>
      </c>
      <c r="B670" t="s">
        <v>122</v>
      </c>
      <c r="C670" t="s">
        <v>123</v>
      </c>
      <c r="D670" t="s">
        <v>100</v>
      </c>
      <c r="E670" t="s">
        <v>99</v>
      </c>
      <c r="F670" t="s">
        <v>12</v>
      </c>
      <c r="G670">
        <v>1</v>
      </c>
      <c r="H670">
        <v>315</v>
      </c>
      <c r="I670">
        <v>0.94029850746268595</v>
      </c>
      <c r="J670" s="25">
        <f t="shared" si="31"/>
        <v>0.94029850746268662</v>
      </c>
      <c r="K670">
        <v>3139</v>
      </c>
      <c r="L670">
        <v>24</v>
      </c>
      <c r="M670">
        <v>7.5877331647170396E-3</v>
      </c>
      <c r="N670" s="25">
        <f t="shared" si="30"/>
        <v>7.5877331647170587E-3</v>
      </c>
      <c r="O670">
        <v>0.99241226683528205</v>
      </c>
      <c r="P670" s="25">
        <f t="shared" si="32"/>
        <v>0.99241226683528294</v>
      </c>
      <c r="Q670">
        <v>20</v>
      </c>
      <c r="R670" t="s">
        <v>124</v>
      </c>
      <c r="S670" t="s">
        <v>124</v>
      </c>
      <c r="T670" t="s">
        <v>124</v>
      </c>
      <c r="U670" t="s">
        <v>124</v>
      </c>
      <c r="X670" s="19">
        <f>J670</f>
        <v>0.94029850746268662</v>
      </c>
      <c r="Y670" s="19">
        <f>N670</f>
        <v>7.5877331647170587E-3</v>
      </c>
      <c r="Z670" s="26">
        <f>(L670+Q670)/(L670+Q670+H670+K670)</f>
        <v>1.2578616352201259E-2</v>
      </c>
    </row>
    <row r="671" spans="1:26" x14ac:dyDescent="0.35">
      <c r="A671" t="s">
        <v>122</v>
      </c>
      <c r="B671" t="s">
        <v>122</v>
      </c>
      <c r="C671" t="s">
        <v>123</v>
      </c>
      <c r="D671" t="s">
        <v>100</v>
      </c>
      <c r="E671" t="s">
        <v>99</v>
      </c>
      <c r="F671" t="s">
        <v>12</v>
      </c>
      <c r="G671">
        <v>1</v>
      </c>
      <c r="H671">
        <v>315</v>
      </c>
      <c r="I671">
        <v>0.94029850746268595</v>
      </c>
      <c r="J671" s="25">
        <f t="shared" si="31"/>
        <v>0.94029850746268662</v>
      </c>
      <c r="K671">
        <v>3139</v>
      </c>
      <c r="L671">
        <v>24</v>
      </c>
      <c r="M671">
        <v>7.5877331647170396E-3</v>
      </c>
      <c r="N671" s="25">
        <f t="shared" si="30"/>
        <v>7.5877331647170587E-3</v>
      </c>
      <c r="O671">
        <v>0.99241226683528205</v>
      </c>
      <c r="P671" s="25">
        <f t="shared" si="32"/>
        <v>0.99241226683528294</v>
      </c>
      <c r="Q671">
        <v>20</v>
      </c>
      <c r="R671" t="s">
        <v>124</v>
      </c>
      <c r="S671" t="s">
        <v>124</v>
      </c>
      <c r="T671" t="s">
        <v>124</v>
      </c>
      <c r="U671" t="s">
        <v>124</v>
      </c>
      <c r="X671" s="19">
        <f>J671</f>
        <v>0.94029850746268662</v>
      </c>
      <c r="Y671" s="19">
        <f>N671</f>
        <v>7.5877331647170587E-3</v>
      </c>
      <c r="Z671" s="26">
        <f>(L671+Q671)/(L671+Q671+H671+K671)</f>
        <v>1.2578616352201259E-2</v>
      </c>
    </row>
    <row r="672" spans="1:26" x14ac:dyDescent="0.35">
      <c r="A672" t="s">
        <v>122</v>
      </c>
      <c r="B672" t="s">
        <v>122</v>
      </c>
      <c r="C672" t="s">
        <v>123</v>
      </c>
      <c r="D672" t="s">
        <v>100</v>
      </c>
      <c r="E672" t="s">
        <v>99</v>
      </c>
      <c r="F672" t="s">
        <v>12</v>
      </c>
      <c r="G672">
        <v>1</v>
      </c>
      <c r="H672">
        <v>315</v>
      </c>
      <c r="I672">
        <v>0.94029850746268595</v>
      </c>
      <c r="J672" s="25">
        <f t="shared" si="31"/>
        <v>0.94029850746268662</v>
      </c>
      <c r="K672">
        <v>3139</v>
      </c>
      <c r="L672">
        <v>24</v>
      </c>
      <c r="M672">
        <v>7.5877331647170396E-3</v>
      </c>
      <c r="N672" s="25">
        <f t="shared" si="30"/>
        <v>7.5877331647170587E-3</v>
      </c>
      <c r="O672">
        <v>0.99241226683528205</v>
      </c>
      <c r="P672" s="25">
        <f t="shared" si="32"/>
        <v>0.99241226683528294</v>
      </c>
      <c r="Q672">
        <v>20</v>
      </c>
      <c r="R672" t="s">
        <v>124</v>
      </c>
      <c r="S672" t="s">
        <v>124</v>
      </c>
      <c r="T672" t="s">
        <v>124</v>
      </c>
      <c r="U672" t="s">
        <v>124</v>
      </c>
      <c r="X672" s="19">
        <f>J672</f>
        <v>0.94029850746268662</v>
      </c>
      <c r="Y672" s="19">
        <f>N672</f>
        <v>7.5877331647170587E-3</v>
      </c>
      <c r="Z672" s="26">
        <f>(L672+Q672)/(L672+Q672+H672+K672)</f>
        <v>1.2578616352201259E-2</v>
      </c>
    </row>
    <row r="673" spans="1:26" x14ac:dyDescent="0.35">
      <c r="A673" t="s">
        <v>122</v>
      </c>
      <c r="B673" t="s">
        <v>122</v>
      </c>
      <c r="C673" t="s">
        <v>123</v>
      </c>
      <c r="D673" t="s">
        <v>100</v>
      </c>
      <c r="E673" t="s">
        <v>99</v>
      </c>
      <c r="F673" t="s">
        <v>12</v>
      </c>
      <c r="G673">
        <v>1</v>
      </c>
      <c r="H673">
        <v>315</v>
      </c>
      <c r="I673">
        <v>0.94029850746268595</v>
      </c>
      <c r="J673" s="25">
        <f t="shared" si="31"/>
        <v>0.94029850746268662</v>
      </c>
      <c r="K673">
        <v>3139</v>
      </c>
      <c r="L673">
        <v>24</v>
      </c>
      <c r="M673">
        <v>7.5877331647170396E-3</v>
      </c>
      <c r="N673" s="25">
        <f t="shared" si="30"/>
        <v>7.5877331647170587E-3</v>
      </c>
      <c r="O673">
        <v>0.99241226683528205</v>
      </c>
      <c r="P673" s="25">
        <f t="shared" si="32"/>
        <v>0.99241226683528294</v>
      </c>
      <c r="Q673">
        <v>20</v>
      </c>
      <c r="R673" t="s">
        <v>124</v>
      </c>
      <c r="S673" t="s">
        <v>124</v>
      </c>
      <c r="T673" t="s">
        <v>124</v>
      </c>
      <c r="U673" t="s">
        <v>124</v>
      </c>
      <c r="X673" s="19">
        <f>J673</f>
        <v>0.94029850746268662</v>
      </c>
      <c r="Y673" s="19">
        <f>N673</f>
        <v>7.5877331647170587E-3</v>
      </c>
      <c r="Z673" s="26">
        <f>(L673+Q673)/(L673+Q673+H673+K673)</f>
        <v>1.2578616352201259E-2</v>
      </c>
    </row>
    <row r="674" spans="1:26" x14ac:dyDescent="0.35">
      <c r="A674" t="s">
        <v>122</v>
      </c>
      <c r="B674" t="s">
        <v>122</v>
      </c>
      <c r="C674" t="s">
        <v>123</v>
      </c>
      <c r="D674" t="s">
        <v>100</v>
      </c>
      <c r="E674" t="s">
        <v>99</v>
      </c>
      <c r="F674" t="s">
        <v>12</v>
      </c>
      <c r="G674">
        <v>1</v>
      </c>
      <c r="H674">
        <v>315</v>
      </c>
      <c r="I674">
        <v>0.94029850746268595</v>
      </c>
      <c r="J674" s="25">
        <f t="shared" si="31"/>
        <v>0.94029850746268662</v>
      </c>
      <c r="K674">
        <v>3139</v>
      </c>
      <c r="L674">
        <v>24</v>
      </c>
      <c r="M674">
        <v>7.5877331647170396E-3</v>
      </c>
      <c r="N674" s="25">
        <f t="shared" si="30"/>
        <v>7.5877331647170587E-3</v>
      </c>
      <c r="O674">
        <v>0.99241226683528205</v>
      </c>
      <c r="P674" s="25">
        <f t="shared" si="32"/>
        <v>0.99241226683528294</v>
      </c>
      <c r="Q674">
        <v>20</v>
      </c>
      <c r="R674" t="s">
        <v>124</v>
      </c>
      <c r="S674" t="s">
        <v>124</v>
      </c>
      <c r="T674" t="s">
        <v>124</v>
      </c>
      <c r="U674" t="s">
        <v>124</v>
      </c>
      <c r="X674" s="19">
        <f>J674</f>
        <v>0.94029850746268662</v>
      </c>
      <c r="Y674" s="19">
        <f>N674</f>
        <v>7.5877331647170587E-3</v>
      </c>
      <c r="Z674" s="26">
        <f>(L674+Q674)/(L674+Q674+H674+K674)</f>
        <v>1.2578616352201259E-2</v>
      </c>
    </row>
    <row r="675" spans="1:26" x14ac:dyDescent="0.35">
      <c r="A675" t="s">
        <v>122</v>
      </c>
      <c r="B675" t="s">
        <v>122</v>
      </c>
      <c r="C675" t="s">
        <v>123</v>
      </c>
      <c r="D675" t="s">
        <v>100</v>
      </c>
      <c r="E675" t="s">
        <v>99</v>
      </c>
      <c r="F675" t="s">
        <v>12</v>
      </c>
      <c r="G675">
        <v>1</v>
      </c>
      <c r="H675">
        <v>315</v>
      </c>
      <c r="I675">
        <v>0.94029850746268595</v>
      </c>
      <c r="J675" s="25">
        <f t="shared" si="31"/>
        <v>0.94029850746268662</v>
      </c>
      <c r="K675">
        <v>3139</v>
      </c>
      <c r="L675">
        <v>24</v>
      </c>
      <c r="M675">
        <v>7.5877331647170396E-3</v>
      </c>
      <c r="N675" s="25">
        <f t="shared" si="30"/>
        <v>7.5877331647170587E-3</v>
      </c>
      <c r="O675">
        <v>0.99241226683528205</v>
      </c>
      <c r="P675" s="25">
        <f t="shared" si="32"/>
        <v>0.99241226683528294</v>
      </c>
      <c r="Q675">
        <v>20</v>
      </c>
      <c r="R675" t="s">
        <v>124</v>
      </c>
      <c r="S675" t="s">
        <v>124</v>
      </c>
      <c r="T675" t="s">
        <v>124</v>
      </c>
      <c r="U675" t="s">
        <v>124</v>
      </c>
      <c r="X675" s="19">
        <f>J675</f>
        <v>0.94029850746268662</v>
      </c>
      <c r="Y675" s="19">
        <f>N675</f>
        <v>7.5877331647170587E-3</v>
      </c>
      <c r="Z675" s="26">
        <f>(L675+Q675)/(L675+Q675+H675+K675)</f>
        <v>1.2578616352201259E-2</v>
      </c>
    </row>
    <row r="676" spans="1:26" x14ac:dyDescent="0.35">
      <c r="A676" t="s">
        <v>122</v>
      </c>
      <c r="B676" t="s">
        <v>122</v>
      </c>
      <c r="C676" t="s">
        <v>123</v>
      </c>
      <c r="D676" t="s">
        <v>100</v>
      </c>
      <c r="E676" t="s">
        <v>99</v>
      </c>
      <c r="F676" t="s">
        <v>12</v>
      </c>
      <c r="G676">
        <v>1</v>
      </c>
      <c r="H676">
        <v>315</v>
      </c>
      <c r="I676">
        <v>0.94029850746268595</v>
      </c>
      <c r="J676" s="25">
        <f t="shared" si="31"/>
        <v>0.94029850746268662</v>
      </c>
      <c r="K676">
        <v>3139</v>
      </c>
      <c r="L676">
        <v>24</v>
      </c>
      <c r="M676">
        <v>7.5877331647170396E-3</v>
      </c>
      <c r="N676" s="25">
        <f t="shared" si="30"/>
        <v>7.5877331647170587E-3</v>
      </c>
      <c r="O676">
        <v>0.99241226683528205</v>
      </c>
      <c r="P676" s="25">
        <f t="shared" si="32"/>
        <v>0.99241226683528294</v>
      </c>
      <c r="Q676">
        <v>20</v>
      </c>
      <c r="R676" t="s">
        <v>124</v>
      </c>
      <c r="S676" t="s">
        <v>124</v>
      </c>
      <c r="T676" t="s">
        <v>124</v>
      </c>
      <c r="U676" t="s">
        <v>124</v>
      </c>
      <c r="X676" s="19">
        <f>J676</f>
        <v>0.94029850746268662</v>
      </c>
      <c r="Y676" s="19">
        <f>N676</f>
        <v>7.5877331647170587E-3</v>
      </c>
      <c r="Z676" s="26">
        <f>(L676+Q676)/(L676+Q676+H676+K676)</f>
        <v>1.2578616352201259E-2</v>
      </c>
    </row>
    <row r="677" spans="1:26" x14ac:dyDescent="0.35">
      <c r="A677" t="s">
        <v>122</v>
      </c>
      <c r="B677" t="s">
        <v>122</v>
      </c>
      <c r="C677" t="s">
        <v>123</v>
      </c>
      <c r="D677" t="s">
        <v>100</v>
      </c>
      <c r="E677" t="s">
        <v>99</v>
      </c>
      <c r="F677" t="s">
        <v>12</v>
      </c>
      <c r="G677">
        <v>1</v>
      </c>
      <c r="H677">
        <v>315</v>
      </c>
      <c r="I677">
        <v>0.94029850746268595</v>
      </c>
      <c r="J677" s="25">
        <f t="shared" si="31"/>
        <v>0.94029850746268662</v>
      </c>
      <c r="K677">
        <v>3139</v>
      </c>
      <c r="L677">
        <v>24</v>
      </c>
      <c r="M677">
        <v>7.5877331647170396E-3</v>
      </c>
      <c r="N677" s="25">
        <f t="shared" si="30"/>
        <v>7.5877331647170587E-3</v>
      </c>
      <c r="O677">
        <v>0.99241226683528205</v>
      </c>
      <c r="P677" s="25">
        <f t="shared" si="32"/>
        <v>0.99241226683528294</v>
      </c>
      <c r="Q677">
        <v>20</v>
      </c>
      <c r="R677" t="s">
        <v>124</v>
      </c>
      <c r="S677" t="s">
        <v>124</v>
      </c>
      <c r="T677" t="s">
        <v>124</v>
      </c>
      <c r="U677" t="s">
        <v>124</v>
      </c>
      <c r="X677" s="19">
        <f>J677</f>
        <v>0.94029850746268662</v>
      </c>
      <c r="Y677" s="19">
        <f>N677</f>
        <v>7.5877331647170587E-3</v>
      </c>
      <c r="Z677" s="26">
        <f>(L677+Q677)/(L677+Q677+H677+K677)</f>
        <v>1.2578616352201259E-2</v>
      </c>
    </row>
    <row r="678" spans="1:26" x14ac:dyDescent="0.35">
      <c r="A678" t="s">
        <v>122</v>
      </c>
      <c r="B678" t="s">
        <v>122</v>
      </c>
      <c r="C678" t="s">
        <v>123</v>
      </c>
      <c r="D678" t="s">
        <v>100</v>
      </c>
      <c r="E678" t="s">
        <v>99</v>
      </c>
      <c r="F678" t="s">
        <v>12</v>
      </c>
      <c r="G678">
        <v>1</v>
      </c>
      <c r="H678">
        <v>315</v>
      </c>
      <c r="I678">
        <v>0.94029850746268595</v>
      </c>
      <c r="J678" s="25">
        <f t="shared" si="31"/>
        <v>0.94029850746268662</v>
      </c>
      <c r="K678">
        <v>3139</v>
      </c>
      <c r="L678">
        <v>24</v>
      </c>
      <c r="M678">
        <v>7.5877331647170396E-3</v>
      </c>
      <c r="N678" s="25">
        <f t="shared" si="30"/>
        <v>7.5877331647170587E-3</v>
      </c>
      <c r="O678">
        <v>0.99241226683528205</v>
      </c>
      <c r="P678" s="25">
        <f t="shared" si="32"/>
        <v>0.99241226683528294</v>
      </c>
      <c r="Q678">
        <v>20</v>
      </c>
      <c r="R678" t="s">
        <v>124</v>
      </c>
      <c r="S678" t="s">
        <v>124</v>
      </c>
      <c r="T678" t="s">
        <v>124</v>
      </c>
      <c r="U678" t="s">
        <v>124</v>
      </c>
      <c r="X678" s="19">
        <f>J678</f>
        <v>0.94029850746268662</v>
      </c>
      <c r="Y678" s="19">
        <f>N678</f>
        <v>7.5877331647170587E-3</v>
      </c>
      <c r="Z678" s="26">
        <f>(L678+Q678)/(L678+Q678+H678+K678)</f>
        <v>1.2578616352201259E-2</v>
      </c>
    </row>
    <row r="679" spans="1:26" x14ac:dyDescent="0.35">
      <c r="A679" t="s">
        <v>122</v>
      </c>
      <c r="B679" t="s">
        <v>122</v>
      </c>
      <c r="C679" t="s">
        <v>123</v>
      </c>
      <c r="D679" t="s">
        <v>100</v>
      </c>
      <c r="E679" t="s">
        <v>99</v>
      </c>
      <c r="F679" t="s">
        <v>12</v>
      </c>
      <c r="G679">
        <v>1</v>
      </c>
      <c r="H679">
        <v>315</v>
      </c>
      <c r="I679">
        <v>0.94029850746268595</v>
      </c>
      <c r="J679" s="25">
        <f t="shared" si="31"/>
        <v>0.94029850746268662</v>
      </c>
      <c r="K679">
        <v>3139</v>
      </c>
      <c r="L679">
        <v>24</v>
      </c>
      <c r="M679">
        <v>7.5877331647170396E-3</v>
      </c>
      <c r="N679" s="25">
        <f t="shared" si="30"/>
        <v>7.5877331647170587E-3</v>
      </c>
      <c r="O679">
        <v>0.99241226683528205</v>
      </c>
      <c r="P679" s="25">
        <f t="shared" si="32"/>
        <v>0.99241226683528294</v>
      </c>
      <c r="Q679">
        <v>20</v>
      </c>
      <c r="R679" t="s">
        <v>124</v>
      </c>
      <c r="S679" t="s">
        <v>124</v>
      </c>
      <c r="T679" t="s">
        <v>124</v>
      </c>
      <c r="U679" t="s">
        <v>124</v>
      </c>
      <c r="X679" s="19">
        <f>J679</f>
        <v>0.94029850746268662</v>
      </c>
      <c r="Y679" s="19">
        <f>N679</f>
        <v>7.5877331647170587E-3</v>
      </c>
      <c r="Z679" s="26">
        <f>(L679+Q679)/(L679+Q679+H679+K679)</f>
        <v>1.2578616352201259E-2</v>
      </c>
    </row>
    <row r="680" spans="1:26" x14ac:dyDescent="0.35">
      <c r="A680" t="s">
        <v>122</v>
      </c>
      <c r="B680" t="s">
        <v>122</v>
      </c>
      <c r="C680" t="s">
        <v>123</v>
      </c>
      <c r="D680" t="s">
        <v>100</v>
      </c>
      <c r="E680" t="s">
        <v>99</v>
      </c>
      <c r="F680" t="s">
        <v>12</v>
      </c>
      <c r="G680">
        <v>1</v>
      </c>
      <c r="H680">
        <v>315</v>
      </c>
      <c r="I680">
        <v>0.94029850746268595</v>
      </c>
      <c r="J680" s="25">
        <f t="shared" si="31"/>
        <v>0.94029850746268662</v>
      </c>
      <c r="K680">
        <v>3139</v>
      </c>
      <c r="L680">
        <v>24</v>
      </c>
      <c r="M680">
        <v>7.5877331647170396E-3</v>
      </c>
      <c r="N680" s="25">
        <f t="shared" si="30"/>
        <v>7.5877331647170587E-3</v>
      </c>
      <c r="O680">
        <v>0.99241226683528205</v>
      </c>
      <c r="P680" s="25">
        <f t="shared" si="32"/>
        <v>0.99241226683528294</v>
      </c>
      <c r="Q680">
        <v>20</v>
      </c>
      <c r="R680" t="s">
        <v>124</v>
      </c>
      <c r="S680" t="s">
        <v>124</v>
      </c>
      <c r="T680" t="s">
        <v>124</v>
      </c>
      <c r="U680" t="s">
        <v>124</v>
      </c>
      <c r="X680" s="19">
        <f>J680</f>
        <v>0.94029850746268662</v>
      </c>
      <c r="Y680" s="19">
        <f>N680</f>
        <v>7.5877331647170587E-3</v>
      </c>
      <c r="Z680" s="26">
        <f>(L680+Q680)/(L680+Q680+H680+K680)</f>
        <v>1.2578616352201259E-2</v>
      </c>
    </row>
    <row r="681" spans="1:26" x14ac:dyDescent="0.35">
      <c r="A681" t="s">
        <v>122</v>
      </c>
      <c r="B681" t="s">
        <v>122</v>
      </c>
      <c r="C681" t="s">
        <v>123</v>
      </c>
      <c r="D681" t="s">
        <v>100</v>
      </c>
      <c r="E681" t="s">
        <v>99</v>
      </c>
      <c r="F681" t="s">
        <v>12</v>
      </c>
      <c r="G681">
        <v>1</v>
      </c>
      <c r="H681">
        <v>315</v>
      </c>
      <c r="I681">
        <v>0.94029850746268595</v>
      </c>
      <c r="J681" s="25">
        <f t="shared" si="31"/>
        <v>0.94029850746268662</v>
      </c>
      <c r="K681">
        <v>3139</v>
      </c>
      <c r="L681">
        <v>24</v>
      </c>
      <c r="M681">
        <v>7.5877331647170396E-3</v>
      </c>
      <c r="N681" s="25">
        <f t="shared" si="30"/>
        <v>7.5877331647170587E-3</v>
      </c>
      <c r="O681">
        <v>0.99241226683528205</v>
      </c>
      <c r="P681" s="25">
        <f t="shared" si="32"/>
        <v>0.99241226683528294</v>
      </c>
      <c r="Q681">
        <v>20</v>
      </c>
      <c r="R681" t="s">
        <v>124</v>
      </c>
      <c r="S681" t="s">
        <v>124</v>
      </c>
      <c r="T681" t="s">
        <v>124</v>
      </c>
      <c r="U681" t="s">
        <v>124</v>
      </c>
      <c r="X681" s="19">
        <f>J681</f>
        <v>0.94029850746268662</v>
      </c>
      <c r="Y681" s="19">
        <f>N681</f>
        <v>7.5877331647170587E-3</v>
      </c>
      <c r="Z681" s="26">
        <f>(L681+Q681)/(L681+Q681+H681+K681)</f>
        <v>1.2578616352201259E-2</v>
      </c>
    </row>
    <row r="682" spans="1:26" x14ac:dyDescent="0.35">
      <c r="A682" t="s">
        <v>122</v>
      </c>
      <c r="B682" t="s">
        <v>122</v>
      </c>
      <c r="C682" t="s">
        <v>123</v>
      </c>
      <c r="D682" t="s">
        <v>100</v>
      </c>
      <c r="E682" t="s">
        <v>99</v>
      </c>
      <c r="F682" t="s">
        <v>12</v>
      </c>
      <c r="G682">
        <v>1</v>
      </c>
      <c r="H682">
        <v>315</v>
      </c>
      <c r="I682">
        <v>0.94029850746268595</v>
      </c>
      <c r="J682" s="25">
        <f t="shared" si="31"/>
        <v>0.94029850746268662</v>
      </c>
      <c r="K682">
        <v>3139</v>
      </c>
      <c r="L682">
        <v>24</v>
      </c>
      <c r="M682">
        <v>7.5877331647170396E-3</v>
      </c>
      <c r="N682" s="25">
        <f t="shared" si="30"/>
        <v>7.5877331647170587E-3</v>
      </c>
      <c r="O682">
        <v>0.99241226683528205</v>
      </c>
      <c r="P682" s="25">
        <f t="shared" si="32"/>
        <v>0.99241226683528294</v>
      </c>
      <c r="Q682">
        <v>20</v>
      </c>
      <c r="R682" t="s">
        <v>124</v>
      </c>
      <c r="S682" t="s">
        <v>124</v>
      </c>
      <c r="T682" t="s">
        <v>124</v>
      </c>
      <c r="U682" t="s">
        <v>124</v>
      </c>
      <c r="X682" s="19">
        <f>J682</f>
        <v>0.94029850746268662</v>
      </c>
      <c r="Y682" s="19">
        <f>N682</f>
        <v>7.5877331647170587E-3</v>
      </c>
      <c r="Z682" s="26">
        <f>(L682+Q682)/(L682+Q682+H682+K682)</f>
        <v>1.2578616352201259E-2</v>
      </c>
    </row>
    <row r="683" spans="1:26" x14ac:dyDescent="0.35">
      <c r="A683" t="s">
        <v>122</v>
      </c>
      <c r="B683" t="s">
        <v>122</v>
      </c>
      <c r="C683" t="s">
        <v>123</v>
      </c>
      <c r="D683" t="s">
        <v>100</v>
      </c>
      <c r="E683" t="s">
        <v>99</v>
      </c>
      <c r="F683" t="s">
        <v>12</v>
      </c>
      <c r="G683">
        <v>1</v>
      </c>
      <c r="H683">
        <v>315</v>
      </c>
      <c r="I683">
        <v>0.94029850746268595</v>
      </c>
      <c r="J683" s="25">
        <f t="shared" si="31"/>
        <v>0.94029850746268662</v>
      </c>
      <c r="K683">
        <v>3139</v>
      </c>
      <c r="L683">
        <v>24</v>
      </c>
      <c r="M683">
        <v>7.5877331647170396E-3</v>
      </c>
      <c r="N683" s="25">
        <f t="shared" si="30"/>
        <v>7.5877331647170587E-3</v>
      </c>
      <c r="O683">
        <v>0.99241226683528205</v>
      </c>
      <c r="P683" s="25">
        <f t="shared" si="32"/>
        <v>0.99241226683528294</v>
      </c>
      <c r="Q683">
        <v>20</v>
      </c>
      <c r="R683" t="s">
        <v>124</v>
      </c>
      <c r="S683" t="s">
        <v>124</v>
      </c>
      <c r="T683" t="s">
        <v>124</v>
      </c>
      <c r="U683" t="s">
        <v>124</v>
      </c>
      <c r="X683" s="19">
        <f>J683</f>
        <v>0.94029850746268662</v>
      </c>
      <c r="Y683" s="19">
        <f>N683</f>
        <v>7.5877331647170587E-3</v>
      </c>
      <c r="Z683" s="26">
        <f>(L683+Q683)/(L683+Q683+H683+K683)</f>
        <v>1.2578616352201259E-2</v>
      </c>
    </row>
    <row r="684" spans="1:26" x14ac:dyDescent="0.35">
      <c r="A684" t="s">
        <v>122</v>
      </c>
      <c r="B684" t="s">
        <v>122</v>
      </c>
      <c r="C684" t="s">
        <v>123</v>
      </c>
      <c r="D684" t="s">
        <v>100</v>
      </c>
      <c r="E684" t="s">
        <v>99</v>
      </c>
      <c r="F684" t="s">
        <v>12</v>
      </c>
      <c r="G684">
        <v>1</v>
      </c>
      <c r="H684">
        <v>315</v>
      </c>
      <c r="I684">
        <v>0.94029850746268595</v>
      </c>
      <c r="J684" s="25">
        <f t="shared" si="31"/>
        <v>0.94029850746268662</v>
      </c>
      <c r="K684">
        <v>3139</v>
      </c>
      <c r="L684">
        <v>24</v>
      </c>
      <c r="M684">
        <v>7.5877331647170396E-3</v>
      </c>
      <c r="N684" s="25">
        <f t="shared" si="30"/>
        <v>7.5877331647170587E-3</v>
      </c>
      <c r="O684">
        <v>0.99241226683528205</v>
      </c>
      <c r="P684" s="25">
        <f t="shared" si="32"/>
        <v>0.99241226683528294</v>
      </c>
      <c r="Q684">
        <v>20</v>
      </c>
      <c r="R684" t="s">
        <v>124</v>
      </c>
      <c r="S684" t="s">
        <v>124</v>
      </c>
      <c r="T684" t="s">
        <v>124</v>
      </c>
      <c r="U684" t="s">
        <v>124</v>
      </c>
      <c r="X684" s="19">
        <f>J684</f>
        <v>0.94029850746268662</v>
      </c>
      <c r="Y684" s="19">
        <f>N684</f>
        <v>7.5877331647170587E-3</v>
      </c>
      <c r="Z684" s="26">
        <f>(L684+Q684)/(L684+Q684+H684+K684)</f>
        <v>1.2578616352201259E-2</v>
      </c>
    </row>
    <row r="685" spans="1:26" x14ac:dyDescent="0.35">
      <c r="A685" t="s">
        <v>122</v>
      </c>
      <c r="B685" t="s">
        <v>122</v>
      </c>
      <c r="C685" t="s">
        <v>123</v>
      </c>
      <c r="D685" t="s">
        <v>100</v>
      </c>
      <c r="E685" t="s">
        <v>99</v>
      </c>
      <c r="F685" t="s">
        <v>12</v>
      </c>
      <c r="G685">
        <v>1</v>
      </c>
      <c r="H685">
        <v>315</v>
      </c>
      <c r="I685">
        <v>0.94029850746268595</v>
      </c>
      <c r="J685" s="25">
        <f t="shared" si="31"/>
        <v>0.94029850746268662</v>
      </c>
      <c r="K685">
        <v>3139</v>
      </c>
      <c r="L685">
        <v>24</v>
      </c>
      <c r="M685">
        <v>7.5877331647170396E-3</v>
      </c>
      <c r="N685" s="25">
        <f t="shared" si="30"/>
        <v>7.5877331647170587E-3</v>
      </c>
      <c r="O685">
        <v>0.99241226683528205</v>
      </c>
      <c r="P685" s="25">
        <f t="shared" si="32"/>
        <v>0.99241226683528294</v>
      </c>
      <c r="Q685">
        <v>20</v>
      </c>
      <c r="R685" t="s">
        <v>124</v>
      </c>
      <c r="S685" t="s">
        <v>124</v>
      </c>
      <c r="T685" t="s">
        <v>124</v>
      </c>
      <c r="U685" t="s">
        <v>124</v>
      </c>
      <c r="X685" s="19">
        <f>J685</f>
        <v>0.94029850746268662</v>
      </c>
      <c r="Y685" s="19">
        <f>N685</f>
        <v>7.5877331647170587E-3</v>
      </c>
      <c r="Z685" s="26">
        <f>(L685+Q685)/(L685+Q685+H685+K685)</f>
        <v>1.2578616352201259E-2</v>
      </c>
    </row>
    <row r="686" spans="1:26" x14ac:dyDescent="0.35">
      <c r="A686" t="s">
        <v>122</v>
      </c>
      <c r="B686" t="s">
        <v>122</v>
      </c>
      <c r="C686" t="s">
        <v>123</v>
      </c>
      <c r="D686" t="s">
        <v>100</v>
      </c>
      <c r="E686" t="s">
        <v>99</v>
      </c>
      <c r="F686" t="s">
        <v>12</v>
      </c>
      <c r="G686">
        <v>1</v>
      </c>
      <c r="H686">
        <v>315</v>
      </c>
      <c r="I686">
        <v>0.94029850746268595</v>
      </c>
      <c r="J686" s="25">
        <f t="shared" si="31"/>
        <v>0.94029850746268662</v>
      </c>
      <c r="K686">
        <v>3139</v>
      </c>
      <c r="L686">
        <v>24</v>
      </c>
      <c r="M686">
        <v>7.5877331647170396E-3</v>
      </c>
      <c r="N686" s="25">
        <f t="shared" si="30"/>
        <v>7.5877331647170587E-3</v>
      </c>
      <c r="O686">
        <v>0.99241226683528205</v>
      </c>
      <c r="P686" s="25">
        <f t="shared" si="32"/>
        <v>0.99241226683528294</v>
      </c>
      <c r="Q686">
        <v>20</v>
      </c>
      <c r="R686" t="s">
        <v>124</v>
      </c>
      <c r="S686" t="s">
        <v>124</v>
      </c>
      <c r="T686" t="s">
        <v>124</v>
      </c>
      <c r="U686" t="s">
        <v>124</v>
      </c>
      <c r="X686" s="19">
        <f>J686</f>
        <v>0.94029850746268662</v>
      </c>
      <c r="Y686" s="19">
        <f>N686</f>
        <v>7.5877331647170587E-3</v>
      </c>
      <c r="Z686" s="26">
        <f>(L686+Q686)/(L686+Q686+H686+K686)</f>
        <v>1.2578616352201259E-2</v>
      </c>
    </row>
    <row r="687" spans="1:26" x14ac:dyDescent="0.35">
      <c r="A687" t="s">
        <v>122</v>
      </c>
      <c r="B687" t="s">
        <v>122</v>
      </c>
      <c r="C687" t="s">
        <v>123</v>
      </c>
      <c r="D687" t="s">
        <v>100</v>
      </c>
      <c r="E687" t="s">
        <v>99</v>
      </c>
      <c r="F687" t="s">
        <v>12</v>
      </c>
      <c r="G687">
        <v>1</v>
      </c>
      <c r="H687">
        <v>315</v>
      </c>
      <c r="I687">
        <v>0.94029850746268595</v>
      </c>
      <c r="J687" s="25">
        <f t="shared" si="31"/>
        <v>0.94029850746268662</v>
      </c>
      <c r="K687">
        <v>3139</v>
      </c>
      <c r="L687">
        <v>24</v>
      </c>
      <c r="M687">
        <v>7.5877331647170396E-3</v>
      </c>
      <c r="N687" s="25">
        <f t="shared" si="30"/>
        <v>7.5877331647170587E-3</v>
      </c>
      <c r="O687">
        <v>0.99241226683528205</v>
      </c>
      <c r="P687" s="25">
        <f t="shared" si="32"/>
        <v>0.99241226683528294</v>
      </c>
      <c r="Q687">
        <v>20</v>
      </c>
      <c r="R687" t="s">
        <v>124</v>
      </c>
      <c r="S687" t="s">
        <v>124</v>
      </c>
      <c r="T687" t="s">
        <v>124</v>
      </c>
      <c r="U687" t="s">
        <v>124</v>
      </c>
      <c r="X687" s="19">
        <f>J687</f>
        <v>0.94029850746268662</v>
      </c>
      <c r="Y687" s="19">
        <f>N687</f>
        <v>7.5877331647170587E-3</v>
      </c>
      <c r="Z687" s="26">
        <f>(L687+Q687)/(L687+Q687+H687+K687)</f>
        <v>1.2578616352201259E-2</v>
      </c>
    </row>
    <row r="688" spans="1:26" x14ac:dyDescent="0.35">
      <c r="A688" t="s">
        <v>122</v>
      </c>
      <c r="B688" t="s">
        <v>122</v>
      </c>
      <c r="C688" t="s">
        <v>123</v>
      </c>
      <c r="D688" t="s">
        <v>100</v>
      </c>
      <c r="E688" t="s">
        <v>99</v>
      </c>
      <c r="F688" t="s">
        <v>12</v>
      </c>
      <c r="G688">
        <v>1</v>
      </c>
      <c r="H688">
        <v>315</v>
      </c>
      <c r="I688">
        <v>0.94029850746268595</v>
      </c>
      <c r="J688" s="25">
        <f t="shared" si="31"/>
        <v>0.94029850746268662</v>
      </c>
      <c r="K688">
        <v>3139</v>
      </c>
      <c r="L688">
        <v>24</v>
      </c>
      <c r="M688">
        <v>7.5877331647170396E-3</v>
      </c>
      <c r="N688" s="25">
        <f t="shared" si="30"/>
        <v>7.5877331647170587E-3</v>
      </c>
      <c r="O688">
        <v>0.99241226683528205</v>
      </c>
      <c r="P688" s="25">
        <f t="shared" si="32"/>
        <v>0.99241226683528294</v>
      </c>
      <c r="Q688">
        <v>20</v>
      </c>
      <c r="R688" t="s">
        <v>124</v>
      </c>
      <c r="S688" t="s">
        <v>124</v>
      </c>
      <c r="T688" t="s">
        <v>124</v>
      </c>
      <c r="U688" t="s">
        <v>124</v>
      </c>
      <c r="X688" s="19">
        <f>J688</f>
        <v>0.94029850746268662</v>
      </c>
      <c r="Y688" s="19">
        <f>N688</f>
        <v>7.5877331647170587E-3</v>
      </c>
      <c r="Z688" s="26">
        <f>(L688+Q688)/(L688+Q688+H688+K688)</f>
        <v>1.2578616352201259E-2</v>
      </c>
    </row>
    <row r="689" spans="1:26" x14ac:dyDescent="0.35">
      <c r="A689" t="s">
        <v>122</v>
      </c>
      <c r="B689" t="s">
        <v>122</v>
      </c>
      <c r="C689" t="s">
        <v>123</v>
      </c>
      <c r="D689" t="s">
        <v>100</v>
      </c>
      <c r="E689" t="s">
        <v>99</v>
      </c>
      <c r="F689" t="s">
        <v>12</v>
      </c>
      <c r="G689">
        <v>1</v>
      </c>
      <c r="H689">
        <v>315</v>
      </c>
      <c r="I689">
        <v>0.94029850746268595</v>
      </c>
      <c r="J689" s="25">
        <f t="shared" si="31"/>
        <v>0.94029850746268662</v>
      </c>
      <c r="K689">
        <v>3139</v>
      </c>
      <c r="L689">
        <v>24</v>
      </c>
      <c r="M689">
        <v>7.5877331647170396E-3</v>
      </c>
      <c r="N689" s="25">
        <f t="shared" si="30"/>
        <v>7.5877331647170587E-3</v>
      </c>
      <c r="O689">
        <v>0.99241226683528205</v>
      </c>
      <c r="P689" s="25">
        <f t="shared" si="32"/>
        <v>0.99241226683528294</v>
      </c>
      <c r="Q689">
        <v>20</v>
      </c>
      <c r="R689" t="s">
        <v>124</v>
      </c>
      <c r="S689" t="s">
        <v>124</v>
      </c>
      <c r="T689" t="s">
        <v>124</v>
      </c>
      <c r="U689" t="s">
        <v>124</v>
      </c>
      <c r="X689" s="19">
        <f>J689</f>
        <v>0.94029850746268662</v>
      </c>
      <c r="Y689" s="19">
        <f>N689</f>
        <v>7.5877331647170587E-3</v>
      </c>
      <c r="Z689" s="26">
        <f>(L689+Q689)/(L689+Q689+H689+K689)</f>
        <v>1.2578616352201259E-2</v>
      </c>
    </row>
    <row r="690" spans="1:26" x14ac:dyDescent="0.35">
      <c r="A690" t="s">
        <v>122</v>
      </c>
      <c r="B690" t="s">
        <v>122</v>
      </c>
      <c r="C690" t="s">
        <v>123</v>
      </c>
      <c r="D690" t="s">
        <v>100</v>
      </c>
      <c r="E690" t="s">
        <v>99</v>
      </c>
      <c r="F690" t="s">
        <v>12</v>
      </c>
      <c r="G690">
        <v>1</v>
      </c>
      <c r="H690">
        <v>315</v>
      </c>
      <c r="I690">
        <v>0.94029850746268595</v>
      </c>
      <c r="J690" s="25">
        <f t="shared" si="31"/>
        <v>0.94029850746268662</v>
      </c>
      <c r="K690">
        <v>3139</v>
      </c>
      <c r="L690">
        <v>24</v>
      </c>
      <c r="M690">
        <v>7.5877331647170396E-3</v>
      </c>
      <c r="N690" s="25">
        <f t="shared" si="30"/>
        <v>7.5877331647170587E-3</v>
      </c>
      <c r="O690">
        <v>0.99241226683528205</v>
      </c>
      <c r="P690" s="25">
        <f t="shared" si="32"/>
        <v>0.99241226683528294</v>
      </c>
      <c r="Q690">
        <v>20</v>
      </c>
      <c r="R690" t="s">
        <v>124</v>
      </c>
      <c r="S690" t="s">
        <v>124</v>
      </c>
      <c r="T690" t="s">
        <v>124</v>
      </c>
      <c r="U690" t="s">
        <v>124</v>
      </c>
      <c r="X690" s="19">
        <f>J690</f>
        <v>0.94029850746268662</v>
      </c>
      <c r="Y690" s="19">
        <f>N690</f>
        <v>7.5877331647170587E-3</v>
      </c>
      <c r="Z690" s="26">
        <f>(L690+Q690)/(L690+Q690+H690+K690)</f>
        <v>1.2578616352201259E-2</v>
      </c>
    </row>
    <row r="691" spans="1:26" x14ac:dyDescent="0.35">
      <c r="A691" t="s">
        <v>122</v>
      </c>
      <c r="B691" t="s">
        <v>122</v>
      </c>
      <c r="C691" t="s">
        <v>123</v>
      </c>
      <c r="D691" t="s">
        <v>100</v>
      </c>
      <c r="E691" t="s">
        <v>99</v>
      </c>
      <c r="F691" t="s">
        <v>12</v>
      </c>
      <c r="G691">
        <v>1</v>
      </c>
      <c r="H691">
        <v>315</v>
      </c>
      <c r="I691">
        <v>0.94029850746268595</v>
      </c>
      <c r="J691" s="25">
        <f t="shared" si="31"/>
        <v>0.94029850746268662</v>
      </c>
      <c r="K691">
        <v>3139</v>
      </c>
      <c r="L691">
        <v>24</v>
      </c>
      <c r="M691">
        <v>7.5877331647170396E-3</v>
      </c>
      <c r="N691" s="25">
        <f t="shared" si="30"/>
        <v>7.5877331647170587E-3</v>
      </c>
      <c r="O691">
        <v>0.99241226683528205</v>
      </c>
      <c r="P691" s="25">
        <f t="shared" si="32"/>
        <v>0.99241226683528294</v>
      </c>
      <c r="Q691">
        <v>20</v>
      </c>
      <c r="R691" t="s">
        <v>124</v>
      </c>
      <c r="S691" t="s">
        <v>124</v>
      </c>
      <c r="T691" t="s">
        <v>124</v>
      </c>
      <c r="U691" t="s">
        <v>124</v>
      </c>
      <c r="X691" s="19">
        <f>J691</f>
        <v>0.94029850746268662</v>
      </c>
      <c r="Y691" s="19">
        <f>N691</f>
        <v>7.5877331647170587E-3</v>
      </c>
      <c r="Z691" s="26">
        <f>(L691+Q691)/(L691+Q691+H691+K691)</f>
        <v>1.2578616352201259E-2</v>
      </c>
    </row>
    <row r="692" spans="1:26" x14ac:dyDescent="0.35">
      <c r="A692" t="s">
        <v>122</v>
      </c>
      <c r="B692" t="s">
        <v>122</v>
      </c>
      <c r="C692" t="s">
        <v>123</v>
      </c>
      <c r="D692" t="s">
        <v>100</v>
      </c>
      <c r="E692" t="s">
        <v>99</v>
      </c>
      <c r="F692" t="s">
        <v>12</v>
      </c>
      <c r="G692">
        <v>1</v>
      </c>
      <c r="H692">
        <v>315</v>
      </c>
      <c r="I692">
        <v>0.94029850746268595</v>
      </c>
      <c r="J692" s="25">
        <f t="shared" si="31"/>
        <v>0.94029850746268662</v>
      </c>
      <c r="K692">
        <v>3139</v>
      </c>
      <c r="L692">
        <v>24</v>
      </c>
      <c r="M692">
        <v>7.5877331647170396E-3</v>
      </c>
      <c r="N692" s="25">
        <f t="shared" si="30"/>
        <v>7.5877331647170587E-3</v>
      </c>
      <c r="O692">
        <v>0.99241226683528205</v>
      </c>
      <c r="P692" s="25">
        <f t="shared" si="32"/>
        <v>0.99241226683528294</v>
      </c>
      <c r="Q692">
        <v>20</v>
      </c>
      <c r="R692" t="s">
        <v>124</v>
      </c>
      <c r="S692" t="s">
        <v>124</v>
      </c>
      <c r="T692" t="s">
        <v>124</v>
      </c>
      <c r="U692" t="s">
        <v>124</v>
      </c>
      <c r="X692" s="19">
        <f>J692</f>
        <v>0.94029850746268662</v>
      </c>
      <c r="Y692" s="19">
        <f>N692</f>
        <v>7.5877331647170587E-3</v>
      </c>
      <c r="Z692" s="26">
        <f>(L692+Q692)/(L692+Q692+H692+K692)</f>
        <v>1.2578616352201259E-2</v>
      </c>
    </row>
    <row r="693" spans="1:26" x14ac:dyDescent="0.35">
      <c r="A693" t="s">
        <v>122</v>
      </c>
      <c r="B693" t="s">
        <v>122</v>
      </c>
      <c r="C693" t="s">
        <v>123</v>
      </c>
      <c r="D693" t="s">
        <v>100</v>
      </c>
      <c r="E693" t="s">
        <v>99</v>
      </c>
      <c r="F693" t="s">
        <v>12</v>
      </c>
      <c r="G693">
        <v>1</v>
      </c>
      <c r="H693">
        <v>315</v>
      </c>
      <c r="I693">
        <v>0.94029850746268595</v>
      </c>
      <c r="J693" s="25">
        <f t="shared" si="31"/>
        <v>0.94029850746268662</v>
      </c>
      <c r="K693">
        <v>3139</v>
      </c>
      <c r="L693">
        <v>24</v>
      </c>
      <c r="M693">
        <v>7.5877331647170396E-3</v>
      </c>
      <c r="N693" s="25">
        <f t="shared" si="30"/>
        <v>7.5877331647170587E-3</v>
      </c>
      <c r="O693">
        <v>0.99241226683528205</v>
      </c>
      <c r="P693" s="25">
        <f t="shared" si="32"/>
        <v>0.99241226683528294</v>
      </c>
      <c r="Q693">
        <v>20</v>
      </c>
      <c r="R693" t="s">
        <v>124</v>
      </c>
      <c r="S693" t="s">
        <v>124</v>
      </c>
      <c r="T693" t="s">
        <v>124</v>
      </c>
      <c r="U693" t="s">
        <v>124</v>
      </c>
      <c r="X693" s="19">
        <f>J693</f>
        <v>0.94029850746268662</v>
      </c>
      <c r="Y693" s="19">
        <f>N693</f>
        <v>7.5877331647170587E-3</v>
      </c>
      <c r="Z693" s="26">
        <f>(L693+Q693)/(L693+Q693+H693+K693)</f>
        <v>1.2578616352201259E-2</v>
      </c>
    </row>
    <row r="694" spans="1:26" x14ac:dyDescent="0.35">
      <c r="A694" t="s">
        <v>122</v>
      </c>
      <c r="B694" t="s">
        <v>122</v>
      </c>
      <c r="C694" t="s">
        <v>123</v>
      </c>
      <c r="D694" t="s">
        <v>100</v>
      </c>
      <c r="E694" t="s">
        <v>99</v>
      </c>
      <c r="F694" t="s">
        <v>12</v>
      </c>
      <c r="G694">
        <v>1</v>
      </c>
      <c r="H694">
        <v>315</v>
      </c>
      <c r="I694">
        <v>0.94029850746268595</v>
      </c>
      <c r="J694" s="25">
        <f t="shared" si="31"/>
        <v>0.94029850746268662</v>
      </c>
      <c r="K694">
        <v>3139</v>
      </c>
      <c r="L694">
        <v>24</v>
      </c>
      <c r="M694">
        <v>7.5877331647170396E-3</v>
      </c>
      <c r="N694" s="25">
        <f t="shared" si="30"/>
        <v>7.5877331647170587E-3</v>
      </c>
      <c r="O694">
        <v>0.99241226683528205</v>
      </c>
      <c r="P694" s="25">
        <f t="shared" si="32"/>
        <v>0.99241226683528294</v>
      </c>
      <c r="Q694">
        <v>20</v>
      </c>
      <c r="R694" t="s">
        <v>124</v>
      </c>
      <c r="S694" t="s">
        <v>124</v>
      </c>
      <c r="T694" t="s">
        <v>124</v>
      </c>
      <c r="U694" t="s">
        <v>124</v>
      </c>
      <c r="X694" s="19">
        <f>J694</f>
        <v>0.94029850746268662</v>
      </c>
      <c r="Y694" s="19">
        <f>N694</f>
        <v>7.5877331647170587E-3</v>
      </c>
      <c r="Z694" s="26">
        <f>(L694+Q694)/(L694+Q694+H694+K694)</f>
        <v>1.2578616352201259E-2</v>
      </c>
    </row>
    <row r="695" spans="1:26" x14ac:dyDescent="0.35">
      <c r="A695" t="s">
        <v>122</v>
      </c>
      <c r="B695" t="s">
        <v>122</v>
      </c>
      <c r="C695" t="s">
        <v>123</v>
      </c>
      <c r="D695" t="s">
        <v>100</v>
      </c>
      <c r="E695" t="s">
        <v>99</v>
      </c>
      <c r="F695" t="s">
        <v>12</v>
      </c>
      <c r="G695">
        <v>1</v>
      </c>
      <c r="H695">
        <v>315</v>
      </c>
      <c r="I695">
        <v>0.94029850746268595</v>
      </c>
      <c r="J695" s="25">
        <f t="shared" si="31"/>
        <v>0.94029850746268662</v>
      </c>
      <c r="K695">
        <v>3139</v>
      </c>
      <c r="L695">
        <v>24</v>
      </c>
      <c r="M695">
        <v>7.5877331647170396E-3</v>
      </c>
      <c r="N695" s="25">
        <f t="shared" si="30"/>
        <v>7.5877331647170587E-3</v>
      </c>
      <c r="O695">
        <v>0.99241226683528205</v>
      </c>
      <c r="P695" s="25">
        <f t="shared" si="32"/>
        <v>0.99241226683528294</v>
      </c>
      <c r="Q695">
        <v>20</v>
      </c>
      <c r="R695" t="s">
        <v>124</v>
      </c>
      <c r="S695" t="s">
        <v>124</v>
      </c>
      <c r="T695" t="s">
        <v>124</v>
      </c>
      <c r="U695" t="s">
        <v>124</v>
      </c>
      <c r="X695" s="19">
        <f>J695</f>
        <v>0.94029850746268662</v>
      </c>
      <c r="Y695" s="19">
        <f>N695</f>
        <v>7.5877331647170587E-3</v>
      </c>
      <c r="Z695" s="26">
        <f>(L695+Q695)/(L695+Q695+H695+K695)</f>
        <v>1.2578616352201259E-2</v>
      </c>
    </row>
    <row r="696" spans="1:26" x14ac:dyDescent="0.35">
      <c r="A696" t="s">
        <v>122</v>
      </c>
      <c r="B696" t="s">
        <v>122</v>
      </c>
      <c r="C696" t="s">
        <v>123</v>
      </c>
      <c r="D696" t="s">
        <v>100</v>
      </c>
      <c r="E696" t="s">
        <v>99</v>
      </c>
      <c r="F696" t="s">
        <v>12</v>
      </c>
      <c r="G696">
        <v>1</v>
      </c>
      <c r="H696">
        <v>315</v>
      </c>
      <c r="I696">
        <v>0.94029850746268595</v>
      </c>
      <c r="J696" s="25">
        <f t="shared" si="31"/>
        <v>0.94029850746268662</v>
      </c>
      <c r="K696">
        <v>3139</v>
      </c>
      <c r="L696">
        <v>24</v>
      </c>
      <c r="M696">
        <v>7.5877331647170396E-3</v>
      </c>
      <c r="N696" s="25">
        <f t="shared" si="30"/>
        <v>7.5877331647170587E-3</v>
      </c>
      <c r="O696">
        <v>0.99241226683528205</v>
      </c>
      <c r="P696" s="25">
        <f t="shared" si="32"/>
        <v>0.99241226683528294</v>
      </c>
      <c r="Q696">
        <v>20</v>
      </c>
      <c r="R696" t="s">
        <v>124</v>
      </c>
      <c r="S696" t="s">
        <v>124</v>
      </c>
      <c r="T696" t="s">
        <v>124</v>
      </c>
      <c r="U696" t="s">
        <v>124</v>
      </c>
      <c r="X696" s="19">
        <f>J696</f>
        <v>0.94029850746268662</v>
      </c>
      <c r="Y696" s="19">
        <f>N696</f>
        <v>7.5877331647170587E-3</v>
      </c>
      <c r="Z696" s="26">
        <f>(L696+Q696)/(L696+Q696+H696+K696)</f>
        <v>1.2578616352201259E-2</v>
      </c>
    </row>
    <row r="697" spans="1:26" x14ac:dyDescent="0.35">
      <c r="A697" t="s">
        <v>122</v>
      </c>
      <c r="B697" t="s">
        <v>122</v>
      </c>
      <c r="C697" t="s">
        <v>123</v>
      </c>
      <c r="D697" t="s">
        <v>100</v>
      </c>
      <c r="E697" t="s">
        <v>99</v>
      </c>
      <c r="F697" t="s">
        <v>12</v>
      </c>
      <c r="G697">
        <v>1</v>
      </c>
      <c r="H697">
        <v>315</v>
      </c>
      <c r="I697">
        <v>0.94029850746268595</v>
      </c>
      <c r="J697" s="25">
        <f t="shared" si="31"/>
        <v>0.94029850746268662</v>
      </c>
      <c r="K697">
        <v>3139</v>
      </c>
      <c r="L697">
        <v>24</v>
      </c>
      <c r="M697">
        <v>7.5877331647170396E-3</v>
      </c>
      <c r="N697" s="25">
        <f t="shared" si="30"/>
        <v>7.5877331647170587E-3</v>
      </c>
      <c r="O697">
        <v>0.99241226683528205</v>
      </c>
      <c r="P697" s="25">
        <f t="shared" si="32"/>
        <v>0.99241226683528294</v>
      </c>
      <c r="Q697">
        <v>20</v>
      </c>
      <c r="R697" t="s">
        <v>124</v>
      </c>
      <c r="S697" t="s">
        <v>124</v>
      </c>
      <c r="T697" t="s">
        <v>124</v>
      </c>
      <c r="U697" t="s">
        <v>124</v>
      </c>
      <c r="X697" s="19">
        <f>J697</f>
        <v>0.94029850746268662</v>
      </c>
      <c r="Y697" s="19">
        <f>N697</f>
        <v>7.5877331647170587E-3</v>
      </c>
      <c r="Z697" s="26">
        <f>(L697+Q697)/(L697+Q697+H697+K697)</f>
        <v>1.2578616352201259E-2</v>
      </c>
    </row>
    <row r="698" spans="1:26" x14ac:dyDescent="0.35">
      <c r="A698" t="s">
        <v>122</v>
      </c>
      <c r="B698" t="s">
        <v>122</v>
      </c>
      <c r="C698" t="s">
        <v>123</v>
      </c>
      <c r="D698" t="s">
        <v>100</v>
      </c>
      <c r="E698" t="s">
        <v>99</v>
      </c>
      <c r="F698" t="s">
        <v>12</v>
      </c>
      <c r="G698">
        <v>1</v>
      </c>
      <c r="H698">
        <v>315</v>
      </c>
      <c r="I698">
        <v>0.94029850746268595</v>
      </c>
      <c r="J698" s="25">
        <f t="shared" si="31"/>
        <v>0.94029850746268662</v>
      </c>
      <c r="K698">
        <v>3139</v>
      </c>
      <c r="L698">
        <v>24</v>
      </c>
      <c r="M698">
        <v>7.5877331647170396E-3</v>
      </c>
      <c r="N698" s="25">
        <f t="shared" si="30"/>
        <v>7.5877331647170587E-3</v>
      </c>
      <c r="O698">
        <v>0.99241226683528205</v>
      </c>
      <c r="P698" s="25">
        <f t="shared" si="32"/>
        <v>0.99241226683528294</v>
      </c>
      <c r="Q698">
        <v>20</v>
      </c>
      <c r="R698" t="s">
        <v>124</v>
      </c>
      <c r="S698" t="s">
        <v>124</v>
      </c>
      <c r="T698" t="s">
        <v>124</v>
      </c>
      <c r="U698" t="s">
        <v>124</v>
      </c>
      <c r="X698" s="19">
        <f>J698</f>
        <v>0.94029850746268662</v>
      </c>
      <c r="Y698" s="19">
        <f>N698</f>
        <v>7.5877331647170587E-3</v>
      </c>
      <c r="Z698" s="26">
        <f>(L698+Q698)/(L698+Q698+H698+K698)</f>
        <v>1.2578616352201259E-2</v>
      </c>
    </row>
    <row r="699" spans="1:26" x14ac:dyDescent="0.35">
      <c r="A699" t="s">
        <v>122</v>
      </c>
      <c r="B699" t="s">
        <v>122</v>
      </c>
      <c r="C699" t="s">
        <v>123</v>
      </c>
      <c r="D699" t="s">
        <v>100</v>
      </c>
      <c r="E699" t="s">
        <v>99</v>
      </c>
      <c r="F699" t="s">
        <v>12</v>
      </c>
      <c r="G699">
        <v>1</v>
      </c>
      <c r="H699">
        <v>315</v>
      </c>
      <c r="I699">
        <v>0.94029850746268595</v>
      </c>
      <c r="J699" s="25">
        <f t="shared" si="31"/>
        <v>0.94029850746268662</v>
      </c>
      <c r="K699">
        <v>3139</v>
      </c>
      <c r="L699">
        <v>24</v>
      </c>
      <c r="M699">
        <v>7.5877331647170396E-3</v>
      </c>
      <c r="N699" s="25">
        <f t="shared" si="30"/>
        <v>7.5877331647170587E-3</v>
      </c>
      <c r="O699">
        <v>0.99241226683528205</v>
      </c>
      <c r="P699" s="25">
        <f t="shared" si="32"/>
        <v>0.99241226683528294</v>
      </c>
      <c r="Q699">
        <v>20</v>
      </c>
      <c r="R699" t="s">
        <v>124</v>
      </c>
      <c r="S699" t="s">
        <v>124</v>
      </c>
      <c r="T699" t="s">
        <v>124</v>
      </c>
      <c r="U699" t="s">
        <v>124</v>
      </c>
      <c r="X699" s="19">
        <f>J699</f>
        <v>0.94029850746268662</v>
      </c>
      <c r="Y699" s="19">
        <f>N699</f>
        <v>7.5877331647170587E-3</v>
      </c>
      <c r="Z699" s="26">
        <f>(L699+Q699)/(L699+Q699+H699+K699)</f>
        <v>1.2578616352201259E-2</v>
      </c>
    </row>
    <row r="700" spans="1:26" x14ac:dyDescent="0.35">
      <c r="A700" t="s">
        <v>122</v>
      </c>
      <c r="B700" t="s">
        <v>122</v>
      </c>
      <c r="C700" t="s">
        <v>123</v>
      </c>
      <c r="D700" t="s">
        <v>100</v>
      </c>
      <c r="E700" t="s">
        <v>99</v>
      </c>
      <c r="F700" t="s">
        <v>12</v>
      </c>
      <c r="G700">
        <v>1</v>
      </c>
      <c r="H700">
        <v>315</v>
      </c>
      <c r="I700">
        <v>0.94029850746268595</v>
      </c>
      <c r="J700" s="25">
        <f t="shared" si="31"/>
        <v>0.94029850746268662</v>
      </c>
      <c r="K700">
        <v>3139</v>
      </c>
      <c r="L700">
        <v>24</v>
      </c>
      <c r="M700">
        <v>7.5877331647170396E-3</v>
      </c>
      <c r="N700" s="25">
        <f t="shared" si="30"/>
        <v>7.5877331647170587E-3</v>
      </c>
      <c r="O700">
        <v>0.99241226683528205</v>
      </c>
      <c r="P700" s="25">
        <f t="shared" si="32"/>
        <v>0.99241226683528294</v>
      </c>
      <c r="Q700">
        <v>20</v>
      </c>
      <c r="R700" t="s">
        <v>124</v>
      </c>
      <c r="S700" t="s">
        <v>124</v>
      </c>
      <c r="T700" t="s">
        <v>124</v>
      </c>
      <c r="U700" t="s">
        <v>124</v>
      </c>
      <c r="X700" s="19">
        <f>J700</f>
        <v>0.94029850746268662</v>
      </c>
      <c r="Y700" s="19">
        <f>N700</f>
        <v>7.5877331647170587E-3</v>
      </c>
      <c r="Z700" s="26">
        <f>(L700+Q700)/(L700+Q700+H700+K700)</f>
        <v>1.2578616352201259E-2</v>
      </c>
    </row>
    <row r="701" spans="1:26" x14ac:dyDescent="0.35">
      <c r="A701" t="s">
        <v>122</v>
      </c>
      <c r="B701" t="s">
        <v>122</v>
      </c>
      <c r="C701" t="s">
        <v>123</v>
      </c>
      <c r="D701" t="s">
        <v>100</v>
      </c>
      <c r="E701" t="s">
        <v>99</v>
      </c>
      <c r="F701" t="s">
        <v>12</v>
      </c>
      <c r="G701">
        <v>1</v>
      </c>
      <c r="H701">
        <v>315</v>
      </c>
      <c r="I701">
        <v>0.94029850746268595</v>
      </c>
      <c r="J701" s="25">
        <f t="shared" si="31"/>
        <v>0.94029850746268662</v>
      </c>
      <c r="K701">
        <v>3139</v>
      </c>
      <c r="L701">
        <v>24</v>
      </c>
      <c r="M701">
        <v>7.5877331647170396E-3</v>
      </c>
      <c r="N701" s="25">
        <f t="shared" si="30"/>
        <v>7.5877331647170587E-3</v>
      </c>
      <c r="O701">
        <v>0.99241226683528205</v>
      </c>
      <c r="P701" s="25">
        <f t="shared" si="32"/>
        <v>0.99241226683528294</v>
      </c>
      <c r="Q701">
        <v>20</v>
      </c>
      <c r="R701" t="s">
        <v>124</v>
      </c>
      <c r="S701" t="s">
        <v>124</v>
      </c>
      <c r="T701" t="s">
        <v>124</v>
      </c>
      <c r="U701" t="s">
        <v>124</v>
      </c>
      <c r="X701" s="19">
        <f>J701</f>
        <v>0.94029850746268662</v>
      </c>
      <c r="Y701" s="19">
        <f>N701</f>
        <v>7.5877331647170587E-3</v>
      </c>
      <c r="Z701" s="26">
        <f>(L701+Q701)/(L701+Q701+H701+K701)</f>
        <v>1.2578616352201259E-2</v>
      </c>
    </row>
    <row r="702" spans="1:26" x14ac:dyDescent="0.35">
      <c r="A702" t="s">
        <v>122</v>
      </c>
      <c r="B702" t="s">
        <v>122</v>
      </c>
      <c r="C702" t="s">
        <v>123</v>
      </c>
      <c r="D702" t="s">
        <v>100</v>
      </c>
      <c r="E702" t="s">
        <v>99</v>
      </c>
      <c r="F702" t="s">
        <v>12</v>
      </c>
      <c r="G702">
        <v>1</v>
      </c>
      <c r="H702">
        <v>315</v>
      </c>
      <c r="I702">
        <v>0.94029850746268595</v>
      </c>
      <c r="J702" s="25">
        <f t="shared" si="31"/>
        <v>0.94029850746268662</v>
      </c>
      <c r="K702">
        <v>3139</v>
      </c>
      <c r="L702">
        <v>24</v>
      </c>
      <c r="M702">
        <v>7.5877331647170396E-3</v>
      </c>
      <c r="N702" s="25">
        <f t="shared" si="30"/>
        <v>7.5877331647170587E-3</v>
      </c>
      <c r="O702">
        <v>0.99241226683528205</v>
      </c>
      <c r="P702" s="25">
        <f t="shared" si="32"/>
        <v>0.99241226683528294</v>
      </c>
      <c r="Q702">
        <v>20</v>
      </c>
      <c r="R702" t="s">
        <v>124</v>
      </c>
      <c r="S702" t="s">
        <v>124</v>
      </c>
      <c r="T702" t="s">
        <v>124</v>
      </c>
      <c r="U702" t="s">
        <v>124</v>
      </c>
      <c r="X702" s="19">
        <f>J702</f>
        <v>0.94029850746268662</v>
      </c>
      <c r="Y702" s="19">
        <f>N702</f>
        <v>7.5877331647170587E-3</v>
      </c>
      <c r="Z702" s="26">
        <f>(L702+Q702)/(L702+Q702+H702+K702)</f>
        <v>1.2578616352201259E-2</v>
      </c>
    </row>
    <row r="703" spans="1:26" x14ac:dyDescent="0.35">
      <c r="A703" t="s">
        <v>122</v>
      </c>
      <c r="B703" t="s">
        <v>122</v>
      </c>
      <c r="C703" t="s">
        <v>123</v>
      </c>
      <c r="D703" t="s">
        <v>100</v>
      </c>
      <c r="E703" t="s">
        <v>99</v>
      </c>
      <c r="F703" t="s">
        <v>12</v>
      </c>
      <c r="G703">
        <v>1</v>
      </c>
      <c r="H703">
        <v>315</v>
      </c>
      <c r="I703">
        <v>0.94029850746268595</v>
      </c>
      <c r="J703" s="25">
        <f t="shared" si="31"/>
        <v>0.94029850746268662</v>
      </c>
      <c r="K703">
        <v>3139</v>
      </c>
      <c r="L703">
        <v>24</v>
      </c>
      <c r="M703">
        <v>7.5877331647170396E-3</v>
      </c>
      <c r="N703" s="25">
        <f t="shared" si="30"/>
        <v>7.5877331647170587E-3</v>
      </c>
      <c r="O703">
        <v>0.99241226683528205</v>
      </c>
      <c r="P703" s="25">
        <f t="shared" si="32"/>
        <v>0.99241226683528294</v>
      </c>
      <c r="Q703">
        <v>20</v>
      </c>
      <c r="R703" t="s">
        <v>124</v>
      </c>
      <c r="S703" t="s">
        <v>124</v>
      </c>
      <c r="T703" t="s">
        <v>124</v>
      </c>
      <c r="U703" t="s">
        <v>124</v>
      </c>
      <c r="X703" s="19">
        <f>J703</f>
        <v>0.94029850746268662</v>
      </c>
      <c r="Y703" s="19">
        <f>N703</f>
        <v>7.5877331647170587E-3</v>
      </c>
      <c r="Z703" s="26">
        <f>(L703+Q703)/(L703+Q703+H703+K703)</f>
        <v>1.2578616352201259E-2</v>
      </c>
    </row>
    <row r="704" spans="1:26" x14ac:dyDescent="0.35">
      <c r="A704" t="s">
        <v>122</v>
      </c>
      <c r="B704" t="s">
        <v>122</v>
      </c>
      <c r="C704" t="s">
        <v>123</v>
      </c>
      <c r="D704" t="s">
        <v>100</v>
      </c>
      <c r="E704" t="s">
        <v>99</v>
      </c>
      <c r="F704" t="s">
        <v>12</v>
      </c>
      <c r="G704">
        <v>1</v>
      </c>
      <c r="H704">
        <v>315</v>
      </c>
      <c r="I704">
        <v>0.94029850746268595</v>
      </c>
      <c r="J704" s="25">
        <f t="shared" si="31"/>
        <v>0.94029850746268662</v>
      </c>
      <c r="K704">
        <v>3139</v>
      </c>
      <c r="L704">
        <v>24</v>
      </c>
      <c r="M704">
        <v>7.5877331647170396E-3</v>
      </c>
      <c r="N704" s="25">
        <f t="shared" si="30"/>
        <v>7.5877331647170587E-3</v>
      </c>
      <c r="O704">
        <v>0.99241226683528205</v>
      </c>
      <c r="P704" s="25">
        <f t="shared" si="32"/>
        <v>0.99241226683528294</v>
      </c>
      <c r="Q704">
        <v>20</v>
      </c>
      <c r="R704" t="s">
        <v>124</v>
      </c>
      <c r="S704" t="s">
        <v>124</v>
      </c>
      <c r="T704" t="s">
        <v>124</v>
      </c>
      <c r="U704" t="s">
        <v>124</v>
      </c>
      <c r="X704" s="19">
        <f>J704</f>
        <v>0.94029850746268662</v>
      </c>
      <c r="Y704" s="19">
        <f>N704</f>
        <v>7.5877331647170587E-3</v>
      </c>
      <c r="Z704" s="26">
        <f>(L704+Q704)/(L704+Q704+H704+K704)</f>
        <v>1.2578616352201259E-2</v>
      </c>
    </row>
    <row r="705" spans="1:26" x14ac:dyDescent="0.35">
      <c r="A705" t="s">
        <v>122</v>
      </c>
      <c r="B705" t="s">
        <v>122</v>
      </c>
      <c r="C705" t="s">
        <v>123</v>
      </c>
      <c r="D705" t="s">
        <v>100</v>
      </c>
      <c r="E705" t="s">
        <v>99</v>
      </c>
      <c r="F705" t="s">
        <v>12</v>
      </c>
      <c r="G705">
        <v>1</v>
      </c>
      <c r="H705">
        <v>315</v>
      </c>
      <c r="I705">
        <v>0.94029850746268595</v>
      </c>
      <c r="J705" s="25">
        <f t="shared" si="31"/>
        <v>0.94029850746268662</v>
      </c>
      <c r="K705">
        <v>3139</v>
      </c>
      <c r="L705">
        <v>24</v>
      </c>
      <c r="M705">
        <v>7.5877331647170396E-3</v>
      </c>
      <c r="N705" s="25">
        <f t="shared" si="30"/>
        <v>7.5877331647170587E-3</v>
      </c>
      <c r="O705">
        <v>0.99241226683528205</v>
      </c>
      <c r="P705" s="25">
        <f t="shared" si="32"/>
        <v>0.99241226683528294</v>
      </c>
      <c r="Q705">
        <v>20</v>
      </c>
      <c r="R705" t="s">
        <v>124</v>
      </c>
      <c r="S705" t="s">
        <v>124</v>
      </c>
      <c r="T705" t="s">
        <v>124</v>
      </c>
      <c r="U705" t="s">
        <v>124</v>
      </c>
      <c r="X705" s="19">
        <f>J705</f>
        <v>0.94029850746268662</v>
      </c>
      <c r="Y705" s="19">
        <f>N705</f>
        <v>7.5877331647170587E-3</v>
      </c>
      <c r="Z705" s="26">
        <f>(L705+Q705)/(L705+Q705+H705+K705)</f>
        <v>1.2578616352201259E-2</v>
      </c>
    </row>
    <row r="706" spans="1:26" x14ac:dyDescent="0.35">
      <c r="A706" t="s">
        <v>122</v>
      </c>
      <c r="B706" t="s">
        <v>122</v>
      </c>
      <c r="C706" t="s">
        <v>123</v>
      </c>
      <c r="D706" t="s">
        <v>100</v>
      </c>
      <c r="E706" t="s">
        <v>99</v>
      </c>
      <c r="F706" t="s">
        <v>12</v>
      </c>
      <c r="G706">
        <v>1</v>
      </c>
      <c r="H706">
        <v>315</v>
      </c>
      <c r="I706">
        <v>0.94029850746268595</v>
      </c>
      <c r="J706" s="25">
        <f t="shared" si="31"/>
        <v>0.94029850746268662</v>
      </c>
      <c r="K706">
        <v>3139</v>
      </c>
      <c r="L706">
        <v>24</v>
      </c>
      <c r="M706">
        <v>7.5877331647170396E-3</v>
      </c>
      <c r="N706" s="25">
        <f t="shared" ref="N706:N769" si="33">1-P706</f>
        <v>7.5877331647170587E-3</v>
      </c>
      <c r="O706">
        <v>0.99241226683528205</v>
      </c>
      <c r="P706" s="25">
        <f t="shared" si="32"/>
        <v>0.99241226683528294</v>
      </c>
      <c r="Q706">
        <v>20</v>
      </c>
      <c r="R706" t="s">
        <v>124</v>
      </c>
      <c r="S706" t="s">
        <v>124</v>
      </c>
      <c r="T706" t="s">
        <v>124</v>
      </c>
      <c r="U706" t="s">
        <v>124</v>
      </c>
      <c r="X706" s="19">
        <f>J706</f>
        <v>0.94029850746268662</v>
      </c>
      <c r="Y706" s="19">
        <f>N706</f>
        <v>7.5877331647170587E-3</v>
      </c>
      <c r="Z706" s="26">
        <f>(L706+Q706)/(L706+Q706+H706+K706)</f>
        <v>1.2578616352201259E-2</v>
      </c>
    </row>
    <row r="707" spans="1:26" x14ac:dyDescent="0.35">
      <c r="A707" t="s">
        <v>122</v>
      </c>
      <c r="B707" t="s">
        <v>122</v>
      </c>
      <c r="C707" t="s">
        <v>123</v>
      </c>
      <c r="D707" t="s">
        <v>100</v>
      </c>
      <c r="E707" t="s">
        <v>99</v>
      </c>
      <c r="F707" t="s">
        <v>12</v>
      </c>
      <c r="G707">
        <v>1</v>
      </c>
      <c r="H707">
        <v>315</v>
      </c>
      <c r="I707">
        <v>0.94029850746268595</v>
      </c>
      <c r="J707" s="25">
        <f t="shared" ref="J707:J770" si="34">H707/(H707+Q707)</f>
        <v>0.94029850746268662</v>
      </c>
      <c r="K707">
        <v>3139</v>
      </c>
      <c r="L707">
        <v>24</v>
      </c>
      <c r="M707">
        <v>7.5877331647170396E-3</v>
      </c>
      <c r="N707" s="25">
        <f t="shared" si="33"/>
        <v>7.5877331647170587E-3</v>
      </c>
      <c r="O707">
        <v>0.99241226683528205</v>
      </c>
      <c r="P707" s="25">
        <f t="shared" ref="P707:P770" si="35">K707/(K707+L707)</f>
        <v>0.99241226683528294</v>
      </c>
      <c r="Q707">
        <v>20</v>
      </c>
      <c r="R707" t="s">
        <v>124</v>
      </c>
      <c r="S707" t="s">
        <v>124</v>
      </c>
      <c r="T707" t="s">
        <v>124</v>
      </c>
      <c r="U707" t="s">
        <v>124</v>
      </c>
      <c r="X707" s="19">
        <f>J707</f>
        <v>0.94029850746268662</v>
      </c>
      <c r="Y707" s="19">
        <f>N707</f>
        <v>7.5877331647170587E-3</v>
      </c>
      <c r="Z707" s="26">
        <f>(L707+Q707)/(L707+Q707+H707+K707)</f>
        <v>1.2578616352201259E-2</v>
      </c>
    </row>
    <row r="708" spans="1:26" x14ac:dyDescent="0.35">
      <c r="A708" t="s">
        <v>122</v>
      </c>
      <c r="B708" t="s">
        <v>122</v>
      </c>
      <c r="C708" t="s">
        <v>123</v>
      </c>
      <c r="D708" t="s">
        <v>100</v>
      </c>
      <c r="E708" t="s">
        <v>99</v>
      </c>
      <c r="F708" t="s">
        <v>12</v>
      </c>
      <c r="G708">
        <v>1</v>
      </c>
      <c r="H708">
        <v>315</v>
      </c>
      <c r="I708">
        <v>0.94029850746268595</v>
      </c>
      <c r="J708" s="25">
        <f t="shared" si="34"/>
        <v>0.94029850746268662</v>
      </c>
      <c r="K708">
        <v>3139</v>
      </c>
      <c r="L708">
        <v>24</v>
      </c>
      <c r="M708">
        <v>7.5877331647170396E-3</v>
      </c>
      <c r="N708" s="25">
        <f t="shared" si="33"/>
        <v>7.5877331647170587E-3</v>
      </c>
      <c r="O708">
        <v>0.99241226683528205</v>
      </c>
      <c r="P708" s="25">
        <f t="shared" si="35"/>
        <v>0.99241226683528294</v>
      </c>
      <c r="Q708">
        <v>20</v>
      </c>
      <c r="R708" t="s">
        <v>124</v>
      </c>
      <c r="S708" t="s">
        <v>124</v>
      </c>
      <c r="T708" t="s">
        <v>124</v>
      </c>
      <c r="U708" t="s">
        <v>124</v>
      </c>
      <c r="X708" s="19">
        <f>J708</f>
        <v>0.94029850746268662</v>
      </c>
      <c r="Y708" s="19">
        <f>N708</f>
        <v>7.5877331647170587E-3</v>
      </c>
      <c r="Z708" s="26">
        <f>(L708+Q708)/(L708+Q708+H708+K708)</f>
        <v>1.2578616352201259E-2</v>
      </c>
    </row>
    <row r="709" spans="1:26" x14ac:dyDescent="0.35">
      <c r="A709" t="s">
        <v>122</v>
      </c>
      <c r="B709" t="s">
        <v>122</v>
      </c>
      <c r="C709" t="s">
        <v>123</v>
      </c>
      <c r="D709" t="s">
        <v>100</v>
      </c>
      <c r="E709" t="s">
        <v>99</v>
      </c>
      <c r="F709" t="s">
        <v>12</v>
      </c>
      <c r="G709">
        <v>1</v>
      </c>
      <c r="H709">
        <v>315</v>
      </c>
      <c r="I709">
        <v>0.94029850746268595</v>
      </c>
      <c r="J709" s="25">
        <f t="shared" si="34"/>
        <v>0.94029850746268662</v>
      </c>
      <c r="K709">
        <v>3139</v>
      </c>
      <c r="L709">
        <v>24</v>
      </c>
      <c r="M709">
        <v>7.5877331647170396E-3</v>
      </c>
      <c r="N709" s="25">
        <f t="shared" si="33"/>
        <v>7.5877331647170587E-3</v>
      </c>
      <c r="O709">
        <v>0.99241226683528205</v>
      </c>
      <c r="P709" s="25">
        <f t="shared" si="35"/>
        <v>0.99241226683528294</v>
      </c>
      <c r="Q709">
        <v>20</v>
      </c>
      <c r="R709" t="s">
        <v>124</v>
      </c>
      <c r="S709" t="s">
        <v>124</v>
      </c>
      <c r="T709" t="s">
        <v>124</v>
      </c>
      <c r="U709" t="s">
        <v>124</v>
      </c>
      <c r="X709" s="19">
        <f>J709</f>
        <v>0.94029850746268662</v>
      </c>
      <c r="Y709" s="19">
        <f>N709</f>
        <v>7.5877331647170587E-3</v>
      </c>
      <c r="Z709" s="26">
        <f>(L709+Q709)/(L709+Q709+H709+K709)</f>
        <v>1.2578616352201259E-2</v>
      </c>
    </row>
    <row r="710" spans="1:26" x14ac:dyDescent="0.35">
      <c r="A710" t="s">
        <v>122</v>
      </c>
      <c r="B710" t="s">
        <v>122</v>
      </c>
      <c r="C710" t="s">
        <v>123</v>
      </c>
      <c r="D710" t="s">
        <v>100</v>
      </c>
      <c r="E710" t="s">
        <v>99</v>
      </c>
      <c r="F710" t="s">
        <v>12</v>
      </c>
      <c r="G710">
        <v>1</v>
      </c>
      <c r="H710">
        <v>315</v>
      </c>
      <c r="I710">
        <v>0.94029850746268595</v>
      </c>
      <c r="J710" s="25">
        <f t="shared" si="34"/>
        <v>0.94029850746268662</v>
      </c>
      <c r="K710">
        <v>3139</v>
      </c>
      <c r="L710">
        <v>24</v>
      </c>
      <c r="M710">
        <v>7.5877331647170396E-3</v>
      </c>
      <c r="N710" s="25">
        <f t="shared" si="33"/>
        <v>7.5877331647170587E-3</v>
      </c>
      <c r="O710">
        <v>0.99241226683528205</v>
      </c>
      <c r="P710" s="25">
        <f t="shared" si="35"/>
        <v>0.99241226683528294</v>
      </c>
      <c r="Q710">
        <v>20</v>
      </c>
      <c r="R710" t="s">
        <v>124</v>
      </c>
      <c r="S710" t="s">
        <v>124</v>
      </c>
      <c r="T710" t="s">
        <v>124</v>
      </c>
      <c r="U710" t="s">
        <v>124</v>
      </c>
      <c r="X710" s="19">
        <f>J710</f>
        <v>0.94029850746268662</v>
      </c>
      <c r="Y710" s="19">
        <f>N710</f>
        <v>7.5877331647170587E-3</v>
      </c>
      <c r="Z710" s="26">
        <f>(L710+Q710)/(L710+Q710+H710+K710)</f>
        <v>1.2578616352201259E-2</v>
      </c>
    </row>
    <row r="711" spans="1:26" x14ac:dyDescent="0.35">
      <c r="A711" t="s">
        <v>122</v>
      </c>
      <c r="B711" t="s">
        <v>122</v>
      </c>
      <c r="C711" t="s">
        <v>123</v>
      </c>
      <c r="D711" t="s">
        <v>100</v>
      </c>
      <c r="E711" t="s">
        <v>99</v>
      </c>
      <c r="F711" t="s">
        <v>12</v>
      </c>
      <c r="G711">
        <v>1</v>
      </c>
      <c r="H711">
        <v>315</v>
      </c>
      <c r="I711">
        <v>0.94029850746268595</v>
      </c>
      <c r="J711" s="25">
        <f t="shared" si="34"/>
        <v>0.94029850746268662</v>
      </c>
      <c r="K711">
        <v>3139</v>
      </c>
      <c r="L711">
        <v>24</v>
      </c>
      <c r="M711">
        <v>7.5877331647170396E-3</v>
      </c>
      <c r="N711" s="25">
        <f t="shared" si="33"/>
        <v>7.5877331647170587E-3</v>
      </c>
      <c r="O711">
        <v>0.99241226683528205</v>
      </c>
      <c r="P711" s="25">
        <f t="shared" si="35"/>
        <v>0.99241226683528294</v>
      </c>
      <c r="Q711">
        <v>20</v>
      </c>
      <c r="R711" t="s">
        <v>124</v>
      </c>
      <c r="S711" t="s">
        <v>124</v>
      </c>
      <c r="T711" t="s">
        <v>124</v>
      </c>
      <c r="U711" t="s">
        <v>124</v>
      </c>
      <c r="X711" s="19">
        <f>J711</f>
        <v>0.94029850746268662</v>
      </c>
      <c r="Y711" s="19">
        <f>N711</f>
        <v>7.5877331647170587E-3</v>
      </c>
      <c r="Z711" s="26">
        <f>(L711+Q711)/(L711+Q711+H711+K711)</f>
        <v>1.2578616352201259E-2</v>
      </c>
    </row>
    <row r="712" spans="1:26" x14ac:dyDescent="0.35">
      <c r="A712" t="s">
        <v>122</v>
      </c>
      <c r="B712" t="s">
        <v>122</v>
      </c>
      <c r="C712" t="s">
        <v>123</v>
      </c>
      <c r="D712" t="s">
        <v>100</v>
      </c>
      <c r="E712" t="s">
        <v>99</v>
      </c>
      <c r="F712" t="s">
        <v>12</v>
      </c>
      <c r="G712">
        <v>1</v>
      </c>
      <c r="H712">
        <v>315</v>
      </c>
      <c r="I712">
        <v>0.94029850746268595</v>
      </c>
      <c r="J712" s="25">
        <f t="shared" si="34"/>
        <v>0.94029850746268662</v>
      </c>
      <c r="K712">
        <v>3139</v>
      </c>
      <c r="L712">
        <v>24</v>
      </c>
      <c r="M712">
        <v>7.5877331647170396E-3</v>
      </c>
      <c r="N712" s="25">
        <f t="shared" si="33"/>
        <v>7.5877331647170587E-3</v>
      </c>
      <c r="O712">
        <v>0.99241226683528205</v>
      </c>
      <c r="P712" s="25">
        <f t="shared" si="35"/>
        <v>0.99241226683528294</v>
      </c>
      <c r="Q712">
        <v>20</v>
      </c>
      <c r="R712" t="s">
        <v>124</v>
      </c>
      <c r="S712" t="s">
        <v>124</v>
      </c>
      <c r="T712" t="s">
        <v>124</v>
      </c>
      <c r="U712" t="s">
        <v>124</v>
      </c>
      <c r="X712" s="19">
        <f>J712</f>
        <v>0.94029850746268662</v>
      </c>
      <c r="Y712" s="19">
        <f>N712</f>
        <v>7.5877331647170587E-3</v>
      </c>
      <c r="Z712" s="26">
        <f>(L712+Q712)/(L712+Q712+H712+K712)</f>
        <v>1.2578616352201259E-2</v>
      </c>
    </row>
    <row r="713" spans="1:26" x14ac:dyDescent="0.35">
      <c r="A713" t="s">
        <v>122</v>
      </c>
      <c r="B713" t="s">
        <v>122</v>
      </c>
      <c r="C713" t="s">
        <v>123</v>
      </c>
      <c r="D713" t="s">
        <v>100</v>
      </c>
      <c r="E713" t="s">
        <v>99</v>
      </c>
      <c r="F713" t="s">
        <v>12</v>
      </c>
      <c r="G713">
        <v>1</v>
      </c>
      <c r="H713">
        <v>315</v>
      </c>
      <c r="I713">
        <v>0.94029850746268595</v>
      </c>
      <c r="J713" s="25">
        <f t="shared" si="34"/>
        <v>0.94029850746268662</v>
      </c>
      <c r="K713">
        <v>3139</v>
      </c>
      <c r="L713">
        <v>24</v>
      </c>
      <c r="M713">
        <v>7.5877331647170396E-3</v>
      </c>
      <c r="N713" s="25">
        <f t="shared" si="33"/>
        <v>7.5877331647170587E-3</v>
      </c>
      <c r="O713">
        <v>0.99241226683528205</v>
      </c>
      <c r="P713" s="25">
        <f t="shared" si="35"/>
        <v>0.99241226683528294</v>
      </c>
      <c r="Q713">
        <v>20</v>
      </c>
      <c r="R713" t="s">
        <v>124</v>
      </c>
      <c r="S713" t="s">
        <v>124</v>
      </c>
      <c r="T713" t="s">
        <v>124</v>
      </c>
      <c r="U713" t="s">
        <v>124</v>
      </c>
      <c r="X713" s="19">
        <f>J713</f>
        <v>0.94029850746268662</v>
      </c>
      <c r="Y713" s="19">
        <f>N713</f>
        <v>7.5877331647170587E-3</v>
      </c>
      <c r="Z713" s="26">
        <f>(L713+Q713)/(L713+Q713+H713+K713)</f>
        <v>1.2578616352201259E-2</v>
      </c>
    </row>
    <row r="714" spans="1:26" x14ac:dyDescent="0.35">
      <c r="A714" t="s">
        <v>122</v>
      </c>
      <c r="B714" t="s">
        <v>122</v>
      </c>
      <c r="C714" t="s">
        <v>123</v>
      </c>
      <c r="D714" t="s">
        <v>100</v>
      </c>
      <c r="E714" t="s">
        <v>99</v>
      </c>
      <c r="F714" t="s">
        <v>12</v>
      </c>
      <c r="G714">
        <v>1</v>
      </c>
      <c r="H714">
        <v>315</v>
      </c>
      <c r="I714">
        <v>0.94029850746268595</v>
      </c>
      <c r="J714" s="25">
        <f t="shared" si="34"/>
        <v>0.94029850746268662</v>
      </c>
      <c r="K714">
        <v>3139</v>
      </c>
      <c r="L714">
        <v>24</v>
      </c>
      <c r="M714">
        <v>7.5877331647170396E-3</v>
      </c>
      <c r="N714" s="25">
        <f t="shared" si="33"/>
        <v>7.5877331647170587E-3</v>
      </c>
      <c r="O714">
        <v>0.99241226683528205</v>
      </c>
      <c r="P714" s="25">
        <f t="shared" si="35"/>
        <v>0.99241226683528294</v>
      </c>
      <c r="Q714">
        <v>20</v>
      </c>
      <c r="R714" t="s">
        <v>124</v>
      </c>
      <c r="S714" t="s">
        <v>124</v>
      </c>
      <c r="T714" t="s">
        <v>124</v>
      </c>
      <c r="U714" t="s">
        <v>124</v>
      </c>
      <c r="X714" s="19">
        <f>J714</f>
        <v>0.94029850746268662</v>
      </c>
      <c r="Y714" s="19">
        <f>N714</f>
        <v>7.5877331647170587E-3</v>
      </c>
      <c r="Z714" s="26">
        <f>(L714+Q714)/(L714+Q714+H714+K714)</f>
        <v>1.2578616352201259E-2</v>
      </c>
    </row>
    <row r="715" spans="1:26" x14ac:dyDescent="0.35">
      <c r="A715" t="s">
        <v>122</v>
      </c>
      <c r="B715" t="s">
        <v>122</v>
      </c>
      <c r="C715" t="s">
        <v>123</v>
      </c>
      <c r="D715" t="s">
        <v>100</v>
      </c>
      <c r="E715" t="s">
        <v>99</v>
      </c>
      <c r="F715" t="s">
        <v>12</v>
      </c>
      <c r="G715">
        <v>1</v>
      </c>
      <c r="H715">
        <v>315</v>
      </c>
      <c r="I715">
        <v>0.94029850746268595</v>
      </c>
      <c r="J715" s="25">
        <f t="shared" si="34"/>
        <v>0.94029850746268662</v>
      </c>
      <c r="K715">
        <v>3139</v>
      </c>
      <c r="L715">
        <v>24</v>
      </c>
      <c r="M715">
        <v>7.5877331647170396E-3</v>
      </c>
      <c r="N715" s="25">
        <f t="shared" si="33"/>
        <v>7.5877331647170587E-3</v>
      </c>
      <c r="O715">
        <v>0.99241226683528205</v>
      </c>
      <c r="P715" s="25">
        <f t="shared" si="35"/>
        <v>0.99241226683528294</v>
      </c>
      <c r="Q715">
        <v>20</v>
      </c>
      <c r="R715" t="s">
        <v>124</v>
      </c>
      <c r="S715" t="s">
        <v>124</v>
      </c>
      <c r="T715" t="s">
        <v>124</v>
      </c>
      <c r="U715" t="s">
        <v>124</v>
      </c>
      <c r="X715" s="19">
        <f>J715</f>
        <v>0.94029850746268662</v>
      </c>
      <c r="Y715" s="19">
        <f>N715</f>
        <v>7.5877331647170587E-3</v>
      </c>
      <c r="Z715" s="26">
        <f>(L715+Q715)/(L715+Q715+H715+K715)</f>
        <v>1.2578616352201259E-2</v>
      </c>
    </row>
    <row r="716" spans="1:26" x14ac:dyDescent="0.35">
      <c r="A716" t="s">
        <v>122</v>
      </c>
      <c r="B716" t="s">
        <v>122</v>
      </c>
      <c r="C716" t="s">
        <v>123</v>
      </c>
      <c r="D716" t="s">
        <v>100</v>
      </c>
      <c r="E716" t="s">
        <v>99</v>
      </c>
      <c r="F716" t="s">
        <v>12</v>
      </c>
      <c r="G716">
        <v>1</v>
      </c>
      <c r="H716">
        <v>315</v>
      </c>
      <c r="I716">
        <v>0.94029850746268595</v>
      </c>
      <c r="J716" s="25">
        <f t="shared" si="34"/>
        <v>0.94029850746268662</v>
      </c>
      <c r="K716">
        <v>3139</v>
      </c>
      <c r="L716">
        <v>24</v>
      </c>
      <c r="M716">
        <v>7.5877331647170396E-3</v>
      </c>
      <c r="N716" s="25">
        <f t="shared" si="33"/>
        <v>7.5877331647170587E-3</v>
      </c>
      <c r="O716">
        <v>0.99241226683528205</v>
      </c>
      <c r="P716" s="25">
        <f t="shared" si="35"/>
        <v>0.99241226683528294</v>
      </c>
      <c r="Q716">
        <v>20</v>
      </c>
      <c r="R716" t="s">
        <v>124</v>
      </c>
      <c r="S716" t="s">
        <v>124</v>
      </c>
      <c r="T716" t="s">
        <v>124</v>
      </c>
      <c r="U716" t="s">
        <v>124</v>
      </c>
      <c r="X716" s="19">
        <f>J716</f>
        <v>0.94029850746268662</v>
      </c>
      <c r="Y716" s="19">
        <f>N716</f>
        <v>7.5877331647170587E-3</v>
      </c>
      <c r="Z716" s="26">
        <f>(L716+Q716)/(L716+Q716+H716+K716)</f>
        <v>1.2578616352201259E-2</v>
      </c>
    </row>
    <row r="717" spans="1:26" x14ac:dyDescent="0.35">
      <c r="A717" t="s">
        <v>122</v>
      </c>
      <c r="B717" t="s">
        <v>122</v>
      </c>
      <c r="C717" t="s">
        <v>123</v>
      </c>
      <c r="D717" t="s">
        <v>100</v>
      </c>
      <c r="E717" t="s">
        <v>99</v>
      </c>
      <c r="F717" t="s">
        <v>12</v>
      </c>
      <c r="G717">
        <v>1</v>
      </c>
      <c r="H717">
        <v>315</v>
      </c>
      <c r="I717">
        <v>0.94029850746268595</v>
      </c>
      <c r="J717" s="25">
        <f t="shared" si="34"/>
        <v>0.94029850746268662</v>
      </c>
      <c r="K717">
        <v>3139</v>
      </c>
      <c r="L717">
        <v>24</v>
      </c>
      <c r="M717">
        <v>7.5877331647170396E-3</v>
      </c>
      <c r="N717" s="25">
        <f t="shared" si="33"/>
        <v>7.5877331647170587E-3</v>
      </c>
      <c r="O717">
        <v>0.99241226683528205</v>
      </c>
      <c r="P717" s="25">
        <f t="shared" si="35"/>
        <v>0.99241226683528294</v>
      </c>
      <c r="Q717">
        <v>20</v>
      </c>
      <c r="R717" t="s">
        <v>124</v>
      </c>
      <c r="S717" t="s">
        <v>124</v>
      </c>
      <c r="T717" t="s">
        <v>124</v>
      </c>
      <c r="U717" t="s">
        <v>124</v>
      </c>
      <c r="X717" s="19">
        <f>J717</f>
        <v>0.94029850746268662</v>
      </c>
      <c r="Y717" s="19">
        <f>N717</f>
        <v>7.5877331647170587E-3</v>
      </c>
      <c r="Z717" s="26">
        <f>(L717+Q717)/(L717+Q717+H717+K717)</f>
        <v>1.2578616352201259E-2</v>
      </c>
    </row>
    <row r="718" spans="1:26" x14ac:dyDescent="0.35">
      <c r="A718" t="s">
        <v>122</v>
      </c>
      <c r="B718" t="s">
        <v>122</v>
      </c>
      <c r="C718" t="s">
        <v>123</v>
      </c>
      <c r="D718" t="s">
        <v>100</v>
      </c>
      <c r="E718" t="s">
        <v>99</v>
      </c>
      <c r="F718" t="s">
        <v>12</v>
      </c>
      <c r="G718">
        <v>1</v>
      </c>
      <c r="H718">
        <v>315</v>
      </c>
      <c r="I718">
        <v>0.94029850746268595</v>
      </c>
      <c r="J718" s="25">
        <f t="shared" si="34"/>
        <v>0.94029850746268662</v>
      </c>
      <c r="K718">
        <v>3139</v>
      </c>
      <c r="L718">
        <v>24</v>
      </c>
      <c r="M718">
        <v>7.5877331647170396E-3</v>
      </c>
      <c r="N718" s="25">
        <f t="shared" si="33"/>
        <v>7.5877331647170587E-3</v>
      </c>
      <c r="O718">
        <v>0.99241226683528205</v>
      </c>
      <c r="P718" s="25">
        <f t="shared" si="35"/>
        <v>0.99241226683528294</v>
      </c>
      <c r="Q718">
        <v>20</v>
      </c>
      <c r="R718" t="s">
        <v>124</v>
      </c>
      <c r="S718" t="s">
        <v>124</v>
      </c>
      <c r="T718" t="s">
        <v>124</v>
      </c>
      <c r="U718" t="s">
        <v>124</v>
      </c>
      <c r="X718" s="19">
        <f>J718</f>
        <v>0.94029850746268662</v>
      </c>
      <c r="Y718" s="19">
        <f>N718</f>
        <v>7.5877331647170587E-3</v>
      </c>
      <c r="Z718" s="26">
        <f>(L718+Q718)/(L718+Q718+H718+K718)</f>
        <v>1.2578616352201259E-2</v>
      </c>
    </row>
    <row r="719" spans="1:26" x14ac:dyDescent="0.35">
      <c r="A719" t="s">
        <v>122</v>
      </c>
      <c r="B719" t="s">
        <v>122</v>
      </c>
      <c r="C719" t="s">
        <v>123</v>
      </c>
      <c r="D719" t="s">
        <v>100</v>
      </c>
      <c r="E719" t="s">
        <v>99</v>
      </c>
      <c r="F719" t="s">
        <v>12</v>
      </c>
      <c r="G719">
        <v>1</v>
      </c>
      <c r="H719">
        <v>315</v>
      </c>
      <c r="I719">
        <v>0.94029850746268595</v>
      </c>
      <c r="J719" s="25">
        <f t="shared" si="34"/>
        <v>0.94029850746268662</v>
      </c>
      <c r="K719">
        <v>3139</v>
      </c>
      <c r="L719">
        <v>24</v>
      </c>
      <c r="M719">
        <v>7.5877331647170396E-3</v>
      </c>
      <c r="N719" s="25">
        <f t="shared" si="33"/>
        <v>7.5877331647170587E-3</v>
      </c>
      <c r="O719">
        <v>0.99241226683528205</v>
      </c>
      <c r="P719" s="25">
        <f t="shared" si="35"/>
        <v>0.99241226683528294</v>
      </c>
      <c r="Q719">
        <v>20</v>
      </c>
      <c r="R719" t="s">
        <v>124</v>
      </c>
      <c r="S719" t="s">
        <v>124</v>
      </c>
      <c r="T719" t="s">
        <v>124</v>
      </c>
      <c r="U719" t="s">
        <v>124</v>
      </c>
      <c r="X719" s="19">
        <f>J719</f>
        <v>0.94029850746268662</v>
      </c>
      <c r="Y719" s="19">
        <f>N719</f>
        <v>7.5877331647170587E-3</v>
      </c>
      <c r="Z719" s="26">
        <f>(L719+Q719)/(L719+Q719+H719+K719)</f>
        <v>1.2578616352201259E-2</v>
      </c>
    </row>
    <row r="720" spans="1:26" x14ac:dyDescent="0.35">
      <c r="A720" t="s">
        <v>122</v>
      </c>
      <c r="B720" t="s">
        <v>122</v>
      </c>
      <c r="C720" t="s">
        <v>123</v>
      </c>
      <c r="D720" t="s">
        <v>100</v>
      </c>
      <c r="E720" t="s">
        <v>99</v>
      </c>
      <c r="F720" t="s">
        <v>12</v>
      </c>
      <c r="G720">
        <v>1</v>
      </c>
      <c r="H720">
        <v>315</v>
      </c>
      <c r="I720">
        <v>0.94029850746268595</v>
      </c>
      <c r="J720" s="25">
        <f t="shared" si="34"/>
        <v>0.94029850746268662</v>
      </c>
      <c r="K720">
        <v>3139</v>
      </c>
      <c r="L720">
        <v>24</v>
      </c>
      <c r="M720">
        <v>7.5877331647170396E-3</v>
      </c>
      <c r="N720" s="25">
        <f t="shared" si="33"/>
        <v>7.5877331647170587E-3</v>
      </c>
      <c r="O720">
        <v>0.99241226683528205</v>
      </c>
      <c r="P720" s="25">
        <f t="shared" si="35"/>
        <v>0.99241226683528294</v>
      </c>
      <c r="Q720">
        <v>20</v>
      </c>
      <c r="R720" t="s">
        <v>124</v>
      </c>
      <c r="S720" t="s">
        <v>124</v>
      </c>
      <c r="T720" t="s">
        <v>124</v>
      </c>
      <c r="U720" t="s">
        <v>124</v>
      </c>
      <c r="X720" s="19">
        <f>J720</f>
        <v>0.94029850746268662</v>
      </c>
      <c r="Y720" s="19">
        <f>N720</f>
        <v>7.5877331647170587E-3</v>
      </c>
      <c r="Z720" s="26">
        <f>(L720+Q720)/(L720+Q720+H720+K720)</f>
        <v>1.2578616352201259E-2</v>
      </c>
    </row>
    <row r="721" spans="1:26" x14ac:dyDescent="0.35">
      <c r="A721" t="s">
        <v>122</v>
      </c>
      <c r="B721" t="s">
        <v>122</v>
      </c>
      <c r="C721" t="s">
        <v>123</v>
      </c>
      <c r="D721" t="s">
        <v>100</v>
      </c>
      <c r="E721" t="s">
        <v>99</v>
      </c>
      <c r="F721" t="s">
        <v>12</v>
      </c>
      <c r="G721">
        <v>1</v>
      </c>
      <c r="H721">
        <v>315</v>
      </c>
      <c r="I721">
        <v>0.94029850746268595</v>
      </c>
      <c r="J721" s="25">
        <f t="shared" si="34"/>
        <v>0.94029850746268662</v>
      </c>
      <c r="K721">
        <v>3139</v>
      </c>
      <c r="L721">
        <v>24</v>
      </c>
      <c r="M721">
        <v>7.5877331647170396E-3</v>
      </c>
      <c r="N721" s="25">
        <f t="shared" si="33"/>
        <v>7.5877331647170587E-3</v>
      </c>
      <c r="O721">
        <v>0.99241226683528205</v>
      </c>
      <c r="P721" s="25">
        <f t="shared" si="35"/>
        <v>0.99241226683528294</v>
      </c>
      <c r="Q721">
        <v>20</v>
      </c>
      <c r="R721" t="s">
        <v>124</v>
      </c>
      <c r="S721" t="s">
        <v>124</v>
      </c>
      <c r="T721" t="s">
        <v>124</v>
      </c>
      <c r="U721" t="s">
        <v>124</v>
      </c>
      <c r="X721" s="19">
        <f>J721</f>
        <v>0.94029850746268662</v>
      </c>
      <c r="Y721" s="19">
        <f>N721</f>
        <v>7.5877331647170587E-3</v>
      </c>
      <c r="Z721" s="26">
        <f>(L721+Q721)/(L721+Q721+H721+K721)</f>
        <v>1.2578616352201259E-2</v>
      </c>
    </row>
    <row r="722" spans="1:26" x14ac:dyDescent="0.35">
      <c r="A722" t="s">
        <v>122</v>
      </c>
      <c r="B722" t="s">
        <v>122</v>
      </c>
      <c r="C722" t="s">
        <v>123</v>
      </c>
      <c r="D722" t="s">
        <v>100</v>
      </c>
      <c r="E722" t="s">
        <v>99</v>
      </c>
      <c r="F722" t="s">
        <v>12</v>
      </c>
      <c r="G722">
        <v>1</v>
      </c>
      <c r="H722">
        <v>315</v>
      </c>
      <c r="I722">
        <v>0.94029850746268595</v>
      </c>
      <c r="J722" s="25">
        <f t="shared" si="34"/>
        <v>0.94029850746268662</v>
      </c>
      <c r="K722">
        <v>3139</v>
      </c>
      <c r="L722">
        <v>24</v>
      </c>
      <c r="M722">
        <v>7.5877331647170396E-3</v>
      </c>
      <c r="N722" s="25">
        <f t="shared" si="33"/>
        <v>7.5877331647170587E-3</v>
      </c>
      <c r="O722">
        <v>0.99241226683528205</v>
      </c>
      <c r="P722" s="25">
        <f t="shared" si="35"/>
        <v>0.99241226683528294</v>
      </c>
      <c r="Q722">
        <v>20</v>
      </c>
      <c r="R722" t="s">
        <v>124</v>
      </c>
      <c r="S722" t="s">
        <v>124</v>
      </c>
      <c r="T722" t="s">
        <v>124</v>
      </c>
      <c r="U722" t="s">
        <v>124</v>
      </c>
      <c r="X722" s="19">
        <f>J722</f>
        <v>0.94029850746268662</v>
      </c>
      <c r="Y722" s="19">
        <f>N722</f>
        <v>7.5877331647170587E-3</v>
      </c>
      <c r="Z722" s="26">
        <f>(L722+Q722)/(L722+Q722+H722+K722)</f>
        <v>1.2578616352201259E-2</v>
      </c>
    </row>
    <row r="723" spans="1:26" x14ac:dyDescent="0.35">
      <c r="A723" t="s">
        <v>122</v>
      </c>
      <c r="B723" t="s">
        <v>122</v>
      </c>
      <c r="C723" t="s">
        <v>123</v>
      </c>
      <c r="D723" t="s">
        <v>100</v>
      </c>
      <c r="E723" t="s">
        <v>99</v>
      </c>
      <c r="F723" t="s">
        <v>12</v>
      </c>
      <c r="G723">
        <v>1</v>
      </c>
      <c r="H723">
        <v>315</v>
      </c>
      <c r="I723">
        <v>0.94029850746268595</v>
      </c>
      <c r="J723" s="25">
        <f t="shared" si="34"/>
        <v>0.94029850746268662</v>
      </c>
      <c r="K723">
        <v>3139</v>
      </c>
      <c r="L723">
        <v>24</v>
      </c>
      <c r="M723">
        <v>7.5877331647170396E-3</v>
      </c>
      <c r="N723" s="25">
        <f t="shared" si="33"/>
        <v>7.5877331647170587E-3</v>
      </c>
      <c r="O723">
        <v>0.99241226683528205</v>
      </c>
      <c r="P723" s="25">
        <f t="shared" si="35"/>
        <v>0.99241226683528294</v>
      </c>
      <c r="Q723">
        <v>20</v>
      </c>
      <c r="R723" t="s">
        <v>124</v>
      </c>
      <c r="S723" t="s">
        <v>124</v>
      </c>
      <c r="T723" t="s">
        <v>124</v>
      </c>
      <c r="U723" t="s">
        <v>124</v>
      </c>
      <c r="X723" s="19">
        <f>J723</f>
        <v>0.94029850746268662</v>
      </c>
      <c r="Y723" s="19">
        <f>N723</f>
        <v>7.5877331647170587E-3</v>
      </c>
      <c r="Z723" s="26">
        <f>(L723+Q723)/(L723+Q723+H723+K723)</f>
        <v>1.2578616352201259E-2</v>
      </c>
    </row>
    <row r="724" spans="1:26" x14ac:dyDescent="0.35">
      <c r="A724" t="s">
        <v>122</v>
      </c>
      <c r="B724" t="s">
        <v>122</v>
      </c>
      <c r="C724" t="s">
        <v>123</v>
      </c>
      <c r="D724" t="s">
        <v>100</v>
      </c>
      <c r="E724" t="s">
        <v>99</v>
      </c>
      <c r="F724" t="s">
        <v>12</v>
      </c>
      <c r="G724">
        <v>1</v>
      </c>
      <c r="H724">
        <v>315</v>
      </c>
      <c r="I724">
        <v>0.94029850746268595</v>
      </c>
      <c r="J724" s="25">
        <f t="shared" si="34"/>
        <v>0.94029850746268662</v>
      </c>
      <c r="K724">
        <v>3139</v>
      </c>
      <c r="L724">
        <v>24</v>
      </c>
      <c r="M724">
        <v>7.5877331647170396E-3</v>
      </c>
      <c r="N724" s="25">
        <f t="shared" si="33"/>
        <v>7.5877331647170587E-3</v>
      </c>
      <c r="O724">
        <v>0.99241226683528205</v>
      </c>
      <c r="P724" s="25">
        <f t="shared" si="35"/>
        <v>0.99241226683528294</v>
      </c>
      <c r="Q724">
        <v>20</v>
      </c>
      <c r="R724" t="s">
        <v>124</v>
      </c>
      <c r="S724" t="s">
        <v>124</v>
      </c>
      <c r="T724" t="s">
        <v>124</v>
      </c>
      <c r="U724" t="s">
        <v>124</v>
      </c>
      <c r="X724" s="19">
        <f>J724</f>
        <v>0.94029850746268662</v>
      </c>
      <c r="Y724" s="19">
        <f>N724</f>
        <v>7.5877331647170587E-3</v>
      </c>
      <c r="Z724" s="26">
        <f>(L724+Q724)/(L724+Q724+H724+K724)</f>
        <v>1.2578616352201259E-2</v>
      </c>
    </row>
    <row r="725" spans="1:26" x14ac:dyDescent="0.35">
      <c r="A725" t="s">
        <v>122</v>
      </c>
      <c r="B725" t="s">
        <v>122</v>
      </c>
      <c r="C725" t="s">
        <v>123</v>
      </c>
      <c r="D725" t="s">
        <v>100</v>
      </c>
      <c r="E725" t="s">
        <v>99</v>
      </c>
      <c r="F725" t="s">
        <v>12</v>
      </c>
      <c r="G725">
        <v>1</v>
      </c>
      <c r="H725">
        <v>315</v>
      </c>
      <c r="I725">
        <v>0.94029850746268595</v>
      </c>
      <c r="J725" s="25">
        <f t="shared" si="34"/>
        <v>0.94029850746268662</v>
      </c>
      <c r="K725">
        <v>3139</v>
      </c>
      <c r="L725">
        <v>24</v>
      </c>
      <c r="M725">
        <v>7.5877331647170396E-3</v>
      </c>
      <c r="N725" s="25">
        <f t="shared" si="33"/>
        <v>7.5877331647170587E-3</v>
      </c>
      <c r="O725">
        <v>0.99241226683528205</v>
      </c>
      <c r="P725" s="25">
        <f t="shared" si="35"/>
        <v>0.99241226683528294</v>
      </c>
      <c r="Q725">
        <v>20</v>
      </c>
      <c r="R725" t="s">
        <v>124</v>
      </c>
      <c r="S725" t="s">
        <v>124</v>
      </c>
      <c r="T725" t="s">
        <v>124</v>
      </c>
      <c r="U725" t="s">
        <v>124</v>
      </c>
      <c r="X725" s="19">
        <f>J725</f>
        <v>0.94029850746268662</v>
      </c>
      <c r="Y725" s="19">
        <f>N725</f>
        <v>7.5877331647170587E-3</v>
      </c>
      <c r="Z725" s="26">
        <f>(L725+Q725)/(L725+Q725+H725+K725)</f>
        <v>1.2578616352201259E-2</v>
      </c>
    </row>
    <row r="726" spans="1:26" x14ac:dyDescent="0.35">
      <c r="A726" t="s">
        <v>122</v>
      </c>
      <c r="B726" t="s">
        <v>122</v>
      </c>
      <c r="C726" t="s">
        <v>123</v>
      </c>
      <c r="D726" t="s">
        <v>100</v>
      </c>
      <c r="E726" t="s">
        <v>99</v>
      </c>
      <c r="F726" t="s">
        <v>12</v>
      </c>
      <c r="G726">
        <v>1</v>
      </c>
      <c r="H726">
        <v>315</v>
      </c>
      <c r="I726">
        <v>0.94029850746268595</v>
      </c>
      <c r="J726" s="25">
        <f t="shared" si="34"/>
        <v>0.94029850746268662</v>
      </c>
      <c r="K726">
        <v>3139</v>
      </c>
      <c r="L726">
        <v>24</v>
      </c>
      <c r="M726">
        <v>7.5877331647170396E-3</v>
      </c>
      <c r="N726" s="25">
        <f t="shared" si="33"/>
        <v>7.5877331647170587E-3</v>
      </c>
      <c r="O726">
        <v>0.99241226683528205</v>
      </c>
      <c r="P726" s="25">
        <f t="shared" si="35"/>
        <v>0.99241226683528294</v>
      </c>
      <c r="Q726">
        <v>20</v>
      </c>
      <c r="R726" t="s">
        <v>124</v>
      </c>
      <c r="S726" t="s">
        <v>124</v>
      </c>
      <c r="T726" t="s">
        <v>124</v>
      </c>
      <c r="U726" t="s">
        <v>124</v>
      </c>
      <c r="X726" s="19">
        <f>J726</f>
        <v>0.94029850746268662</v>
      </c>
      <c r="Y726" s="19">
        <f>N726</f>
        <v>7.5877331647170587E-3</v>
      </c>
      <c r="Z726" s="26">
        <f>(L726+Q726)/(L726+Q726+H726+K726)</f>
        <v>1.2578616352201259E-2</v>
      </c>
    </row>
    <row r="727" spans="1:26" x14ac:dyDescent="0.35">
      <c r="A727" t="s">
        <v>122</v>
      </c>
      <c r="B727" t="s">
        <v>122</v>
      </c>
      <c r="C727" t="s">
        <v>123</v>
      </c>
      <c r="D727" t="s">
        <v>100</v>
      </c>
      <c r="E727" t="s">
        <v>99</v>
      </c>
      <c r="F727" t="s">
        <v>12</v>
      </c>
      <c r="G727">
        <v>1</v>
      </c>
      <c r="H727">
        <v>315</v>
      </c>
      <c r="I727">
        <v>0.94029850746268595</v>
      </c>
      <c r="J727" s="25">
        <f t="shared" si="34"/>
        <v>0.94029850746268662</v>
      </c>
      <c r="K727">
        <v>3139</v>
      </c>
      <c r="L727">
        <v>24</v>
      </c>
      <c r="M727">
        <v>7.5877331647170396E-3</v>
      </c>
      <c r="N727" s="25">
        <f t="shared" si="33"/>
        <v>7.5877331647170587E-3</v>
      </c>
      <c r="O727">
        <v>0.99241226683528205</v>
      </c>
      <c r="P727" s="25">
        <f t="shared" si="35"/>
        <v>0.99241226683528294</v>
      </c>
      <c r="Q727">
        <v>20</v>
      </c>
      <c r="R727" t="s">
        <v>124</v>
      </c>
      <c r="S727" t="s">
        <v>124</v>
      </c>
      <c r="T727" t="s">
        <v>124</v>
      </c>
      <c r="U727" t="s">
        <v>124</v>
      </c>
      <c r="X727" s="19">
        <f>J727</f>
        <v>0.94029850746268662</v>
      </c>
      <c r="Y727" s="19">
        <f>N727</f>
        <v>7.5877331647170587E-3</v>
      </c>
      <c r="Z727" s="26">
        <f>(L727+Q727)/(L727+Q727+H727+K727)</f>
        <v>1.2578616352201259E-2</v>
      </c>
    </row>
    <row r="728" spans="1:26" x14ac:dyDescent="0.35">
      <c r="A728" t="s">
        <v>122</v>
      </c>
      <c r="B728" t="s">
        <v>122</v>
      </c>
      <c r="C728" t="s">
        <v>123</v>
      </c>
      <c r="D728" t="s">
        <v>100</v>
      </c>
      <c r="E728" t="s">
        <v>99</v>
      </c>
      <c r="F728" t="s">
        <v>12</v>
      </c>
      <c r="G728">
        <v>1</v>
      </c>
      <c r="H728">
        <v>315</v>
      </c>
      <c r="I728">
        <v>0.94029850746268595</v>
      </c>
      <c r="J728" s="25">
        <f t="shared" si="34"/>
        <v>0.94029850746268662</v>
      </c>
      <c r="K728">
        <v>3139</v>
      </c>
      <c r="L728">
        <v>24</v>
      </c>
      <c r="M728">
        <v>7.5877331647170396E-3</v>
      </c>
      <c r="N728" s="25">
        <f t="shared" si="33"/>
        <v>7.5877331647170587E-3</v>
      </c>
      <c r="O728">
        <v>0.99241226683528205</v>
      </c>
      <c r="P728" s="25">
        <f t="shared" si="35"/>
        <v>0.99241226683528294</v>
      </c>
      <c r="Q728">
        <v>20</v>
      </c>
      <c r="R728" t="s">
        <v>124</v>
      </c>
      <c r="S728" t="s">
        <v>124</v>
      </c>
      <c r="T728" t="s">
        <v>124</v>
      </c>
      <c r="U728" t="s">
        <v>124</v>
      </c>
      <c r="X728" s="19">
        <f>J728</f>
        <v>0.94029850746268662</v>
      </c>
      <c r="Y728" s="19">
        <f>N728</f>
        <v>7.5877331647170587E-3</v>
      </c>
      <c r="Z728" s="26">
        <f>(L728+Q728)/(L728+Q728+H728+K728)</f>
        <v>1.2578616352201259E-2</v>
      </c>
    </row>
    <row r="729" spans="1:26" x14ac:dyDescent="0.35">
      <c r="A729" t="s">
        <v>122</v>
      </c>
      <c r="B729" t="s">
        <v>122</v>
      </c>
      <c r="C729" t="s">
        <v>123</v>
      </c>
      <c r="D729" t="s">
        <v>100</v>
      </c>
      <c r="E729" t="s">
        <v>99</v>
      </c>
      <c r="F729" t="s">
        <v>12</v>
      </c>
      <c r="G729">
        <v>1</v>
      </c>
      <c r="H729">
        <v>315</v>
      </c>
      <c r="I729">
        <v>0.94029850746268595</v>
      </c>
      <c r="J729" s="25">
        <f t="shared" si="34"/>
        <v>0.94029850746268662</v>
      </c>
      <c r="K729">
        <v>3139</v>
      </c>
      <c r="L729">
        <v>24</v>
      </c>
      <c r="M729">
        <v>7.5877331647170396E-3</v>
      </c>
      <c r="N729" s="25">
        <f t="shared" si="33"/>
        <v>7.5877331647170587E-3</v>
      </c>
      <c r="O729">
        <v>0.99241226683528205</v>
      </c>
      <c r="P729" s="25">
        <f t="shared" si="35"/>
        <v>0.99241226683528294</v>
      </c>
      <c r="Q729">
        <v>20</v>
      </c>
      <c r="R729" t="s">
        <v>124</v>
      </c>
      <c r="S729" t="s">
        <v>124</v>
      </c>
      <c r="T729" t="s">
        <v>124</v>
      </c>
      <c r="U729" t="s">
        <v>124</v>
      </c>
      <c r="X729" s="19">
        <f>J729</f>
        <v>0.94029850746268662</v>
      </c>
      <c r="Y729" s="19">
        <f>N729</f>
        <v>7.5877331647170587E-3</v>
      </c>
      <c r="Z729" s="26">
        <f>(L729+Q729)/(L729+Q729+H729+K729)</f>
        <v>1.2578616352201259E-2</v>
      </c>
    </row>
    <row r="730" spans="1:26" x14ac:dyDescent="0.35">
      <c r="A730" t="s">
        <v>122</v>
      </c>
      <c r="B730" t="s">
        <v>122</v>
      </c>
      <c r="C730" t="s">
        <v>123</v>
      </c>
      <c r="D730" t="s">
        <v>100</v>
      </c>
      <c r="E730" t="s">
        <v>99</v>
      </c>
      <c r="F730" t="s">
        <v>12</v>
      </c>
      <c r="G730">
        <v>1</v>
      </c>
      <c r="H730">
        <v>315</v>
      </c>
      <c r="I730">
        <v>0.94029850746268595</v>
      </c>
      <c r="J730" s="25">
        <f t="shared" si="34"/>
        <v>0.94029850746268662</v>
      </c>
      <c r="K730">
        <v>3139</v>
      </c>
      <c r="L730">
        <v>24</v>
      </c>
      <c r="M730">
        <v>7.5877331647170396E-3</v>
      </c>
      <c r="N730" s="25">
        <f t="shared" si="33"/>
        <v>7.5877331647170587E-3</v>
      </c>
      <c r="O730">
        <v>0.99241226683528205</v>
      </c>
      <c r="P730" s="25">
        <f t="shared" si="35"/>
        <v>0.99241226683528294</v>
      </c>
      <c r="Q730">
        <v>20</v>
      </c>
      <c r="R730" t="s">
        <v>124</v>
      </c>
      <c r="S730" t="s">
        <v>124</v>
      </c>
      <c r="T730" t="s">
        <v>124</v>
      </c>
      <c r="U730" t="s">
        <v>124</v>
      </c>
      <c r="X730" s="19">
        <f>J730</f>
        <v>0.94029850746268662</v>
      </c>
      <c r="Y730" s="19">
        <f>N730</f>
        <v>7.5877331647170587E-3</v>
      </c>
      <c r="Z730" s="26">
        <f>(L730+Q730)/(L730+Q730+H730+K730)</f>
        <v>1.2578616352201259E-2</v>
      </c>
    </row>
    <row r="731" spans="1:26" x14ac:dyDescent="0.35">
      <c r="A731" t="s">
        <v>122</v>
      </c>
      <c r="B731" t="s">
        <v>122</v>
      </c>
      <c r="C731" t="s">
        <v>123</v>
      </c>
      <c r="D731" t="s">
        <v>100</v>
      </c>
      <c r="E731" t="s">
        <v>99</v>
      </c>
      <c r="F731" t="s">
        <v>12</v>
      </c>
      <c r="G731">
        <v>1</v>
      </c>
      <c r="H731">
        <v>315</v>
      </c>
      <c r="I731">
        <v>0.94029850746268595</v>
      </c>
      <c r="J731" s="25">
        <f t="shared" si="34"/>
        <v>0.94029850746268662</v>
      </c>
      <c r="K731">
        <v>3139</v>
      </c>
      <c r="L731">
        <v>24</v>
      </c>
      <c r="M731">
        <v>7.5877331647170396E-3</v>
      </c>
      <c r="N731" s="25">
        <f t="shared" si="33"/>
        <v>7.5877331647170587E-3</v>
      </c>
      <c r="O731">
        <v>0.99241226683528205</v>
      </c>
      <c r="P731" s="25">
        <f t="shared" si="35"/>
        <v>0.99241226683528294</v>
      </c>
      <c r="Q731">
        <v>20</v>
      </c>
      <c r="R731" t="s">
        <v>124</v>
      </c>
      <c r="S731" t="s">
        <v>124</v>
      </c>
      <c r="T731" t="s">
        <v>124</v>
      </c>
      <c r="U731" t="s">
        <v>124</v>
      </c>
      <c r="X731" s="19">
        <f>J731</f>
        <v>0.94029850746268662</v>
      </c>
      <c r="Y731" s="19">
        <f>N731</f>
        <v>7.5877331647170587E-3</v>
      </c>
      <c r="Z731" s="26">
        <f>(L731+Q731)/(L731+Q731+H731+K731)</f>
        <v>1.2578616352201259E-2</v>
      </c>
    </row>
    <row r="732" spans="1:26" x14ac:dyDescent="0.35">
      <c r="A732" t="s">
        <v>122</v>
      </c>
      <c r="B732" t="s">
        <v>122</v>
      </c>
      <c r="C732" t="s">
        <v>123</v>
      </c>
      <c r="D732" t="s">
        <v>100</v>
      </c>
      <c r="E732" t="s">
        <v>99</v>
      </c>
      <c r="F732" t="s">
        <v>12</v>
      </c>
      <c r="G732">
        <v>1</v>
      </c>
      <c r="H732">
        <v>315</v>
      </c>
      <c r="I732">
        <v>0.94029850746268595</v>
      </c>
      <c r="J732" s="25">
        <f t="shared" si="34"/>
        <v>0.94029850746268662</v>
      </c>
      <c r="K732">
        <v>3139</v>
      </c>
      <c r="L732">
        <v>24</v>
      </c>
      <c r="M732">
        <v>7.5877331647170396E-3</v>
      </c>
      <c r="N732" s="25">
        <f t="shared" si="33"/>
        <v>7.5877331647170587E-3</v>
      </c>
      <c r="O732">
        <v>0.99241226683528205</v>
      </c>
      <c r="P732" s="25">
        <f t="shared" si="35"/>
        <v>0.99241226683528294</v>
      </c>
      <c r="Q732">
        <v>20</v>
      </c>
      <c r="R732" t="s">
        <v>124</v>
      </c>
      <c r="S732" t="s">
        <v>124</v>
      </c>
      <c r="T732" t="s">
        <v>124</v>
      </c>
      <c r="U732" t="s">
        <v>124</v>
      </c>
      <c r="X732" s="19">
        <f>J732</f>
        <v>0.94029850746268662</v>
      </c>
      <c r="Y732" s="19">
        <f>N732</f>
        <v>7.5877331647170587E-3</v>
      </c>
      <c r="Z732" s="26">
        <f>(L732+Q732)/(L732+Q732+H732+K732)</f>
        <v>1.2578616352201259E-2</v>
      </c>
    </row>
    <row r="733" spans="1:26" x14ac:dyDescent="0.35">
      <c r="A733" t="s">
        <v>122</v>
      </c>
      <c r="B733" t="s">
        <v>122</v>
      </c>
      <c r="C733" t="s">
        <v>123</v>
      </c>
      <c r="D733" t="s">
        <v>100</v>
      </c>
      <c r="E733" t="s">
        <v>99</v>
      </c>
      <c r="F733" t="s">
        <v>12</v>
      </c>
      <c r="G733">
        <v>1</v>
      </c>
      <c r="H733">
        <v>315</v>
      </c>
      <c r="I733">
        <v>0.94029850746268595</v>
      </c>
      <c r="J733" s="25">
        <f t="shared" si="34"/>
        <v>0.94029850746268662</v>
      </c>
      <c r="K733">
        <v>3139</v>
      </c>
      <c r="L733">
        <v>24</v>
      </c>
      <c r="M733">
        <v>7.5877331647170396E-3</v>
      </c>
      <c r="N733" s="25">
        <f t="shared" si="33"/>
        <v>7.5877331647170587E-3</v>
      </c>
      <c r="O733">
        <v>0.99241226683528205</v>
      </c>
      <c r="P733" s="25">
        <f t="shared" si="35"/>
        <v>0.99241226683528294</v>
      </c>
      <c r="Q733">
        <v>20</v>
      </c>
      <c r="R733" t="s">
        <v>124</v>
      </c>
      <c r="S733" t="s">
        <v>124</v>
      </c>
      <c r="T733" t="s">
        <v>124</v>
      </c>
      <c r="U733" t="s">
        <v>124</v>
      </c>
      <c r="X733" s="19">
        <f>J733</f>
        <v>0.94029850746268662</v>
      </c>
      <c r="Y733" s="19">
        <f>N733</f>
        <v>7.5877331647170587E-3</v>
      </c>
      <c r="Z733" s="26">
        <f>(L733+Q733)/(L733+Q733+H733+K733)</f>
        <v>1.2578616352201259E-2</v>
      </c>
    </row>
    <row r="734" spans="1:26" x14ac:dyDescent="0.35">
      <c r="A734" t="s">
        <v>122</v>
      </c>
      <c r="B734" t="s">
        <v>122</v>
      </c>
      <c r="C734" t="s">
        <v>123</v>
      </c>
      <c r="D734" t="s">
        <v>100</v>
      </c>
      <c r="E734" t="s">
        <v>99</v>
      </c>
      <c r="F734" t="s">
        <v>12</v>
      </c>
      <c r="G734">
        <v>1</v>
      </c>
      <c r="H734">
        <v>315</v>
      </c>
      <c r="I734">
        <v>0.94029850746268595</v>
      </c>
      <c r="J734" s="25">
        <f t="shared" si="34"/>
        <v>0.94029850746268662</v>
      </c>
      <c r="K734">
        <v>3139</v>
      </c>
      <c r="L734">
        <v>24</v>
      </c>
      <c r="M734">
        <v>7.5877331647170396E-3</v>
      </c>
      <c r="N734" s="25">
        <f t="shared" si="33"/>
        <v>7.5877331647170587E-3</v>
      </c>
      <c r="O734">
        <v>0.99241226683528205</v>
      </c>
      <c r="P734" s="25">
        <f t="shared" si="35"/>
        <v>0.99241226683528294</v>
      </c>
      <c r="Q734">
        <v>20</v>
      </c>
      <c r="R734" t="s">
        <v>124</v>
      </c>
      <c r="S734" t="s">
        <v>124</v>
      </c>
      <c r="T734" t="s">
        <v>124</v>
      </c>
      <c r="U734" t="s">
        <v>124</v>
      </c>
      <c r="X734" s="19">
        <f>J734</f>
        <v>0.94029850746268662</v>
      </c>
      <c r="Y734" s="19">
        <f>N734</f>
        <v>7.5877331647170587E-3</v>
      </c>
      <c r="Z734" s="26">
        <f>(L734+Q734)/(L734+Q734+H734+K734)</f>
        <v>1.2578616352201259E-2</v>
      </c>
    </row>
    <row r="735" spans="1:26" x14ac:dyDescent="0.35">
      <c r="A735" t="s">
        <v>122</v>
      </c>
      <c r="B735" t="s">
        <v>122</v>
      </c>
      <c r="C735" t="s">
        <v>123</v>
      </c>
      <c r="D735" t="s">
        <v>100</v>
      </c>
      <c r="E735" t="s">
        <v>99</v>
      </c>
      <c r="F735" t="s">
        <v>12</v>
      </c>
      <c r="G735">
        <v>1</v>
      </c>
      <c r="H735">
        <v>315</v>
      </c>
      <c r="I735">
        <v>0.94029850746268595</v>
      </c>
      <c r="J735" s="25">
        <f t="shared" si="34"/>
        <v>0.94029850746268662</v>
      </c>
      <c r="K735">
        <v>3139</v>
      </c>
      <c r="L735">
        <v>24</v>
      </c>
      <c r="M735">
        <v>7.5877331647170396E-3</v>
      </c>
      <c r="N735" s="25">
        <f t="shared" si="33"/>
        <v>7.5877331647170587E-3</v>
      </c>
      <c r="O735">
        <v>0.99241226683528205</v>
      </c>
      <c r="P735" s="25">
        <f t="shared" si="35"/>
        <v>0.99241226683528294</v>
      </c>
      <c r="Q735">
        <v>20</v>
      </c>
      <c r="R735" t="s">
        <v>124</v>
      </c>
      <c r="S735" t="s">
        <v>124</v>
      </c>
      <c r="T735" t="s">
        <v>124</v>
      </c>
      <c r="U735" t="s">
        <v>124</v>
      </c>
      <c r="X735" s="19">
        <f>J735</f>
        <v>0.94029850746268662</v>
      </c>
      <c r="Y735" s="19">
        <f>N735</f>
        <v>7.5877331647170587E-3</v>
      </c>
      <c r="Z735" s="26">
        <f>(L735+Q735)/(L735+Q735+H735+K735)</f>
        <v>1.2578616352201259E-2</v>
      </c>
    </row>
    <row r="736" spans="1:26" x14ac:dyDescent="0.35">
      <c r="A736" t="s">
        <v>122</v>
      </c>
      <c r="B736" t="s">
        <v>122</v>
      </c>
      <c r="C736" t="s">
        <v>123</v>
      </c>
      <c r="D736" t="s">
        <v>100</v>
      </c>
      <c r="E736" t="s">
        <v>99</v>
      </c>
      <c r="F736" t="s">
        <v>12</v>
      </c>
      <c r="G736">
        <v>1</v>
      </c>
      <c r="H736">
        <v>315</v>
      </c>
      <c r="I736">
        <v>0.94029850746268595</v>
      </c>
      <c r="J736" s="25">
        <f t="shared" si="34"/>
        <v>0.94029850746268662</v>
      </c>
      <c r="K736">
        <v>3139</v>
      </c>
      <c r="L736">
        <v>24</v>
      </c>
      <c r="M736">
        <v>7.5877331647170396E-3</v>
      </c>
      <c r="N736" s="25">
        <f t="shared" si="33"/>
        <v>7.5877331647170587E-3</v>
      </c>
      <c r="O736">
        <v>0.99241226683528205</v>
      </c>
      <c r="P736" s="25">
        <f t="shared" si="35"/>
        <v>0.99241226683528294</v>
      </c>
      <c r="Q736">
        <v>20</v>
      </c>
      <c r="R736" t="s">
        <v>124</v>
      </c>
      <c r="S736" t="s">
        <v>124</v>
      </c>
      <c r="T736" t="s">
        <v>124</v>
      </c>
      <c r="U736" t="s">
        <v>124</v>
      </c>
      <c r="X736" s="19">
        <f>J736</f>
        <v>0.94029850746268662</v>
      </c>
      <c r="Y736" s="19">
        <f>N736</f>
        <v>7.5877331647170587E-3</v>
      </c>
      <c r="Z736" s="26">
        <f>(L736+Q736)/(L736+Q736+H736+K736)</f>
        <v>1.2578616352201259E-2</v>
      </c>
    </row>
    <row r="737" spans="1:26" x14ac:dyDescent="0.35">
      <c r="A737" t="s">
        <v>122</v>
      </c>
      <c r="B737" t="s">
        <v>122</v>
      </c>
      <c r="C737" t="s">
        <v>123</v>
      </c>
      <c r="D737" t="s">
        <v>100</v>
      </c>
      <c r="E737" t="s">
        <v>99</v>
      </c>
      <c r="F737" t="s">
        <v>12</v>
      </c>
      <c r="G737">
        <v>1</v>
      </c>
      <c r="H737">
        <v>315</v>
      </c>
      <c r="I737">
        <v>0.94029850746268595</v>
      </c>
      <c r="J737" s="25">
        <f t="shared" si="34"/>
        <v>0.94029850746268662</v>
      </c>
      <c r="K737">
        <v>3139</v>
      </c>
      <c r="L737">
        <v>24</v>
      </c>
      <c r="M737">
        <v>7.5877331647170396E-3</v>
      </c>
      <c r="N737" s="25">
        <f t="shared" si="33"/>
        <v>7.5877331647170587E-3</v>
      </c>
      <c r="O737">
        <v>0.99241226683528205</v>
      </c>
      <c r="P737" s="25">
        <f t="shared" si="35"/>
        <v>0.99241226683528294</v>
      </c>
      <c r="Q737">
        <v>20</v>
      </c>
      <c r="R737" t="s">
        <v>124</v>
      </c>
      <c r="S737" t="s">
        <v>124</v>
      </c>
      <c r="T737" t="s">
        <v>124</v>
      </c>
      <c r="U737" t="s">
        <v>124</v>
      </c>
      <c r="X737" s="19">
        <f>J737</f>
        <v>0.94029850746268662</v>
      </c>
      <c r="Y737" s="19">
        <f>N737</f>
        <v>7.5877331647170587E-3</v>
      </c>
      <c r="Z737" s="26">
        <f>(L737+Q737)/(L737+Q737+H737+K737)</f>
        <v>1.2578616352201259E-2</v>
      </c>
    </row>
    <row r="738" spans="1:26" x14ac:dyDescent="0.35">
      <c r="A738" t="s">
        <v>122</v>
      </c>
      <c r="B738" t="s">
        <v>122</v>
      </c>
      <c r="C738" t="s">
        <v>123</v>
      </c>
      <c r="D738" t="s">
        <v>100</v>
      </c>
      <c r="E738" t="s">
        <v>99</v>
      </c>
      <c r="F738" t="s">
        <v>12</v>
      </c>
      <c r="G738">
        <v>1</v>
      </c>
      <c r="H738">
        <v>315</v>
      </c>
      <c r="I738">
        <v>0.94029850746268595</v>
      </c>
      <c r="J738" s="25">
        <f t="shared" si="34"/>
        <v>0.94029850746268662</v>
      </c>
      <c r="K738">
        <v>3139</v>
      </c>
      <c r="L738">
        <v>24</v>
      </c>
      <c r="M738">
        <v>7.5877331647170396E-3</v>
      </c>
      <c r="N738" s="25">
        <f t="shared" si="33"/>
        <v>7.5877331647170587E-3</v>
      </c>
      <c r="O738">
        <v>0.99241226683528205</v>
      </c>
      <c r="P738" s="25">
        <f t="shared" si="35"/>
        <v>0.99241226683528294</v>
      </c>
      <c r="Q738">
        <v>20</v>
      </c>
      <c r="R738" t="s">
        <v>124</v>
      </c>
      <c r="S738" t="s">
        <v>124</v>
      </c>
      <c r="T738" t="s">
        <v>124</v>
      </c>
      <c r="U738" t="s">
        <v>124</v>
      </c>
      <c r="X738" s="19">
        <f>J738</f>
        <v>0.94029850746268662</v>
      </c>
      <c r="Y738" s="19">
        <f>N738</f>
        <v>7.5877331647170587E-3</v>
      </c>
      <c r="Z738" s="26">
        <f>(L738+Q738)/(L738+Q738+H738+K738)</f>
        <v>1.2578616352201259E-2</v>
      </c>
    </row>
    <row r="739" spans="1:26" x14ac:dyDescent="0.35">
      <c r="A739" t="s">
        <v>122</v>
      </c>
      <c r="B739" t="s">
        <v>122</v>
      </c>
      <c r="C739" t="s">
        <v>123</v>
      </c>
      <c r="D739" t="s">
        <v>100</v>
      </c>
      <c r="E739" t="s">
        <v>99</v>
      </c>
      <c r="F739" t="s">
        <v>12</v>
      </c>
      <c r="G739">
        <v>1</v>
      </c>
      <c r="H739">
        <v>315</v>
      </c>
      <c r="I739">
        <v>0.94029850746268595</v>
      </c>
      <c r="J739" s="25">
        <f t="shared" si="34"/>
        <v>0.94029850746268662</v>
      </c>
      <c r="K739">
        <v>3139</v>
      </c>
      <c r="L739">
        <v>24</v>
      </c>
      <c r="M739">
        <v>7.5877331647170396E-3</v>
      </c>
      <c r="N739" s="25">
        <f t="shared" si="33"/>
        <v>7.5877331647170587E-3</v>
      </c>
      <c r="O739">
        <v>0.99241226683528205</v>
      </c>
      <c r="P739" s="25">
        <f t="shared" si="35"/>
        <v>0.99241226683528294</v>
      </c>
      <c r="Q739">
        <v>20</v>
      </c>
      <c r="R739" t="s">
        <v>124</v>
      </c>
      <c r="S739" t="s">
        <v>124</v>
      </c>
      <c r="T739" t="s">
        <v>124</v>
      </c>
      <c r="U739" t="s">
        <v>124</v>
      </c>
      <c r="X739" s="19">
        <f>J739</f>
        <v>0.94029850746268662</v>
      </c>
      <c r="Y739" s="19">
        <f>N739</f>
        <v>7.5877331647170587E-3</v>
      </c>
      <c r="Z739" s="26">
        <f>(L739+Q739)/(L739+Q739+H739+K739)</f>
        <v>1.2578616352201259E-2</v>
      </c>
    </row>
    <row r="740" spans="1:26" x14ac:dyDescent="0.35">
      <c r="A740" t="s">
        <v>122</v>
      </c>
      <c r="B740" t="s">
        <v>122</v>
      </c>
      <c r="C740" t="s">
        <v>123</v>
      </c>
      <c r="D740" t="s">
        <v>100</v>
      </c>
      <c r="E740" t="s">
        <v>99</v>
      </c>
      <c r="F740" t="s">
        <v>12</v>
      </c>
      <c r="G740">
        <v>1</v>
      </c>
      <c r="H740">
        <v>315</v>
      </c>
      <c r="I740">
        <v>0.94029850746268595</v>
      </c>
      <c r="J740" s="25">
        <f t="shared" si="34"/>
        <v>0.94029850746268662</v>
      </c>
      <c r="K740">
        <v>3139</v>
      </c>
      <c r="L740">
        <v>24</v>
      </c>
      <c r="M740">
        <v>7.5877331647170396E-3</v>
      </c>
      <c r="N740" s="25">
        <f t="shared" si="33"/>
        <v>7.5877331647170587E-3</v>
      </c>
      <c r="O740">
        <v>0.99241226683528205</v>
      </c>
      <c r="P740" s="25">
        <f t="shared" si="35"/>
        <v>0.99241226683528294</v>
      </c>
      <c r="Q740">
        <v>20</v>
      </c>
      <c r="R740" t="s">
        <v>124</v>
      </c>
      <c r="S740" t="s">
        <v>124</v>
      </c>
      <c r="T740" t="s">
        <v>124</v>
      </c>
      <c r="U740" t="s">
        <v>124</v>
      </c>
      <c r="X740" s="19">
        <f>J740</f>
        <v>0.94029850746268662</v>
      </c>
      <c r="Y740" s="19">
        <f>N740</f>
        <v>7.5877331647170587E-3</v>
      </c>
      <c r="Z740" s="26">
        <f>(L740+Q740)/(L740+Q740+H740+K740)</f>
        <v>1.2578616352201259E-2</v>
      </c>
    </row>
    <row r="741" spans="1:26" x14ac:dyDescent="0.35">
      <c r="A741" t="s">
        <v>122</v>
      </c>
      <c r="B741" t="s">
        <v>122</v>
      </c>
      <c r="C741" t="s">
        <v>123</v>
      </c>
      <c r="D741" t="s">
        <v>100</v>
      </c>
      <c r="E741" t="s">
        <v>99</v>
      </c>
      <c r="F741" t="s">
        <v>12</v>
      </c>
      <c r="G741">
        <v>1</v>
      </c>
      <c r="H741">
        <v>315</v>
      </c>
      <c r="I741">
        <v>0.94029850746268595</v>
      </c>
      <c r="J741" s="25">
        <f t="shared" si="34"/>
        <v>0.94029850746268662</v>
      </c>
      <c r="K741">
        <v>3139</v>
      </c>
      <c r="L741">
        <v>24</v>
      </c>
      <c r="M741">
        <v>7.5877331647170396E-3</v>
      </c>
      <c r="N741" s="25">
        <f t="shared" si="33"/>
        <v>7.5877331647170587E-3</v>
      </c>
      <c r="O741">
        <v>0.99241226683528205</v>
      </c>
      <c r="P741" s="25">
        <f t="shared" si="35"/>
        <v>0.99241226683528294</v>
      </c>
      <c r="Q741">
        <v>20</v>
      </c>
      <c r="R741" t="s">
        <v>124</v>
      </c>
      <c r="S741" t="s">
        <v>124</v>
      </c>
      <c r="T741" t="s">
        <v>124</v>
      </c>
      <c r="U741" t="s">
        <v>124</v>
      </c>
      <c r="X741" s="19">
        <f>J741</f>
        <v>0.94029850746268662</v>
      </c>
      <c r="Y741" s="19">
        <f>N741</f>
        <v>7.5877331647170587E-3</v>
      </c>
      <c r="Z741" s="26">
        <f>(L741+Q741)/(L741+Q741+H741+K741)</f>
        <v>1.2578616352201259E-2</v>
      </c>
    </row>
    <row r="742" spans="1:26" x14ac:dyDescent="0.35">
      <c r="A742" t="s">
        <v>122</v>
      </c>
      <c r="B742" t="s">
        <v>122</v>
      </c>
      <c r="C742" t="s">
        <v>123</v>
      </c>
      <c r="D742" t="s">
        <v>100</v>
      </c>
      <c r="E742" t="s">
        <v>99</v>
      </c>
      <c r="F742" t="s">
        <v>12</v>
      </c>
      <c r="G742">
        <v>1</v>
      </c>
      <c r="H742">
        <v>315</v>
      </c>
      <c r="I742">
        <v>0.94029850746268595</v>
      </c>
      <c r="J742" s="25">
        <f t="shared" si="34"/>
        <v>0.94029850746268662</v>
      </c>
      <c r="K742">
        <v>3139</v>
      </c>
      <c r="L742">
        <v>24</v>
      </c>
      <c r="M742">
        <v>7.5877331647170396E-3</v>
      </c>
      <c r="N742" s="25">
        <f t="shared" si="33"/>
        <v>7.5877331647170587E-3</v>
      </c>
      <c r="O742">
        <v>0.99241226683528205</v>
      </c>
      <c r="P742" s="25">
        <f t="shared" si="35"/>
        <v>0.99241226683528294</v>
      </c>
      <c r="Q742">
        <v>20</v>
      </c>
      <c r="R742" t="s">
        <v>124</v>
      </c>
      <c r="S742" t="s">
        <v>124</v>
      </c>
      <c r="T742" t="s">
        <v>124</v>
      </c>
      <c r="U742" t="s">
        <v>124</v>
      </c>
      <c r="X742" s="19">
        <f>J742</f>
        <v>0.94029850746268662</v>
      </c>
      <c r="Y742" s="19">
        <f>N742</f>
        <v>7.5877331647170587E-3</v>
      </c>
      <c r="Z742" s="26">
        <f>(L742+Q742)/(L742+Q742+H742+K742)</f>
        <v>1.2578616352201259E-2</v>
      </c>
    </row>
    <row r="743" spans="1:26" x14ac:dyDescent="0.35">
      <c r="A743" t="s">
        <v>122</v>
      </c>
      <c r="B743" t="s">
        <v>122</v>
      </c>
      <c r="C743" t="s">
        <v>123</v>
      </c>
      <c r="D743" t="s">
        <v>100</v>
      </c>
      <c r="E743" t="s">
        <v>99</v>
      </c>
      <c r="F743" t="s">
        <v>12</v>
      </c>
      <c r="G743">
        <v>1</v>
      </c>
      <c r="H743">
        <v>315</v>
      </c>
      <c r="I743">
        <v>0.94029850746268595</v>
      </c>
      <c r="J743" s="25">
        <f t="shared" si="34"/>
        <v>0.94029850746268662</v>
      </c>
      <c r="K743">
        <v>3139</v>
      </c>
      <c r="L743">
        <v>24</v>
      </c>
      <c r="M743">
        <v>7.5877331647170396E-3</v>
      </c>
      <c r="N743" s="25">
        <f t="shared" si="33"/>
        <v>7.5877331647170587E-3</v>
      </c>
      <c r="O743">
        <v>0.99241226683528205</v>
      </c>
      <c r="P743" s="25">
        <f t="shared" si="35"/>
        <v>0.99241226683528294</v>
      </c>
      <c r="Q743">
        <v>20</v>
      </c>
      <c r="R743" t="s">
        <v>124</v>
      </c>
      <c r="S743" t="s">
        <v>124</v>
      </c>
      <c r="T743" t="s">
        <v>124</v>
      </c>
      <c r="U743" t="s">
        <v>124</v>
      </c>
      <c r="X743" s="19">
        <f>J743</f>
        <v>0.94029850746268662</v>
      </c>
      <c r="Y743" s="19">
        <f>N743</f>
        <v>7.5877331647170587E-3</v>
      </c>
      <c r="Z743" s="26">
        <f>(L743+Q743)/(L743+Q743+H743+K743)</f>
        <v>1.2578616352201259E-2</v>
      </c>
    </row>
    <row r="744" spans="1:26" x14ac:dyDescent="0.35">
      <c r="A744" t="s">
        <v>122</v>
      </c>
      <c r="B744" t="s">
        <v>122</v>
      </c>
      <c r="C744" t="s">
        <v>123</v>
      </c>
      <c r="D744" t="s">
        <v>100</v>
      </c>
      <c r="E744" t="s">
        <v>99</v>
      </c>
      <c r="F744" t="s">
        <v>12</v>
      </c>
      <c r="G744">
        <v>1</v>
      </c>
      <c r="H744">
        <v>315</v>
      </c>
      <c r="I744">
        <v>0.94029850746268595</v>
      </c>
      <c r="J744" s="25">
        <f t="shared" si="34"/>
        <v>0.94029850746268662</v>
      </c>
      <c r="K744">
        <v>3139</v>
      </c>
      <c r="L744">
        <v>24</v>
      </c>
      <c r="M744">
        <v>7.5877331647170396E-3</v>
      </c>
      <c r="N744" s="25">
        <f t="shared" si="33"/>
        <v>7.5877331647170587E-3</v>
      </c>
      <c r="O744">
        <v>0.99241226683528205</v>
      </c>
      <c r="P744" s="25">
        <f t="shared" si="35"/>
        <v>0.99241226683528294</v>
      </c>
      <c r="Q744">
        <v>20</v>
      </c>
      <c r="R744" t="s">
        <v>124</v>
      </c>
      <c r="S744" t="s">
        <v>124</v>
      </c>
      <c r="T744" t="s">
        <v>124</v>
      </c>
      <c r="U744" t="s">
        <v>124</v>
      </c>
      <c r="X744" s="19">
        <f>J744</f>
        <v>0.94029850746268662</v>
      </c>
      <c r="Y744" s="19">
        <f>N744</f>
        <v>7.5877331647170587E-3</v>
      </c>
      <c r="Z744" s="26">
        <f>(L744+Q744)/(L744+Q744+H744+K744)</f>
        <v>1.2578616352201259E-2</v>
      </c>
    </row>
    <row r="745" spans="1:26" x14ac:dyDescent="0.35">
      <c r="A745" t="s">
        <v>122</v>
      </c>
      <c r="B745" t="s">
        <v>122</v>
      </c>
      <c r="C745" t="s">
        <v>123</v>
      </c>
      <c r="D745" t="s">
        <v>100</v>
      </c>
      <c r="E745" t="s">
        <v>99</v>
      </c>
      <c r="F745" t="s">
        <v>12</v>
      </c>
      <c r="G745">
        <v>1</v>
      </c>
      <c r="H745">
        <v>315</v>
      </c>
      <c r="I745">
        <v>0.94029850746268595</v>
      </c>
      <c r="J745" s="25">
        <f t="shared" si="34"/>
        <v>0.94029850746268662</v>
      </c>
      <c r="K745">
        <v>3139</v>
      </c>
      <c r="L745">
        <v>24</v>
      </c>
      <c r="M745">
        <v>7.5877331647170396E-3</v>
      </c>
      <c r="N745" s="25">
        <f t="shared" si="33"/>
        <v>7.5877331647170587E-3</v>
      </c>
      <c r="O745">
        <v>0.99241226683528205</v>
      </c>
      <c r="P745" s="25">
        <f t="shared" si="35"/>
        <v>0.99241226683528294</v>
      </c>
      <c r="Q745">
        <v>20</v>
      </c>
      <c r="R745" t="s">
        <v>124</v>
      </c>
      <c r="S745" t="s">
        <v>124</v>
      </c>
      <c r="T745" t="s">
        <v>124</v>
      </c>
      <c r="U745" t="s">
        <v>124</v>
      </c>
      <c r="X745" s="19">
        <f>J745</f>
        <v>0.94029850746268662</v>
      </c>
      <c r="Y745" s="19">
        <f>N745</f>
        <v>7.5877331647170587E-3</v>
      </c>
      <c r="Z745" s="26">
        <f>(L745+Q745)/(L745+Q745+H745+K745)</f>
        <v>1.2578616352201259E-2</v>
      </c>
    </row>
    <row r="746" spans="1:26" x14ac:dyDescent="0.35">
      <c r="A746" t="s">
        <v>122</v>
      </c>
      <c r="B746" t="s">
        <v>122</v>
      </c>
      <c r="C746" t="s">
        <v>123</v>
      </c>
      <c r="D746" t="s">
        <v>100</v>
      </c>
      <c r="E746" t="s">
        <v>99</v>
      </c>
      <c r="F746" t="s">
        <v>12</v>
      </c>
      <c r="G746">
        <v>1</v>
      </c>
      <c r="H746">
        <v>315</v>
      </c>
      <c r="I746">
        <v>0.94029850746268595</v>
      </c>
      <c r="J746" s="25">
        <f t="shared" si="34"/>
        <v>0.94029850746268662</v>
      </c>
      <c r="K746">
        <v>3139</v>
      </c>
      <c r="L746">
        <v>24</v>
      </c>
      <c r="M746">
        <v>7.5877331647170396E-3</v>
      </c>
      <c r="N746" s="25">
        <f t="shared" si="33"/>
        <v>7.5877331647170587E-3</v>
      </c>
      <c r="O746">
        <v>0.99241226683528205</v>
      </c>
      <c r="P746" s="25">
        <f t="shared" si="35"/>
        <v>0.99241226683528294</v>
      </c>
      <c r="Q746">
        <v>20</v>
      </c>
      <c r="R746" t="s">
        <v>124</v>
      </c>
      <c r="S746" t="s">
        <v>124</v>
      </c>
      <c r="T746" t="s">
        <v>124</v>
      </c>
      <c r="U746" t="s">
        <v>124</v>
      </c>
      <c r="X746" s="19">
        <f>J746</f>
        <v>0.94029850746268662</v>
      </c>
      <c r="Y746" s="19">
        <f>N746</f>
        <v>7.5877331647170587E-3</v>
      </c>
      <c r="Z746" s="26">
        <f>(L746+Q746)/(L746+Q746+H746+K746)</f>
        <v>1.2578616352201259E-2</v>
      </c>
    </row>
    <row r="747" spans="1:26" x14ac:dyDescent="0.35">
      <c r="A747" t="s">
        <v>122</v>
      </c>
      <c r="B747" t="s">
        <v>122</v>
      </c>
      <c r="C747" t="s">
        <v>123</v>
      </c>
      <c r="D747" t="s">
        <v>100</v>
      </c>
      <c r="E747" t="s">
        <v>99</v>
      </c>
      <c r="F747" t="s">
        <v>12</v>
      </c>
      <c r="G747">
        <v>1</v>
      </c>
      <c r="H747">
        <v>315</v>
      </c>
      <c r="I747">
        <v>0.94029850746268595</v>
      </c>
      <c r="J747" s="25">
        <f t="shared" si="34"/>
        <v>0.94029850746268662</v>
      </c>
      <c r="K747">
        <v>3139</v>
      </c>
      <c r="L747">
        <v>24</v>
      </c>
      <c r="M747">
        <v>7.5877331647170396E-3</v>
      </c>
      <c r="N747" s="25">
        <f t="shared" si="33"/>
        <v>7.5877331647170587E-3</v>
      </c>
      <c r="O747">
        <v>0.99241226683528205</v>
      </c>
      <c r="P747" s="25">
        <f t="shared" si="35"/>
        <v>0.99241226683528294</v>
      </c>
      <c r="Q747">
        <v>20</v>
      </c>
      <c r="R747" t="s">
        <v>124</v>
      </c>
      <c r="S747" t="s">
        <v>124</v>
      </c>
      <c r="T747" t="s">
        <v>124</v>
      </c>
      <c r="U747" t="s">
        <v>124</v>
      </c>
      <c r="X747" s="19">
        <f>J747</f>
        <v>0.94029850746268662</v>
      </c>
      <c r="Y747" s="19">
        <f>N747</f>
        <v>7.5877331647170587E-3</v>
      </c>
      <c r="Z747" s="26">
        <f>(L747+Q747)/(L747+Q747+H747+K747)</f>
        <v>1.2578616352201259E-2</v>
      </c>
    </row>
    <row r="748" spans="1:26" x14ac:dyDescent="0.35">
      <c r="A748" t="s">
        <v>122</v>
      </c>
      <c r="B748" t="s">
        <v>122</v>
      </c>
      <c r="C748" t="s">
        <v>123</v>
      </c>
      <c r="D748" t="s">
        <v>100</v>
      </c>
      <c r="E748" t="s">
        <v>99</v>
      </c>
      <c r="F748" t="s">
        <v>12</v>
      </c>
      <c r="G748">
        <v>1</v>
      </c>
      <c r="H748">
        <v>315</v>
      </c>
      <c r="I748">
        <v>0.94029850746268595</v>
      </c>
      <c r="J748" s="25">
        <f t="shared" si="34"/>
        <v>0.94029850746268662</v>
      </c>
      <c r="K748">
        <v>3139</v>
      </c>
      <c r="L748">
        <v>24</v>
      </c>
      <c r="M748">
        <v>7.5877331647170396E-3</v>
      </c>
      <c r="N748" s="25">
        <f t="shared" si="33"/>
        <v>7.5877331647170587E-3</v>
      </c>
      <c r="O748">
        <v>0.99241226683528205</v>
      </c>
      <c r="P748" s="25">
        <f t="shared" si="35"/>
        <v>0.99241226683528294</v>
      </c>
      <c r="Q748">
        <v>20</v>
      </c>
      <c r="R748" t="s">
        <v>124</v>
      </c>
      <c r="S748" t="s">
        <v>124</v>
      </c>
      <c r="T748" t="s">
        <v>124</v>
      </c>
      <c r="U748" t="s">
        <v>124</v>
      </c>
      <c r="X748" s="19">
        <f>J748</f>
        <v>0.94029850746268662</v>
      </c>
      <c r="Y748" s="19">
        <f>N748</f>
        <v>7.5877331647170587E-3</v>
      </c>
      <c r="Z748" s="26">
        <f>(L748+Q748)/(L748+Q748+H748+K748)</f>
        <v>1.2578616352201259E-2</v>
      </c>
    </row>
    <row r="749" spans="1:26" x14ac:dyDescent="0.35">
      <c r="A749" t="s">
        <v>122</v>
      </c>
      <c r="B749" t="s">
        <v>122</v>
      </c>
      <c r="C749" t="s">
        <v>123</v>
      </c>
      <c r="D749" t="s">
        <v>100</v>
      </c>
      <c r="E749" t="s">
        <v>99</v>
      </c>
      <c r="F749" t="s">
        <v>12</v>
      </c>
      <c r="G749">
        <v>1</v>
      </c>
      <c r="H749">
        <v>315</v>
      </c>
      <c r="I749">
        <v>0.94029850746268595</v>
      </c>
      <c r="J749" s="25">
        <f t="shared" si="34"/>
        <v>0.94029850746268662</v>
      </c>
      <c r="K749">
        <v>3139</v>
      </c>
      <c r="L749">
        <v>24</v>
      </c>
      <c r="M749">
        <v>7.5877331647170396E-3</v>
      </c>
      <c r="N749" s="25">
        <f t="shared" si="33"/>
        <v>7.5877331647170587E-3</v>
      </c>
      <c r="O749">
        <v>0.99241226683528205</v>
      </c>
      <c r="P749" s="25">
        <f t="shared" si="35"/>
        <v>0.99241226683528294</v>
      </c>
      <c r="Q749">
        <v>20</v>
      </c>
      <c r="R749" t="s">
        <v>124</v>
      </c>
      <c r="S749" t="s">
        <v>124</v>
      </c>
      <c r="T749" t="s">
        <v>124</v>
      </c>
      <c r="U749" t="s">
        <v>124</v>
      </c>
      <c r="X749" s="19">
        <f>J749</f>
        <v>0.94029850746268662</v>
      </c>
      <c r="Y749" s="19">
        <f>N749</f>
        <v>7.5877331647170587E-3</v>
      </c>
      <c r="Z749" s="26">
        <f>(L749+Q749)/(L749+Q749+H749+K749)</f>
        <v>1.2578616352201259E-2</v>
      </c>
    </row>
    <row r="750" spans="1:26" x14ac:dyDescent="0.35">
      <c r="A750" t="s">
        <v>122</v>
      </c>
      <c r="B750" t="s">
        <v>122</v>
      </c>
      <c r="C750" t="s">
        <v>123</v>
      </c>
      <c r="D750" t="s">
        <v>100</v>
      </c>
      <c r="E750" t="s">
        <v>99</v>
      </c>
      <c r="F750" t="s">
        <v>12</v>
      </c>
      <c r="G750">
        <v>1</v>
      </c>
      <c r="H750">
        <v>315</v>
      </c>
      <c r="I750">
        <v>0.94029850746268595</v>
      </c>
      <c r="J750" s="25">
        <f t="shared" si="34"/>
        <v>0.94029850746268662</v>
      </c>
      <c r="K750">
        <v>3139</v>
      </c>
      <c r="L750">
        <v>24</v>
      </c>
      <c r="M750">
        <v>7.5877331647170396E-3</v>
      </c>
      <c r="N750" s="25">
        <f t="shared" si="33"/>
        <v>7.5877331647170587E-3</v>
      </c>
      <c r="O750">
        <v>0.99241226683528205</v>
      </c>
      <c r="P750" s="25">
        <f t="shared" si="35"/>
        <v>0.99241226683528294</v>
      </c>
      <c r="Q750">
        <v>20</v>
      </c>
      <c r="R750" t="s">
        <v>124</v>
      </c>
      <c r="S750" t="s">
        <v>124</v>
      </c>
      <c r="T750" t="s">
        <v>124</v>
      </c>
      <c r="U750" t="s">
        <v>124</v>
      </c>
      <c r="X750" s="19">
        <f>J750</f>
        <v>0.94029850746268662</v>
      </c>
      <c r="Y750" s="19">
        <f>N750</f>
        <v>7.5877331647170587E-3</v>
      </c>
      <c r="Z750" s="26">
        <f>(L750+Q750)/(L750+Q750+H750+K750)</f>
        <v>1.2578616352201259E-2</v>
      </c>
    </row>
    <row r="751" spans="1:26" x14ac:dyDescent="0.35">
      <c r="A751" t="s">
        <v>122</v>
      </c>
      <c r="B751" t="s">
        <v>122</v>
      </c>
      <c r="C751" t="s">
        <v>123</v>
      </c>
      <c r="D751" t="s">
        <v>100</v>
      </c>
      <c r="E751" t="s">
        <v>99</v>
      </c>
      <c r="F751" t="s">
        <v>12</v>
      </c>
      <c r="G751">
        <v>1</v>
      </c>
      <c r="H751">
        <v>315</v>
      </c>
      <c r="I751">
        <v>0.94029850746268595</v>
      </c>
      <c r="J751" s="25">
        <f t="shared" si="34"/>
        <v>0.94029850746268662</v>
      </c>
      <c r="K751">
        <v>3139</v>
      </c>
      <c r="L751">
        <v>24</v>
      </c>
      <c r="M751">
        <v>7.5877331647170396E-3</v>
      </c>
      <c r="N751" s="25">
        <f t="shared" si="33"/>
        <v>7.5877331647170587E-3</v>
      </c>
      <c r="O751">
        <v>0.99241226683528205</v>
      </c>
      <c r="P751" s="25">
        <f t="shared" si="35"/>
        <v>0.99241226683528294</v>
      </c>
      <c r="Q751">
        <v>20</v>
      </c>
      <c r="R751" t="s">
        <v>124</v>
      </c>
      <c r="S751" t="s">
        <v>124</v>
      </c>
      <c r="T751" t="s">
        <v>124</v>
      </c>
      <c r="U751" t="s">
        <v>124</v>
      </c>
      <c r="X751" s="19">
        <f>J751</f>
        <v>0.94029850746268662</v>
      </c>
      <c r="Y751" s="19">
        <f>N751</f>
        <v>7.5877331647170587E-3</v>
      </c>
      <c r="Z751" s="26">
        <f>(L751+Q751)/(L751+Q751+H751+K751)</f>
        <v>1.2578616352201259E-2</v>
      </c>
    </row>
    <row r="752" spans="1:26" x14ac:dyDescent="0.35">
      <c r="A752" t="s">
        <v>122</v>
      </c>
      <c r="B752" t="s">
        <v>122</v>
      </c>
      <c r="C752" t="s">
        <v>123</v>
      </c>
      <c r="D752" t="s">
        <v>100</v>
      </c>
      <c r="E752" t="s">
        <v>99</v>
      </c>
      <c r="F752" t="s">
        <v>12</v>
      </c>
      <c r="G752">
        <v>1</v>
      </c>
      <c r="H752">
        <v>315</v>
      </c>
      <c r="I752">
        <v>0.94029850746268595</v>
      </c>
      <c r="J752" s="25">
        <f t="shared" si="34"/>
        <v>0.94029850746268662</v>
      </c>
      <c r="K752">
        <v>3139</v>
      </c>
      <c r="L752">
        <v>24</v>
      </c>
      <c r="M752">
        <v>7.5877331647170396E-3</v>
      </c>
      <c r="N752" s="25">
        <f t="shared" si="33"/>
        <v>7.5877331647170587E-3</v>
      </c>
      <c r="O752">
        <v>0.99241226683528205</v>
      </c>
      <c r="P752" s="25">
        <f t="shared" si="35"/>
        <v>0.99241226683528294</v>
      </c>
      <c r="Q752">
        <v>20</v>
      </c>
      <c r="R752" t="s">
        <v>124</v>
      </c>
      <c r="S752" t="s">
        <v>124</v>
      </c>
      <c r="T752" t="s">
        <v>124</v>
      </c>
      <c r="U752" t="s">
        <v>124</v>
      </c>
      <c r="X752" s="19">
        <f>J752</f>
        <v>0.94029850746268662</v>
      </c>
      <c r="Y752" s="19">
        <f>N752</f>
        <v>7.5877331647170587E-3</v>
      </c>
      <c r="Z752" s="26">
        <f>(L752+Q752)/(L752+Q752+H752+K752)</f>
        <v>1.2578616352201259E-2</v>
      </c>
    </row>
    <row r="753" spans="1:26" x14ac:dyDescent="0.35">
      <c r="A753" t="s">
        <v>122</v>
      </c>
      <c r="B753" t="s">
        <v>122</v>
      </c>
      <c r="C753" t="s">
        <v>123</v>
      </c>
      <c r="D753" t="s">
        <v>100</v>
      </c>
      <c r="E753" t="s">
        <v>99</v>
      </c>
      <c r="F753" t="s">
        <v>12</v>
      </c>
      <c r="G753">
        <v>1</v>
      </c>
      <c r="H753">
        <v>315</v>
      </c>
      <c r="I753">
        <v>0.94029850746268595</v>
      </c>
      <c r="J753" s="25">
        <f t="shared" si="34"/>
        <v>0.94029850746268662</v>
      </c>
      <c r="K753">
        <v>3139</v>
      </c>
      <c r="L753">
        <v>24</v>
      </c>
      <c r="M753">
        <v>7.5877331647170396E-3</v>
      </c>
      <c r="N753" s="25">
        <f t="shared" si="33"/>
        <v>7.5877331647170587E-3</v>
      </c>
      <c r="O753">
        <v>0.99241226683528205</v>
      </c>
      <c r="P753" s="25">
        <f t="shared" si="35"/>
        <v>0.99241226683528294</v>
      </c>
      <c r="Q753">
        <v>20</v>
      </c>
      <c r="R753" t="s">
        <v>124</v>
      </c>
      <c r="S753" t="s">
        <v>124</v>
      </c>
      <c r="T753" t="s">
        <v>124</v>
      </c>
      <c r="U753" t="s">
        <v>124</v>
      </c>
      <c r="X753" s="19">
        <f>J753</f>
        <v>0.94029850746268662</v>
      </c>
      <c r="Y753" s="19">
        <f>N753</f>
        <v>7.5877331647170587E-3</v>
      </c>
      <c r="Z753" s="26">
        <f>(L753+Q753)/(L753+Q753+H753+K753)</f>
        <v>1.2578616352201259E-2</v>
      </c>
    </row>
    <row r="754" spans="1:26" x14ac:dyDescent="0.35">
      <c r="A754" t="s">
        <v>122</v>
      </c>
      <c r="B754" t="s">
        <v>122</v>
      </c>
      <c r="C754" t="s">
        <v>123</v>
      </c>
      <c r="D754" t="s">
        <v>100</v>
      </c>
      <c r="E754" t="s">
        <v>99</v>
      </c>
      <c r="F754" t="s">
        <v>12</v>
      </c>
      <c r="G754">
        <v>1</v>
      </c>
      <c r="H754">
        <v>315</v>
      </c>
      <c r="I754">
        <v>0.94029850746268595</v>
      </c>
      <c r="J754" s="25">
        <f t="shared" si="34"/>
        <v>0.94029850746268662</v>
      </c>
      <c r="K754">
        <v>3139</v>
      </c>
      <c r="L754">
        <v>24</v>
      </c>
      <c r="M754">
        <v>7.5877331647170396E-3</v>
      </c>
      <c r="N754" s="25">
        <f t="shared" si="33"/>
        <v>7.5877331647170587E-3</v>
      </c>
      <c r="O754">
        <v>0.99241226683528205</v>
      </c>
      <c r="P754" s="25">
        <f t="shared" si="35"/>
        <v>0.99241226683528294</v>
      </c>
      <c r="Q754">
        <v>20</v>
      </c>
      <c r="R754" t="s">
        <v>124</v>
      </c>
      <c r="S754" t="s">
        <v>124</v>
      </c>
      <c r="T754" t="s">
        <v>124</v>
      </c>
      <c r="U754" t="s">
        <v>124</v>
      </c>
      <c r="X754" s="19">
        <f>J754</f>
        <v>0.94029850746268662</v>
      </c>
      <c r="Y754" s="19">
        <f>N754</f>
        <v>7.5877331647170587E-3</v>
      </c>
      <c r="Z754" s="26">
        <f>(L754+Q754)/(L754+Q754+H754+K754)</f>
        <v>1.2578616352201259E-2</v>
      </c>
    </row>
    <row r="755" spans="1:26" x14ac:dyDescent="0.35">
      <c r="A755" t="s">
        <v>122</v>
      </c>
      <c r="B755" t="s">
        <v>122</v>
      </c>
      <c r="C755" t="s">
        <v>123</v>
      </c>
      <c r="D755" t="s">
        <v>100</v>
      </c>
      <c r="E755" t="s">
        <v>99</v>
      </c>
      <c r="F755" t="s">
        <v>12</v>
      </c>
      <c r="G755">
        <v>1</v>
      </c>
      <c r="H755">
        <v>315</v>
      </c>
      <c r="I755">
        <v>0.94029850746268595</v>
      </c>
      <c r="J755" s="25">
        <f t="shared" si="34"/>
        <v>0.94029850746268662</v>
      </c>
      <c r="K755">
        <v>3139</v>
      </c>
      <c r="L755">
        <v>24</v>
      </c>
      <c r="M755">
        <v>7.5877331647170396E-3</v>
      </c>
      <c r="N755" s="25">
        <f t="shared" si="33"/>
        <v>7.5877331647170587E-3</v>
      </c>
      <c r="O755">
        <v>0.99241226683528205</v>
      </c>
      <c r="P755" s="25">
        <f t="shared" si="35"/>
        <v>0.99241226683528294</v>
      </c>
      <c r="Q755">
        <v>20</v>
      </c>
      <c r="R755" t="s">
        <v>124</v>
      </c>
      <c r="S755" t="s">
        <v>124</v>
      </c>
      <c r="T755" t="s">
        <v>124</v>
      </c>
      <c r="U755" t="s">
        <v>124</v>
      </c>
      <c r="X755" s="19">
        <f>J755</f>
        <v>0.94029850746268662</v>
      </c>
      <c r="Y755" s="19">
        <f>N755</f>
        <v>7.5877331647170587E-3</v>
      </c>
      <c r="Z755" s="26">
        <f>(L755+Q755)/(L755+Q755+H755+K755)</f>
        <v>1.2578616352201259E-2</v>
      </c>
    </row>
    <row r="756" spans="1:26" x14ac:dyDescent="0.35">
      <c r="A756" t="s">
        <v>122</v>
      </c>
      <c r="B756" t="s">
        <v>122</v>
      </c>
      <c r="C756" t="s">
        <v>123</v>
      </c>
      <c r="D756" t="s">
        <v>100</v>
      </c>
      <c r="E756" t="s">
        <v>99</v>
      </c>
      <c r="F756" t="s">
        <v>12</v>
      </c>
      <c r="G756">
        <v>1</v>
      </c>
      <c r="H756">
        <v>315</v>
      </c>
      <c r="I756">
        <v>0.94029850746268595</v>
      </c>
      <c r="J756" s="25">
        <f t="shared" si="34"/>
        <v>0.94029850746268662</v>
      </c>
      <c r="K756">
        <v>3139</v>
      </c>
      <c r="L756">
        <v>24</v>
      </c>
      <c r="M756">
        <v>7.5877331647170396E-3</v>
      </c>
      <c r="N756" s="25">
        <f t="shared" si="33"/>
        <v>7.5877331647170587E-3</v>
      </c>
      <c r="O756">
        <v>0.99241226683528205</v>
      </c>
      <c r="P756" s="25">
        <f t="shared" si="35"/>
        <v>0.99241226683528294</v>
      </c>
      <c r="Q756">
        <v>20</v>
      </c>
      <c r="R756" t="s">
        <v>124</v>
      </c>
      <c r="S756" t="s">
        <v>124</v>
      </c>
      <c r="T756" t="s">
        <v>124</v>
      </c>
      <c r="U756" t="s">
        <v>124</v>
      </c>
      <c r="X756" s="19">
        <f>J756</f>
        <v>0.94029850746268662</v>
      </c>
      <c r="Y756" s="19">
        <f>N756</f>
        <v>7.5877331647170587E-3</v>
      </c>
      <c r="Z756" s="26">
        <f>(L756+Q756)/(L756+Q756+H756+K756)</f>
        <v>1.2578616352201259E-2</v>
      </c>
    </row>
    <row r="757" spans="1:26" x14ac:dyDescent="0.35">
      <c r="A757" t="s">
        <v>122</v>
      </c>
      <c r="B757" t="s">
        <v>122</v>
      </c>
      <c r="C757" t="s">
        <v>123</v>
      </c>
      <c r="D757" t="s">
        <v>100</v>
      </c>
      <c r="E757" t="s">
        <v>99</v>
      </c>
      <c r="F757" t="s">
        <v>12</v>
      </c>
      <c r="G757">
        <v>1</v>
      </c>
      <c r="H757">
        <v>315</v>
      </c>
      <c r="I757">
        <v>0.94029850746268595</v>
      </c>
      <c r="J757" s="25">
        <f t="shared" si="34"/>
        <v>0.94029850746268662</v>
      </c>
      <c r="K757">
        <v>3139</v>
      </c>
      <c r="L757">
        <v>24</v>
      </c>
      <c r="M757">
        <v>7.5877331647170396E-3</v>
      </c>
      <c r="N757" s="25">
        <f t="shared" si="33"/>
        <v>7.5877331647170587E-3</v>
      </c>
      <c r="O757">
        <v>0.99241226683528205</v>
      </c>
      <c r="P757" s="25">
        <f t="shared" si="35"/>
        <v>0.99241226683528294</v>
      </c>
      <c r="Q757">
        <v>20</v>
      </c>
      <c r="R757" t="s">
        <v>124</v>
      </c>
      <c r="S757" t="s">
        <v>124</v>
      </c>
      <c r="T757" t="s">
        <v>124</v>
      </c>
      <c r="U757" t="s">
        <v>124</v>
      </c>
      <c r="X757" s="19">
        <f>J757</f>
        <v>0.94029850746268662</v>
      </c>
      <c r="Y757" s="19">
        <f>N757</f>
        <v>7.5877331647170587E-3</v>
      </c>
      <c r="Z757" s="26">
        <f>(L757+Q757)/(L757+Q757+H757+K757)</f>
        <v>1.2578616352201259E-2</v>
      </c>
    </row>
    <row r="758" spans="1:26" x14ac:dyDescent="0.35">
      <c r="A758" t="s">
        <v>122</v>
      </c>
      <c r="B758" t="s">
        <v>122</v>
      </c>
      <c r="C758" t="s">
        <v>123</v>
      </c>
      <c r="D758" t="s">
        <v>100</v>
      </c>
      <c r="E758" t="s">
        <v>99</v>
      </c>
      <c r="F758" t="s">
        <v>12</v>
      </c>
      <c r="G758">
        <v>1</v>
      </c>
      <c r="H758">
        <v>315</v>
      </c>
      <c r="I758">
        <v>0.94029850746268595</v>
      </c>
      <c r="J758" s="25">
        <f t="shared" si="34"/>
        <v>0.94029850746268662</v>
      </c>
      <c r="K758">
        <v>3139</v>
      </c>
      <c r="L758">
        <v>24</v>
      </c>
      <c r="M758">
        <v>7.5877331647170396E-3</v>
      </c>
      <c r="N758" s="25">
        <f t="shared" si="33"/>
        <v>7.5877331647170587E-3</v>
      </c>
      <c r="O758">
        <v>0.99241226683528205</v>
      </c>
      <c r="P758" s="25">
        <f t="shared" si="35"/>
        <v>0.99241226683528294</v>
      </c>
      <c r="Q758">
        <v>20</v>
      </c>
      <c r="R758" t="s">
        <v>124</v>
      </c>
      <c r="S758" t="s">
        <v>124</v>
      </c>
      <c r="T758" t="s">
        <v>124</v>
      </c>
      <c r="U758" t="s">
        <v>124</v>
      </c>
      <c r="X758" s="19">
        <f>J758</f>
        <v>0.94029850746268662</v>
      </c>
      <c r="Y758" s="19">
        <f>N758</f>
        <v>7.5877331647170587E-3</v>
      </c>
      <c r="Z758" s="26">
        <f>(L758+Q758)/(L758+Q758+H758+K758)</f>
        <v>1.2578616352201259E-2</v>
      </c>
    </row>
    <row r="759" spans="1:26" x14ac:dyDescent="0.35">
      <c r="A759" t="s">
        <v>122</v>
      </c>
      <c r="B759" t="s">
        <v>122</v>
      </c>
      <c r="C759" t="s">
        <v>123</v>
      </c>
      <c r="D759" t="s">
        <v>100</v>
      </c>
      <c r="E759" t="s">
        <v>99</v>
      </c>
      <c r="F759" t="s">
        <v>12</v>
      </c>
      <c r="G759">
        <v>1</v>
      </c>
      <c r="H759">
        <v>315</v>
      </c>
      <c r="I759">
        <v>0.94029850746268595</v>
      </c>
      <c r="J759" s="25">
        <f t="shared" si="34"/>
        <v>0.94029850746268662</v>
      </c>
      <c r="K759">
        <v>3139</v>
      </c>
      <c r="L759">
        <v>24</v>
      </c>
      <c r="M759">
        <v>7.5877331647170396E-3</v>
      </c>
      <c r="N759" s="25">
        <f t="shared" si="33"/>
        <v>7.5877331647170587E-3</v>
      </c>
      <c r="O759">
        <v>0.99241226683528205</v>
      </c>
      <c r="P759" s="25">
        <f t="shared" si="35"/>
        <v>0.99241226683528294</v>
      </c>
      <c r="Q759">
        <v>20</v>
      </c>
      <c r="R759" t="s">
        <v>124</v>
      </c>
      <c r="S759" t="s">
        <v>124</v>
      </c>
      <c r="T759" t="s">
        <v>124</v>
      </c>
      <c r="U759" t="s">
        <v>124</v>
      </c>
      <c r="X759" s="19">
        <f>J759</f>
        <v>0.94029850746268662</v>
      </c>
      <c r="Y759" s="19">
        <f>N759</f>
        <v>7.5877331647170587E-3</v>
      </c>
      <c r="Z759" s="26">
        <f>(L759+Q759)/(L759+Q759+H759+K759)</f>
        <v>1.2578616352201259E-2</v>
      </c>
    </row>
    <row r="760" spans="1:26" x14ac:dyDescent="0.35">
      <c r="A760" t="s">
        <v>122</v>
      </c>
      <c r="B760" t="s">
        <v>122</v>
      </c>
      <c r="C760" t="s">
        <v>123</v>
      </c>
      <c r="D760" t="s">
        <v>100</v>
      </c>
      <c r="E760" t="s">
        <v>99</v>
      </c>
      <c r="F760" t="s">
        <v>12</v>
      </c>
      <c r="G760">
        <v>1</v>
      </c>
      <c r="H760">
        <v>315</v>
      </c>
      <c r="I760">
        <v>0.94029850746268595</v>
      </c>
      <c r="J760" s="25">
        <f t="shared" si="34"/>
        <v>0.94029850746268662</v>
      </c>
      <c r="K760">
        <v>3139</v>
      </c>
      <c r="L760">
        <v>24</v>
      </c>
      <c r="M760">
        <v>7.5877331647170396E-3</v>
      </c>
      <c r="N760" s="25">
        <f t="shared" si="33"/>
        <v>7.5877331647170587E-3</v>
      </c>
      <c r="O760">
        <v>0.99241226683528205</v>
      </c>
      <c r="P760" s="25">
        <f t="shared" si="35"/>
        <v>0.99241226683528294</v>
      </c>
      <c r="Q760">
        <v>20</v>
      </c>
      <c r="R760" t="s">
        <v>124</v>
      </c>
      <c r="S760" t="s">
        <v>124</v>
      </c>
      <c r="T760" t="s">
        <v>124</v>
      </c>
      <c r="U760" t="s">
        <v>124</v>
      </c>
      <c r="X760" s="19">
        <f>J760</f>
        <v>0.94029850746268662</v>
      </c>
      <c r="Y760" s="19">
        <f>N760</f>
        <v>7.5877331647170587E-3</v>
      </c>
      <c r="Z760" s="26">
        <f>(L760+Q760)/(L760+Q760+H760+K760)</f>
        <v>1.2578616352201259E-2</v>
      </c>
    </row>
    <row r="761" spans="1:26" x14ac:dyDescent="0.35">
      <c r="A761" t="s">
        <v>122</v>
      </c>
      <c r="B761" t="s">
        <v>122</v>
      </c>
      <c r="C761" t="s">
        <v>123</v>
      </c>
      <c r="D761" t="s">
        <v>100</v>
      </c>
      <c r="E761" t="s">
        <v>99</v>
      </c>
      <c r="F761" t="s">
        <v>12</v>
      </c>
      <c r="G761">
        <v>1</v>
      </c>
      <c r="H761">
        <v>315</v>
      </c>
      <c r="I761">
        <v>0.94029850746268595</v>
      </c>
      <c r="J761" s="25">
        <f t="shared" si="34"/>
        <v>0.94029850746268662</v>
      </c>
      <c r="K761">
        <v>3139</v>
      </c>
      <c r="L761">
        <v>24</v>
      </c>
      <c r="M761">
        <v>7.5877331647170396E-3</v>
      </c>
      <c r="N761" s="25">
        <f t="shared" si="33"/>
        <v>7.5877331647170587E-3</v>
      </c>
      <c r="O761">
        <v>0.99241226683528205</v>
      </c>
      <c r="P761" s="25">
        <f t="shared" si="35"/>
        <v>0.99241226683528294</v>
      </c>
      <c r="Q761">
        <v>20</v>
      </c>
      <c r="R761" t="s">
        <v>124</v>
      </c>
      <c r="S761" t="s">
        <v>124</v>
      </c>
      <c r="T761" t="s">
        <v>124</v>
      </c>
      <c r="U761" t="s">
        <v>124</v>
      </c>
      <c r="X761" s="19">
        <f>J761</f>
        <v>0.94029850746268662</v>
      </c>
      <c r="Y761" s="19">
        <f>N761</f>
        <v>7.5877331647170587E-3</v>
      </c>
      <c r="Z761" s="26">
        <f>(L761+Q761)/(L761+Q761+H761+K761)</f>
        <v>1.2578616352201259E-2</v>
      </c>
    </row>
    <row r="762" spans="1:26" x14ac:dyDescent="0.35">
      <c r="A762" t="s">
        <v>122</v>
      </c>
      <c r="B762" t="s">
        <v>122</v>
      </c>
      <c r="C762" t="s">
        <v>123</v>
      </c>
      <c r="D762" t="s">
        <v>100</v>
      </c>
      <c r="E762" t="s">
        <v>99</v>
      </c>
      <c r="F762" t="s">
        <v>12</v>
      </c>
      <c r="G762">
        <v>1</v>
      </c>
      <c r="H762">
        <v>315</v>
      </c>
      <c r="I762">
        <v>0.94029850746268595</v>
      </c>
      <c r="J762" s="25">
        <f t="shared" si="34"/>
        <v>0.94029850746268662</v>
      </c>
      <c r="K762">
        <v>3139</v>
      </c>
      <c r="L762">
        <v>24</v>
      </c>
      <c r="M762">
        <v>7.5877331647170396E-3</v>
      </c>
      <c r="N762" s="25">
        <f t="shared" si="33"/>
        <v>7.5877331647170587E-3</v>
      </c>
      <c r="O762">
        <v>0.99241226683528205</v>
      </c>
      <c r="P762" s="25">
        <f t="shared" si="35"/>
        <v>0.99241226683528294</v>
      </c>
      <c r="Q762">
        <v>20</v>
      </c>
      <c r="R762" t="s">
        <v>124</v>
      </c>
      <c r="S762" t="s">
        <v>124</v>
      </c>
      <c r="T762" t="s">
        <v>124</v>
      </c>
      <c r="U762" t="s">
        <v>124</v>
      </c>
      <c r="X762" s="19">
        <f>J762</f>
        <v>0.94029850746268662</v>
      </c>
      <c r="Y762" s="19">
        <f>N762</f>
        <v>7.5877331647170587E-3</v>
      </c>
      <c r="Z762" s="26">
        <f>(L762+Q762)/(L762+Q762+H762+K762)</f>
        <v>1.2578616352201259E-2</v>
      </c>
    </row>
    <row r="763" spans="1:26" x14ac:dyDescent="0.35">
      <c r="A763" t="s">
        <v>122</v>
      </c>
      <c r="B763" t="s">
        <v>122</v>
      </c>
      <c r="C763" t="s">
        <v>123</v>
      </c>
      <c r="D763" t="s">
        <v>100</v>
      </c>
      <c r="E763" t="s">
        <v>99</v>
      </c>
      <c r="F763" t="s">
        <v>12</v>
      </c>
      <c r="G763">
        <v>1</v>
      </c>
      <c r="H763">
        <v>315</v>
      </c>
      <c r="I763">
        <v>0.94029850746268595</v>
      </c>
      <c r="J763" s="25">
        <f t="shared" si="34"/>
        <v>0.94029850746268662</v>
      </c>
      <c r="K763">
        <v>3139</v>
      </c>
      <c r="L763">
        <v>24</v>
      </c>
      <c r="M763">
        <v>7.5877331647170396E-3</v>
      </c>
      <c r="N763" s="25">
        <f t="shared" si="33"/>
        <v>7.5877331647170587E-3</v>
      </c>
      <c r="O763">
        <v>0.99241226683528205</v>
      </c>
      <c r="P763" s="25">
        <f t="shared" si="35"/>
        <v>0.99241226683528294</v>
      </c>
      <c r="Q763">
        <v>20</v>
      </c>
      <c r="R763" t="s">
        <v>124</v>
      </c>
      <c r="S763" t="s">
        <v>124</v>
      </c>
      <c r="T763" t="s">
        <v>124</v>
      </c>
      <c r="U763" t="s">
        <v>124</v>
      </c>
      <c r="X763" s="19">
        <f>J763</f>
        <v>0.94029850746268662</v>
      </c>
      <c r="Y763" s="19">
        <f>N763</f>
        <v>7.5877331647170587E-3</v>
      </c>
      <c r="Z763" s="26">
        <f>(L763+Q763)/(L763+Q763+H763+K763)</f>
        <v>1.2578616352201259E-2</v>
      </c>
    </row>
    <row r="764" spans="1:26" x14ac:dyDescent="0.35">
      <c r="A764" t="s">
        <v>122</v>
      </c>
      <c r="B764" t="s">
        <v>122</v>
      </c>
      <c r="C764" t="s">
        <v>123</v>
      </c>
      <c r="D764" t="s">
        <v>100</v>
      </c>
      <c r="E764" t="s">
        <v>99</v>
      </c>
      <c r="F764" t="s">
        <v>12</v>
      </c>
      <c r="G764">
        <v>1</v>
      </c>
      <c r="H764">
        <v>315</v>
      </c>
      <c r="I764">
        <v>0.94029850746268595</v>
      </c>
      <c r="J764" s="25">
        <f t="shared" si="34"/>
        <v>0.94029850746268662</v>
      </c>
      <c r="K764">
        <v>3139</v>
      </c>
      <c r="L764">
        <v>24</v>
      </c>
      <c r="M764">
        <v>7.5877331647170396E-3</v>
      </c>
      <c r="N764" s="25">
        <f t="shared" si="33"/>
        <v>7.5877331647170587E-3</v>
      </c>
      <c r="O764">
        <v>0.99241226683528205</v>
      </c>
      <c r="P764" s="25">
        <f t="shared" si="35"/>
        <v>0.99241226683528294</v>
      </c>
      <c r="Q764">
        <v>20</v>
      </c>
      <c r="R764" t="s">
        <v>124</v>
      </c>
      <c r="S764" t="s">
        <v>124</v>
      </c>
      <c r="T764" t="s">
        <v>124</v>
      </c>
      <c r="U764" t="s">
        <v>124</v>
      </c>
      <c r="X764" s="19">
        <f>J764</f>
        <v>0.94029850746268662</v>
      </c>
      <c r="Y764" s="19">
        <f>N764</f>
        <v>7.5877331647170587E-3</v>
      </c>
      <c r="Z764" s="26">
        <f>(L764+Q764)/(L764+Q764+H764+K764)</f>
        <v>1.2578616352201259E-2</v>
      </c>
    </row>
    <row r="765" spans="1:26" x14ac:dyDescent="0.35">
      <c r="A765" t="s">
        <v>122</v>
      </c>
      <c r="B765" t="s">
        <v>122</v>
      </c>
      <c r="C765" t="s">
        <v>123</v>
      </c>
      <c r="D765" t="s">
        <v>100</v>
      </c>
      <c r="E765" t="s">
        <v>99</v>
      </c>
      <c r="F765" t="s">
        <v>12</v>
      </c>
      <c r="G765">
        <v>1</v>
      </c>
      <c r="H765">
        <v>315</v>
      </c>
      <c r="I765">
        <v>0.94029850746268595</v>
      </c>
      <c r="J765" s="25">
        <f t="shared" si="34"/>
        <v>0.94029850746268662</v>
      </c>
      <c r="K765">
        <v>3139</v>
      </c>
      <c r="L765">
        <v>24</v>
      </c>
      <c r="M765">
        <v>7.5877331647170396E-3</v>
      </c>
      <c r="N765" s="25">
        <f t="shared" si="33"/>
        <v>7.5877331647170587E-3</v>
      </c>
      <c r="O765">
        <v>0.99241226683528205</v>
      </c>
      <c r="P765" s="25">
        <f t="shared" si="35"/>
        <v>0.99241226683528294</v>
      </c>
      <c r="Q765">
        <v>20</v>
      </c>
      <c r="R765" t="s">
        <v>124</v>
      </c>
      <c r="S765" t="s">
        <v>124</v>
      </c>
      <c r="T765" t="s">
        <v>124</v>
      </c>
      <c r="U765" t="s">
        <v>124</v>
      </c>
      <c r="X765" s="19">
        <f>J765</f>
        <v>0.94029850746268662</v>
      </c>
      <c r="Y765" s="19">
        <f>N765</f>
        <v>7.5877331647170587E-3</v>
      </c>
      <c r="Z765" s="26">
        <f>(L765+Q765)/(L765+Q765+H765+K765)</f>
        <v>1.2578616352201259E-2</v>
      </c>
    </row>
    <row r="766" spans="1:26" x14ac:dyDescent="0.35">
      <c r="A766" t="s">
        <v>122</v>
      </c>
      <c r="B766" t="s">
        <v>122</v>
      </c>
      <c r="C766" t="s">
        <v>123</v>
      </c>
      <c r="D766" t="s">
        <v>100</v>
      </c>
      <c r="E766" t="s">
        <v>99</v>
      </c>
      <c r="F766" t="s">
        <v>12</v>
      </c>
      <c r="G766">
        <v>1</v>
      </c>
      <c r="H766">
        <v>315</v>
      </c>
      <c r="I766">
        <v>0.94029850746268595</v>
      </c>
      <c r="J766" s="25">
        <f t="shared" si="34"/>
        <v>0.94029850746268662</v>
      </c>
      <c r="K766">
        <v>3139</v>
      </c>
      <c r="L766">
        <v>24</v>
      </c>
      <c r="M766">
        <v>7.5877331647170396E-3</v>
      </c>
      <c r="N766" s="25">
        <f t="shared" si="33"/>
        <v>7.5877331647170587E-3</v>
      </c>
      <c r="O766">
        <v>0.99241226683528205</v>
      </c>
      <c r="P766" s="25">
        <f t="shared" si="35"/>
        <v>0.99241226683528294</v>
      </c>
      <c r="Q766">
        <v>20</v>
      </c>
      <c r="R766" t="s">
        <v>124</v>
      </c>
      <c r="S766" t="s">
        <v>124</v>
      </c>
      <c r="T766" t="s">
        <v>124</v>
      </c>
      <c r="U766" t="s">
        <v>124</v>
      </c>
      <c r="X766" s="19">
        <f>J766</f>
        <v>0.94029850746268662</v>
      </c>
      <c r="Y766" s="19">
        <f>N766</f>
        <v>7.5877331647170587E-3</v>
      </c>
      <c r="Z766" s="26">
        <f>(L766+Q766)/(L766+Q766+H766+K766)</f>
        <v>1.2578616352201259E-2</v>
      </c>
    </row>
    <row r="767" spans="1:26" x14ac:dyDescent="0.35">
      <c r="A767" t="s">
        <v>122</v>
      </c>
      <c r="B767" t="s">
        <v>122</v>
      </c>
      <c r="C767" t="s">
        <v>123</v>
      </c>
      <c r="D767" t="s">
        <v>100</v>
      </c>
      <c r="E767" t="s">
        <v>99</v>
      </c>
      <c r="F767" t="s">
        <v>12</v>
      </c>
      <c r="G767">
        <v>1</v>
      </c>
      <c r="H767">
        <v>315</v>
      </c>
      <c r="I767">
        <v>0.94029850746268595</v>
      </c>
      <c r="J767" s="25">
        <f t="shared" si="34"/>
        <v>0.94029850746268662</v>
      </c>
      <c r="K767">
        <v>3139</v>
      </c>
      <c r="L767">
        <v>24</v>
      </c>
      <c r="M767">
        <v>7.5877331647170396E-3</v>
      </c>
      <c r="N767" s="25">
        <f t="shared" si="33"/>
        <v>7.5877331647170587E-3</v>
      </c>
      <c r="O767">
        <v>0.99241226683528205</v>
      </c>
      <c r="P767" s="25">
        <f t="shared" si="35"/>
        <v>0.99241226683528294</v>
      </c>
      <c r="Q767">
        <v>20</v>
      </c>
      <c r="R767" t="s">
        <v>124</v>
      </c>
      <c r="S767" t="s">
        <v>124</v>
      </c>
      <c r="T767" t="s">
        <v>124</v>
      </c>
      <c r="U767" t="s">
        <v>124</v>
      </c>
      <c r="X767" s="19">
        <f>J767</f>
        <v>0.94029850746268662</v>
      </c>
      <c r="Y767" s="19">
        <f>N767</f>
        <v>7.5877331647170587E-3</v>
      </c>
      <c r="Z767" s="26">
        <f>(L767+Q767)/(L767+Q767+H767+K767)</f>
        <v>1.2578616352201259E-2</v>
      </c>
    </row>
    <row r="768" spans="1:26" x14ac:dyDescent="0.35">
      <c r="A768" t="s">
        <v>122</v>
      </c>
      <c r="B768" t="s">
        <v>122</v>
      </c>
      <c r="C768" t="s">
        <v>123</v>
      </c>
      <c r="D768" t="s">
        <v>100</v>
      </c>
      <c r="E768" t="s">
        <v>99</v>
      </c>
      <c r="F768" t="s">
        <v>12</v>
      </c>
      <c r="G768">
        <v>1</v>
      </c>
      <c r="H768">
        <v>315</v>
      </c>
      <c r="I768">
        <v>0.94029850746268595</v>
      </c>
      <c r="J768" s="25">
        <f t="shared" si="34"/>
        <v>0.94029850746268662</v>
      </c>
      <c r="K768">
        <v>3139</v>
      </c>
      <c r="L768">
        <v>24</v>
      </c>
      <c r="M768">
        <v>7.5877331647170396E-3</v>
      </c>
      <c r="N768" s="25">
        <f t="shared" si="33"/>
        <v>7.5877331647170587E-3</v>
      </c>
      <c r="O768">
        <v>0.99241226683528205</v>
      </c>
      <c r="P768" s="25">
        <f t="shared" si="35"/>
        <v>0.99241226683528294</v>
      </c>
      <c r="Q768">
        <v>20</v>
      </c>
      <c r="R768" t="s">
        <v>124</v>
      </c>
      <c r="S768" t="s">
        <v>124</v>
      </c>
      <c r="T768" t="s">
        <v>124</v>
      </c>
      <c r="U768" t="s">
        <v>124</v>
      </c>
      <c r="X768" s="19">
        <f>J768</f>
        <v>0.94029850746268662</v>
      </c>
      <c r="Y768" s="19">
        <f>N768</f>
        <v>7.5877331647170587E-3</v>
      </c>
      <c r="Z768" s="26">
        <f>(L768+Q768)/(L768+Q768+H768+K768)</f>
        <v>1.2578616352201259E-2</v>
      </c>
    </row>
    <row r="769" spans="1:26" x14ac:dyDescent="0.35">
      <c r="A769" t="s">
        <v>122</v>
      </c>
      <c r="B769" t="s">
        <v>122</v>
      </c>
      <c r="C769" t="s">
        <v>123</v>
      </c>
      <c r="D769" t="s">
        <v>100</v>
      </c>
      <c r="E769" t="s">
        <v>99</v>
      </c>
      <c r="F769" t="s">
        <v>12</v>
      </c>
      <c r="G769">
        <v>1</v>
      </c>
      <c r="H769">
        <v>315</v>
      </c>
      <c r="I769">
        <v>0.94029850746268595</v>
      </c>
      <c r="J769" s="25">
        <f t="shared" si="34"/>
        <v>0.94029850746268662</v>
      </c>
      <c r="K769">
        <v>3139</v>
      </c>
      <c r="L769">
        <v>24</v>
      </c>
      <c r="M769">
        <v>7.5877331647170396E-3</v>
      </c>
      <c r="N769" s="25">
        <f t="shared" si="33"/>
        <v>7.5877331647170587E-3</v>
      </c>
      <c r="O769">
        <v>0.99241226683528205</v>
      </c>
      <c r="P769" s="25">
        <f t="shared" si="35"/>
        <v>0.99241226683528294</v>
      </c>
      <c r="Q769">
        <v>20</v>
      </c>
      <c r="R769" t="s">
        <v>124</v>
      </c>
      <c r="S769" t="s">
        <v>124</v>
      </c>
      <c r="T769" t="s">
        <v>124</v>
      </c>
      <c r="U769" t="s">
        <v>124</v>
      </c>
      <c r="X769" s="19">
        <f>J769</f>
        <v>0.94029850746268662</v>
      </c>
      <c r="Y769" s="19">
        <f>N769</f>
        <v>7.5877331647170587E-3</v>
      </c>
      <c r="Z769" s="26">
        <f>(L769+Q769)/(L769+Q769+H769+K769)</f>
        <v>1.2578616352201259E-2</v>
      </c>
    </row>
    <row r="770" spans="1:26" x14ac:dyDescent="0.35">
      <c r="A770" t="s">
        <v>122</v>
      </c>
      <c r="B770" t="s">
        <v>122</v>
      </c>
      <c r="C770" t="s">
        <v>123</v>
      </c>
      <c r="D770" t="s">
        <v>100</v>
      </c>
      <c r="E770" t="s">
        <v>99</v>
      </c>
      <c r="F770" t="s">
        <v>12</v>
      </c>
      <c r="G770">
        <v>1</v>
      </c>
      <c r="H770">
        <v>315</v>
      </c>
      <c r="I770">
        <v>0.94029850746268595</v>
      </c>
      <c r="J770" s="25">
        <f t="shared" si="34"/>
        <v>0.94029850746268662</v>
      </c>
      <c r="K770">
        <v>3139</v>
      </c>
      <c r="L770">
        <v>24</v>
      </c>
      <c r="M770">
        <v>7.5877331647170396E-3</v>
      </c>
      <c r="N770" s="25">
        <f t="shared" ref="N770:N833" si="36">1-P770</f>
        <v>7.5877331647170587E-3</v>
      </c>
      <c r="O770">
        <v>0.99241226683528205</v>
      </c>
      <c r="P770" s="25">
        <f t="shared" si="35"/>
        <v>0.99241226683528294</v>
      </c>
      <c r="Q770">
        <v>20</v>
      </c>
      <c r="R770" t="s">
        <v>124</v>
      </c>
      <c r="S770" t="s">
        <v>124</v>
      </c>
      <c r="T770" t="s">
        <v>124</v>
      </c>
      <c r="U770" t="s">
        <v>124</v>
      </c>
      <c r="X770" s="19">
        <f>J770</f>
        <v>0.94029850746268662</v>
      </c>
      <c r="Y770" s="19">
        <f>N770</f>
        <v>7.5877331647170587E-3</v>
      </c>
      <c r="Z770" s="26">
        <f>(L770+Q770)/(L770+Q770+H770+K770)</f>
        <v>1.2578616352201259E-2</v>
      </c>
    </row>
    <row r="771" spans="1:26" x14ac:dyDescent="0.35">
      <c r="A771" t="s">
        <v>122</v>
      </c>
      <c r="B771" t="s">
        <v>122</v>
      </c>
      <c r="C771" t="s">
        <v>123</v>
      </c>
      <c r="D771" t="s">
        <v>100</v>
      </c>
      <c r="E771" t="s">
        <v>99</v>
      </c>
      <c r="F771" t="s">
        <v>12</v>
      </c>
      <c r="G771">
        <v>1</v>
      </c>
      <c r="H771">
        <v>315</v>
      </c>
      <c r="I771">
        <v>0.94029850746268595</v>
      </c>
      <c r="J771" s="25">
        <f t="shared" ref="J771:J834" si="37">H771/(H771+Q771)</f>
        <v>0.94029850746268662</v>
      </c>
      <c r="K771">
        <v>3139</v>
      </c>
      <c r="L771">
        <v>24</v>
      </c>
      <c r="M771">
        <v>7.5877331647170396E-3</v>
      </c>
      <c r="N771" s="25">
        <f t="shared" si="36"/>
        <v>7.5877331647170587E-3</v>
      </c>
      <c r="O771">
        <v>0.99241226683528205</v>
      </c>
      <c r="P771" s="25">
        <f t="shared" ref="P771:P834" si="38">K771/(K771+L771)</f>
        <v>0.99241226683528294</v>
      </c>
      <c r="Q771">
        <v>20</v>
      </c>
      <c r="R771" t="s">
        <v>124</v>
      </c>
      <c r="S771" t="s">
        <v>124</v>
      </c>
      <c r="T771" t="s">
        <v>124</v>
      </c>
      <c r="U771" t="s">
        <v>124</v>
      </c>
      <c r="X771" s="19">
        <f>J771</f>
        <v>0.94029850746268662</v>
      </c>
      <c r="Y771" s="19">
        <f>N771</f>
        <v>7.5877331647170587E-3</v>
      </c>
      <c r="Z771" s="26">
        <f>(L771+Q771)/(L771+Q771+H771+K771)</f>
        <v>1.2578616352201259E-2</v>
      </c>
    </row>
    <row r="772" spans="1:26" x14ac:dyDescent="0.35">
      <c r="A772" t="s">
        <v>122</v>
      </c>
      <c r="B772" t="s">
        <v>122</v>
      </c>
      <c r="C772" t="s">
        <v>123</v>
      </c>
      <c r="D772" t="s">
        <v>100</v>
      </c>
      <c r="E772" t="s">
        <v>99</v>
      </c>
      <c r="F772" t="s">
        <v>12</v>
      </c>
      <c r="G772">
        <v>1</v>
      </c>
      <c r="H772">
        <v>315</v>
      </c>
      <c r="I772">
        <v>0.94029850746268595</v>
      </c>
      <c r="J772" s="25">
        <f t="shared" si="37"/>
        <v>0.94029850746268662</v>
      </c>
      <c r="K772">
        <v>3139</v>
      </c>
      <c r="L772">
        <v>24</v>
      </c>
      <c r="M772">
        <v>7.5877331647170396E-3</v>
      </c>
      <c r="N772" s="25">
        <f t="shared" si="36"/>
        <v>7.5877331647170587E-3</v>
      </c>
      <c r="O772">
        <v>0.99241226683528205</v>
      </c>
      <c r="P772" s="25">
        <f t="shared" si="38"/>
        <v>0.99241226683528294</v>
      </c>
      <c r="Q772">
        <v>20</v>
      </c>
      <c r="R772" t="s">
        <v>124</v>
      </c>
      <c r="S772" t="s">
        <v>124</v>
      </c>
      <c r="T772" t="s">
        <v>124</v>
      </c>
      <c r="U772" t="s">
        <v>124</v>
      </c>
      <c r="X772" s="19">
        <f>J772</f>
        <v>0.94029850746268662</v>
      </c>
      <c r="Y772" s="19">
        <f>N772</f>
        <v>7.5877331647170587E-3</v>
      </c>
      <c r="Z772" s="26">
        <f>(L772+Q772)/(L772+Q772+H772+K772)</f>
        <v>1.2578616352201259E-2</v>
      </c>
    </row>
    <row r="773" spans="1:26" x14ac:dyDescent="0.35">
      <c r="A773" t="s">
        <v>122</v>
      </c>
      <c r="B773" t="s">
        <v>122</v>
      </c>
      <c r="C773" t="s">
        <v>123</v>
      </c>
      <c r="D773" t="s">
        <v>100</v>
      </c>
      <c r="E773" t="s">
        <v>99</v>
      </c>
      <c r="F773" t="s">
        <v>12</v>
      </c>
      <c r="G773">
        <v>1</v>
      </c>
      <c r="H773">
        <v>315</v>
      </c>
      <c r="I773">
        <v>0.94029850746268595</v>
      </c>
      <c r="J773" s="25">
        <f t="shared" si="37"/>
        <v>0.94029850746268662</v>
      </c>
      <c r="K773">
        <v>3139</v>
      </c>
      <c r="L773">
        <v>24</v>
      </c>
      <c r="M773">
        <v>7.5877331647170396E-3</v>
      </c>
      <c r="N773" s="25">
        <f t="shared" si="36"/>
        <v>7.5877331647170587E-3</v>
      </c>
      <c r="O773">
        <v>0.99241226683528205</v>
      </c>
      <c r="P773" s="25">
        <f t="shared" si="38"/>
        <v>0.99241226683528294</v>
      </c>
      <c r="Q773">
        <v>20</v>
      </c>
      <c r="R773" t="s">
        <v>124</v>
      </c>
      <c r="S773" t="s">
        <v>124</v>
      </c>
      <c r="T773" t="s">
        <v>124</v>
      </c>
      <c r="U773" t="s">
        <v>124</v>
      </c>
      <c r="X773" s="19">
        <f>J773</f>
        <v>0.94029850746268662</v>
      </c>
      <c r="Y773" s="19">
        <f>N773</f>
        <v>7.5877331647170587E-3</v>
      </c>
      <c r="Z773" s="26">
        <f>(L773+Q773)/(L773+Q773+H773+K773)</f>
        <v>1.2578616352201259E-2</v>
      </c>
    </row>
    <row r="774" spans="1:26" x14ac:dyDescent="0.35">
      <c r="A774" t="s">
        <v>122</v>
      </c>
      <c r="B774" t="s">
        <v>122</v>
      </c>
      <c r="C774" t="s">
        <v>123</v>
      </c>
      <c r="D774" t="s">
        <v>100</v>
      </c>
      <c r="E774" t="s">
        <v>99</v>
      </c>
      <c r="F774" t="s">
        <v>12</v>
      </c>
      <c r="G774">
        <v>1</v>
      </c>
      <c r="H774">
        <v>315</v>
      </c>
      <c r="I774">
        <v>0.94029850746268595</v>
      </c>
      <c r="J774" s="25">
        <f t="shared" si="37"/>
        <v>0.94029850746268662</v>
      </c>
      <c r="K774">
        <v>3139</v>
      </c>
      <c r="L774">
        <v>24</v>
      </c>
      <c r="M774">
        <v>7.5877331647170396E-3</v>
      </c>
      <c r="N774" s="25">
        <f t="shared" si="36"/>
        <v>7.5877331647170587E-3</v>
      </c>
      <c r="O774">
        <v>0.99241226683528205</v>
      </c>
      <c r="P774" s="25">
        <f t="shared" si="38"/>
        <v>0.99241226683528294</v>
      </c>
      <c r="Q774">
        <v>20</v>
      </c>
      <c r="R774" t="s">
        <v>124</v>
      </c>
      <c r="S774" t="s">
        <v>124</v>
      </c>
      <c r="T774" t="s">
        <v>124</v>
      </c>
      <c r="U774" t="s">
        <v>124</v>
      </c>
      <c r="X774" s="19">
        <f>J774</f>
        <v>0.94029850746268662</v>
      </c>
      <c r="Y774" s="19">
        <f>N774</f>
        <v>7.5877331647170587E-3</v>
      </c>
      <c r="Z774" s="26">
        <f>(L774+Q774)/(L774+Q774+H774+K774)</f>
        <v>1.2578616352201259E-2</v>
      </c>
    </row>
    <row r="775" spans="1:26" x14ac:dyDescent="0.35">
      <c r="A775" t="s">
        <v>122</v>
      </c>
      <c r="B775" t="s">
        <v>122</v>
      </c>
      <c r="C775" t="s">
        <v>123</v>
      </c>
      <c r="D775" t="s">
        <v>100</v>
      </c>
      <c r="E775" t="s">
        <v>99</v>
      </c>
      <c r="F775" t="s">
        <v>12</v>
      </c>
      <c r="G775">
        <v>1</v>
      </c>
      <c r="H775">
        <v>315</v>
      </c>
      <c r="I775">
        <v>0.94029850746268595</v>
      </c>
      <c r="J775" s="25">
        <f t="shared" si="37"/>
        <v>0.94029850746268662</v>
      </c>
      <c r="K775">
        <v>3139</v>
      </c>
      <c r="L775">
        <v>24</v>
      </c>
      <c r="M775">
        <v>7.5877331647170396E-3</v>
      </c>
      <c r="N775" s="25">
        <f t="shared" si="36"/>
        <v>7.5877331647170587E-3</v>
      </c>
      <c r="O775">
        <v>0.99241226683528205</v>
      </c>
      <c r="P775" s="25">
        <f t="shared" si="38"/>
        <v>0.99241226683528294</v>
      </c>
      <c r="Q775">
        <v>20</v>
      </c>
      <c r="R775" t="s">
        <v>124</v>
      </c>
      <c r="S775" t="s">
        <v>124</v>
      </c>
      <c r="T775" t="s">
        <v>124</v>
      </c>
      <c r="U775" t="s">
        <v>124</v>
      </c>
      <c r="X775" s="19">
        <f>J775</f>
        <v>0.94029850746268662</v>
      </c>
      <c r="Y775" s="19">
        <f>N775</f>
        <v>7.5877331647170587E-3</v>
      </c>
      <c r="Z775" s="26">
        <f>(L775+Q775)/(L775+Q775+H775+K775)</f>
        <v>1.2578616352201259E-2</v>
      </c>
    </row>
    <row r="776" spans="1:26" x14ac:dyDescent="0.35">
      <c r="A776" t="s">
        <v>122</v>
      </c>
      <c r="B776" t="s">
        <v>122</v>
      </c>
      <c r="C776" t="s">
        <v>123</v>
      </c>
      <c r="D776" t="s">
        <v>100</v>
      </c>
      <c r="E776" t="s">
        <v>99</v>
      </c>
      <c r="F776" t="s">
        <v>12</v>
      </c>
      <c r="G776">
        <v>1</v>
      </c>
      <c r="H776">
        <v>315</v>
      </c>
      <c r="I776">
        <v>0.94029850746268595</v>
      </c>
      <c r="J776" s="25">
        <f t="shared" si="37"/>
        <v>0.94029850746268662</v>
      </c>
      <c r="K776">
        <v>3139</v>
      </c>
      <c r="L776">
        <v>24</v>
      </c>
      <c r="M776">
        <v>7.5877331647170396E-3</v>
      </c>
      <c r="N776" s="25">
        <f t="shared" si="36"/>
        <v>7.5877331647170587E-3</v>
      </c>
      <c r="O776">
        <v>0.99241226683528205</v>
      </c>
      <c r="P776" s="25">
        <f t="shared" si="38"/>
        <v>0.99241226683528294</v>
      </c>
      <c r="Q776">
        <v>20</v>
      </c>
      <c r="R776" t="s">
        <v>124</v>
      </c>
      <c r="S776" t="s">
        <v>124</v>
      </c>
      <c r="T776" t="s">
        <v>124</v>
      </c>
      <c r="U776" t="s">
        <v>124</v>
      </c>
      <c r="X776" s="19">
        <f>J776</f>
        <v>0.94029850746268662</v>
      </c>
      <c r="Y776" s="19">
        <f>N776</f>
        <v>7.5877331647170587E-3</v>
      </c>
      <c r="Z776" s="26">
        <f>(L776+Q776)/(L776+Q776+H776+K776)</f>
        <v>1.2578616352201259E-2</v>
      </c>
    </row>
    <row r="777" spans="1:26" x14ac:dyDescent="0.35">
      <c r="A777" t="s">
        <v>122</v>
      </c>
      <c r="B777" t="s">
        <v>122</v>
      </c>
      <c r="C777" t="s">
        <v>123</v>
      </c>
      <c r="D777" t="s">
        <v>100</v>
      </c>
      <c r="E777" t="s">
        <v>99</v>
      </c>
      <c r="F777" t="s">
        <v>12</v>
      </c>
      <c r="G777">
        <v>1</v>
      </c>
      <c r="H777">
        <v>315</v>
      </c>
      <c r="I777">
        <v>0.94029850746268595</v>
      </c>
      <c r="J777" s="25">
        <f t="shared" si="37"/>
        <v>0.94029850746268662</v>
      </c>
      <c r="K777">
        <v>3139</v>
      </c>
      <c r="L777">
        <v>24</v>
      </c>
      <c r="M777">
        <v>7.5877331647170396E-3</v>
      </c>
      <c r="N777" s="25">
        <f t="shared" si="36"/>
        <v>7.5877331647170587E-3</v>
      </c>
      <c r="O777">
        <v>0.99241226683528205</v>
      </c>
      <c r="P777" s="25">
        <f t="shared" si="38"/>
        <v>0.99241226683528294</v>
      </c>
      <c r="Q777">
        <v>20</v>
      </c>
      <c r="R777" t="s">
        <v>124</v>
      </c>
      <c r="S777" t="s">
        <v>124</v>
      </c>
      <c r="T777" t="s">
        <v>124</v>
      </c>
      <c r="U777" t="s">
        <v>124</v>
      </c>
      <c r="X777" s="19">
        <f>J777</f>
        <v>0.94029850746268662</v>
      </c>
      <c r="Y777" s="19">
        <f>N777</f>
        <v>7.5877331647170587E-3</v>
      </c>
      <c r="Z777" s="26">
        <f>(L777+Q777)/(L777+Q777+H777+K777)</f>
        <v>1.2578616352201259E-2</v>
      </c>
    </row>
    <row r="778" spans="1:26" x14ac:dyDescent="0.35">
      <c r="A778" t="s">
        <v>122</v>
      </c>
      <c r="B778" t="s">
        <v>122</v>
      </c>
      <c r="C778" t="s">
        <v>123</v>
      </c>
      <c r="D778" t="s">
        <v>100</v>
      </c>
      <c r="E778" t="s">
        <v>99</v>
      </c>
      <c r="F778" t="s">
        <v>12</v>
      </c>
      <c r="G778">
        <v>1</v>
      </c>
      <c r="H778">
        <v>315</v>
      </c>
      <c r="I778">
        <v>0.94029850746268595</v>
      </c>
      <c r="J778" s="25">
        <f t="shared" si="37"/>
        <v>0.94029850746268662</v>
      </c>
      <c r="K778">
        <v>3139</v>
      </c>
      <c r="L778">
        <v>24</v>
      </c>
      <c r="M778">
        <v>7.5877331647170396E-3</v>
      </c>
      <c r="N778" s="25">
        <f t="shared" si="36"/>
        <v>7.5877331647170587E-3</v>
      </c>
      <c r="O778">
        <v>0.99241226683528205</v>
      </c>
      <c r="P778" s="25">
        <f t="shared" si="38"/>
        <v>0.99241226683528294</v>
      </c>
      <c r="Q778">
        <v>20</v>
      </c>
      <c r="R778" t="s">
        <v>124</v>
      </c>
      <c r="S778" t="s">
        <v>124</v>
      </c>
      <c r="T778" t="s">
        <v>124</v>
      </c>
      <c r="U778" t="s">
        <v>124</v>
      </c>
      <c r="X778" s="19">
        <f>J778</f>
        <v>0.94029850746268662</v>
      </c>
      <c r="Y778" s="19">
        <f>N778</f>
        <v>7.5877331647170587E-3</v>
      </c>
      <c r="Z778" s="26">
        <f>(L778+Q778)/(L778+Q778+H778+K778)</f>
        <v>1.2578616352201259E-2</v>
      </c>
    </row>
    <row r="779" spans="1:26" x14ac:dyDescent="0.35">
      <c r="A779" t="s">
        <v>122</v>
      </c>
      <c r="B779" t="s">
        <v>122</v>
      </c>
      <c r="C779" t="s">
        <v>123</v>
      </c>
      <c r="D779" t="s">
        <v>100</v>
      </c>
      <c r="E779" t="s">
        <v>99</v>
      </c>
      <c r="F779" t="s">
        <v>12</v>
      </c>
      <c r="G779">
        <v>1</v>
      </c>
      <c r="H779">
        <v>315</v>
      </c>
      <c r="I779">
        <v>0.94029850746268595</v>
      </c>
      <c r="J779" s="25">
        <f t="shared" si="37"/>
        <v>0.94029850746268662</v>
      </c>
      <c r="K779">
        <v>3139</v>
      </c>
      <c r="L779">
        <v>24</v>
      </c>
      <c r="M779">
        <v>7.5877331647170396E-3</v>
      </c>
      <c r="N779" s="25">
        <f t="shared" si="36"/>
        <v>7.5877331647170587E-3</v>
      </c>
      <c r="O779">
        <v>0.99241226683528205</v>
      </c>
      <c r="P779" s="25">
        <f t="shared" si="38"/>
        <v>0.99241226683528294</v>
      </c>
      <c r="Q779">
        <v>20</v>
      </c>
      <c r="R779" t="s">
        <v>124</v>
      </c>
      <c r="S779" t="s">
        <v>124</v>
      </c>
      <c r="T779" t="s">
        <v>124</v>
      </c>
      <c r="U779" t="s">
        <v>124</v>
      </c>
      <c r="X779" s="19">
        <f>J779</f>
        <v>0.94029850746268662</v>
      </c>
      <c r="Y779" s="19">
        <f>N779</f>
        <v>7.5877331647170587E-3</v>
      </c>
      <c r="Z779" s="26">
        <f>(L779+Q779)/(L779+Q779+H779+K779)</f>
        <v>1.2578616352201259E-2</v>
      </c>
    </row>
    <row r="780" spans="1:26" x14ac:dyDescent="0.35">
      <c r="A780" t="s">
        <v>122</v>
      </c>
      <c r="B780" t="s">
        <v>122</v>
      </c>
      <c r="C780" t="s">
        <v>123</v>
      </c>
      <c r="D780" t="s">
        <v>100</v>
      </c>
      <c r="E780" t="s">
        <v>99</v>
      </c>
      <c r="F780" t="s">
        <v>12</v>
      </c>
      <c r="G780">
        <v>1</v>
      </c>
      <c r="H780">
        <v>315</v>
      </c>
      <c r="I780">
        <v>0.94029850746268595</v>
      </c>
      <c r="J780" s="25">
        <f t="shared" si="37"/>
        <v>0.94029850746268662</v>
      </c>
      <c r="K780">
        <v>3139</v>
      </c>
      <c r="L780">
        <v>24</v>
      </c>
      <c r="M780">
        <v>7.5877331647170396E-3</v>
      </c>
      <c r="N780" s="25">
        <f t="shared" si="36"/>
        <v>7.5877331647170587E-3</v>
      </c>
      <c r="O780">
        <v>0.99241226683528205</v>
      </c>
      <c r="P780" s="25">
        <f t="shared" si="38"/>
        <v>0.99241226683528294</v>
      </c>
      <c r="Q780">
        <v>20</v>
      </c>
      <c r="R780" t="s">
        <v>124</v>
      </c>
      <c r="S780" t="s">
        <v>124</v>
      </c>
      <c r="T780" t="s">
        <v>124</v>
      </c>
      <c r="U780" t="s">
        <v>124</v>
      </c>
      <c r="X780" s="19">
        <f>J780</f>
        <v>0.94029850746268662</v>
      </c>
      <c r="Y780" s="19">
        <f>N780</f>
        <v>7.5877331647170587E-3</v>
      </c>
      <c r="Z780" s="26">
        <f>(L780+Q780)/(L780+Q780+H780+K780)</f>
        <v>1.2578616352201259E-2</v>
      </c>
    </row>
    <row r="781" spans="1:26" x14ac:dyDescent="0.35">
      <c r="A781" t="s">
        <v>122</v>
      </c>
      <c r="B781" t="s">
        <v>122</v>
      </c>
      <c r="C781" t="s">
        <v>123</v>
      </c>
      <c r="D781" t="s">
        <v>100</v>
      </c>
      <c r="E781" t="s">
        <v>99</v>
      </c>
      <c r="F781" t="s">
        <v>12</v>
      </c>
      <c r="G781">
        <v>1</v>
      </c>
      <c r="H781">
        <v>315</v>
      </c>
      <c r="I781">
        <v>0.94029850746268595</v>
      </c>
      <c r="J781" s="25">
        <f t="shared" si="37"/>
        <v>0.94029850746268662</v>
      </c>
      <c r="K781">
        <v>3139</v>
      </c>
      <c r="L781">
        <v>24</v>
      </c>
      <c r="M781">
        <v>7.5877331647170396E-3</v>
      </c>
      <c r="N781" s="25">
        <f t="shared" si="36"/>
        <v>7.5877331647170587E-3</v>
      </c>
      <c r="O781">
        <v>0.99241226683528205</v>
      </c>
      <c r="P781" s="25">
        <f t="shared" si="38"/>
        <v>0.99241226683528294</v>
      </c>
      <c r="Q781">
        <v>20</v>
      </c>
      <c r="R781" t="s">
        <v>124</v>
      </c>
      <c r="S781" t="s">
        <v>124</v>
      </c>
      <c r="T781" t="s">
        <v>124</v>
      </c>
      <c r="U781" t="s">
        <v>124</v>
      </c>
      <c r="X781" s="19">
        <f>J781</f>
        <v>0.94029850746268662</v>
      </c>
      <c r="Y781" s="19">
        <f>N781</f>
        <v>7.5877331647170587E-3</v>
      </c>
      <c r="Z781" s="26">
        <f>(L781+Q781)/(L781+Q781+H781+K781)</f>
        <v>1.2578616352201259E-2</v>
      </c>
    </row>
    <row r="782" spans="1:26" x14ac:dyDescent="0.35">
      <c r="A782" t="s">
        <v>122</v>
      </c>
      <c r="B782" t="s">
        <v>122</v>
      </c>
      <c r="C782" t="s">
        <v>123</v>
      </c>
      <c r="D782" t="s">
        <v>100</v>
      </c>
      <c r="E782" t="s">
        <v>99</v>
      </c>
      <c r="F782" t="s">
        <v>12</v>
      </c>
      <c r="G782">
        <v>1</v>
      </c>
      <c r="H782">
        <v>315</v>
      </c>
      <c r="I782">
        <v>0.94029850746268595</v>
      </c>
      <c r="J782" s="25">
        <f t="shared" si="37"/>
        <v>0.94029850746268662</v>
      </c>
      <c r="K782">
        <v>3139</v>
      </c>
      <c r="L782">
        <v>24</v>
      </c>
      <c r="M782">
        <v>7.5877331647170396E-3</v>
      </c>
      <c r="N782" s="25">
        <f t="shared" si="36"/>
        <v>7.5877331647170587E-3</v>
      </c>
      <c r="O782">
        <v>0.99241226683528205</v>
      </c>
      <c r="P782" s="25">
        <f t="shared" si="38"/>
        <v>0.99241226683528294</v>
      </c>
      <c r="Q782">
        <v>20</v>
      </c>
      <c r="R782" t="s">
        <v>124</v>
      </c>
      <c r="S782" t="s">
        <v>124</v>
      </c>
      <c r="T782" t="s">
        <v>124</v>
      </c>
      <c r="U782" t="s">
        <v>124</v>
      </c>
      <c r="X782" s="19">
        <f>J782</f>
        <v>0.94029850746268662</v>
      </c>
      <c r="Y782" s="19">
        <f>N782</f>
        <v>7.5877331647170587E-3</v>
      </c>
      <c r="Z782" s="26">
        <f>(L782+Q782)/(L782+Q782+H782+K782)</f>
        <v>1.2578616352201259E-2</v>
      </c>
    </row>
    <row r="783" spans="1:26" x14ac:dyDescent="0.35">
      <c r="A783" t="s">
        <v>122</v>
      </c>
      <c r="B783" t="s">
        <v>122</v>
      </c>
      <c r="C783" t="s">
        <v>123</v>
      </c>
      <c r="D783" t="s">
        <v>100</v>
      </c>
      <c r="E783" t="s">
        <v>99</v>
      </c>
      <c r="F783" t="s">
        <v>12</v>
      </c>
      <c r="G783">
        <v>1</v>
      </c>
      <c r="H783">
        <v>315</v>
      </c>
      <c r="I783">
        <v>0.94029850746268595</v>
      </c>
      <c r="J783" s="25">
        <f t="shared" si="37"/>
        <v>0.94029850746268662</v>
      </c>
      <c r="K783">
        <v>3139</v>
      </c>
      <c r="L783">
        <v>24</v>
      </c>
      <c r="M783">
        <v>7.5877331647170396E-3</v>
      </c>
      <c r="N783" s="25">
        <f t="shared" si="36"/>
        <v>7.5877331647170587E-3</v>
      </c>
      <c r="O783">
        <v>0.99241226683528205</v>
      </c>
      <c r="P783" s="25">
        <f t="shared" si="38"/>
        <v>0.99241226683528294</v>
      </c>
      <c r="Q783">
        <v>20</v>
      </c>
      <c r="R783" t="s">
        <v>124</v>
      </c>
      <c r="S783" t="s">
        <v>124</v>
      </c>
      <c r="T783" t="s">
        <v>124</v>
      </c>
      <c r="U783" t="s">
        <v>124</v>
      </c>
      <c r="X783" s="19">
        <f>J783</f>
        <v>0.94029850746268662</v>
      </c>
      <c r="Y783" s="19">
        <f>N783</f>
        <v>7.5877331647170587E-3</v>
      </c>
      <c r="Z783" s="26">
        <f>(L783+Q783)/(L783+Q783+H783+K783)</f>
        <v>1.2578616352201259E-2</v>
      </c>
    </row>
    <row r="784" spans="1:26" x14ac:dyDescent="0.35">
      <c r="A784" t="s">
        <v>122</v>
      </c>
      <c r="B784" t="s">
        <v>122</v>
      </c>
      <c r="C784" t="s">
        <v>123</v>
      </c>
      <c r="D784" t="s">
        <v>100</v>
      </c>
      <c r="E784" t="s">
        <v>99</v>
      </c>
      <c r="F784" t="s">
        <v>12</v>
      </c>
      <c r="G784">
        <v>1</v>
      </c>
      <c r="H784">
        <v>315</v>
      </c>
      <c r="I784">
        <v>0.94029850746268595</v>
      </c>
      <c r="J784" s="25">
        <f t="shared" si="37"/>
        <v>0.94029850746268662</v>
      </c>
      <c r="K784">
        <v>3139</v>
      </c>
      <c r="L784">
        <v>24</v>
      </c>
      <c r="M784">
        <v>7.5877331647170396E-3</v>
      </c>
      <c r="N784" s="25">
        <f t="shared" si="36"/>
        <v>7.5877331647170587E-3</v>
      </c>
      <c r="O784">
        <v>0.99241226683528205</v>
      </c>
      <c r="P784" s="25">
        <f t="shared" si="38"/>
        <v>0.99241226683528294</v>
      </c>
      <c r="Q784">
        <v>20</v>
      </c>
      <c r="R784" t="s">
        <v>124</v>
      </c>
      <c r="S784" t="s">
        <v>124</v>
      </c>
      <c r="T784" t="s">
        <v>124</v>
      </c>
      <c r="U784" t="s">
        <v>124</v>
      </c>
      <c r="X784" s="19">
        <f>J784</f>
        <v>0.94029850746268662</v>
      </c>
      <c r="Y784" s="19">
        <f>N784</f>
        <v>7.5877331647170587E-3</v>
      </c>
      <c r="Z784" s="26">
        <f>(L784+Q784)/(L784+Q784+H784+K784)</f>
        <v>1.2578616352201259E-2</v>
      </c>
    </row>
    <row r="785" spans="1:26" x14ac:dyDescent="0.35">
      <c r="A785" t="s">
        <v>122</v>
      </c>
      <c r="B785" t="s">
        <v>122</v>
      </c>
      <c r="C785" t="s">
        <v>123</v>
      </c>
      <c r="D785" t="s">
        <v>100</v>
      </c>
      <c r="E785" t="s">
        <v>99</v>
      </c>
      <c r="F785" t="s">
        <v>12</v>
      </c>
      <c r="G785">
        <v>1</v>
      </c>
      <c r="H785">
        <v>315</v>
      </c>
      <c r="I785">
        <v>0.94029850746268595</v>
      </c>
      <c r="J785" s="25">
        <f t="shared" si="37"/>
        <v>0.94029850746268662</v>
      </c>
      <c r="K785">
        <v>3139</v>
      </c>
      <c r="L785">
        <v>24</v>
      </c>
      <c r="M785">
        <v>7.5877331647170396E-3</v>
      </c>
      <c r="N785" s="25">
        <f t="shared" si="36"/>
        <v>7.5877331647170587E-3</v>
      </c>
      <c r="O785">
        <v>0.99241226683528205</v>
      </c>
      <c r="P785" s="25">
        <f t="shared" si="38"/>
        <v>0.99241226683528294</v>
      </c>
      <c r="Q785">
        <v>20</v>
      </c>
      <c r="R785" t="s">
        <v>124</v>
      </c>
      <c r="S785" t="s">
        <v>124</v>
      </c>
      <c r="T785" t="s">
        <v>124</v>
      </c>
      <c r="U785" t="s">
        <v>124</v>
      </c>
      <c r="X785" s="19">
        <f>J785</f>
        <v>0.94029850746268662</v>
      </c>
      <c r="Y785" s="19">
        <f>N785</f>
        <v>7.5877331647170587E-3</v>
      </c>
      <c r="Z785" s="26">
        <f>(L785+Q785)/(L785+Q785+H785+K785)</f>
        <v>1.2578616352201259E-2</v>
      </c>
    </row>
    <row r="786" spans="1:26" x14ac:dyDescent="0.35">
      <c r="A786" t="s">
        <v>122</v>
      </c>
      <c r="B786" t="s">
        <v>122</v>
      </c>
      <c r="C786" t="s">
        <v>123</v>
      </c>
      <c r="D786" t="s">
        <v>100</v>
      </c>
      <c r="E786" t="s">
        <v>99</v>
      </c>
      <c r="F786" t="s">
        <v>12</v>
      </c>
      <c r="G786">
        <v>1</v>
      </c>
      <c r="H786">
        <v>315</v>
      </c>
      <c r="I786">
        <v>0.94029850746268595</v>
      </c>
      <c r="J786" s="25">
        <f t="shared" si="37"/>
        <v>0.94029850746268662</v>
      </c>
      <c r="K786">
        <v>3139</v>
      </c>
      <c r="L786">
        <v>24</v>
      </c>
      <c r="M786">
        <v>7.5877331647170396E-3</v>
      </c>
      <c r="N786" s="25">
        <f t="shared" si="36"/>
        <v>7.5877331647170587E-3</v>
      </c>
      <c r="O786">
        <v>0.99241226683528205</v>
      </c>
      <c r="P786" s="25">
        <f t="shared" si="38"/>
        <v>0.99241226683528294</v>
      </c>
      <c r="Q786">
        <v>20</v>
      </c>
      <c r="R786" t="s">
        <v>124</v>
      </c>
      <c r="S786" t="s">
        <v>124</v>
      </c>
      <c r="T786" t="s">
        <v>124</v>
      </c>
      <c r="U786" t="s">
        <v>124</v>
      </c>
      <c r="X786" s="19">
        <f>J786</f>
        <v>0.94029850746268662</v>
      </c>
      <c r="Y786" s="19">
        <f>N786</f>
        <v>7.5877331647170587E-3</v>
      </c>
      <c r="Z786" s="26">
        <f>(L786+Q786)/(L786+Q786+H786+K786)</f>
        <v>1.2578616352201259E-2</v>
      </c>
    </row>
    <row r="787" spans="1:26" x14ac:dyDescent="0.35">
      <c r="A787" t="s">
        <v>122</v>
      </c>
      <c r="B787" t="s">
        <v>122</v>
      </c>
      <c r="C787" t="s">
        <v>123</v>
      </c>
      <c r="D787" t="s">
        <v>100</v>
      </c>
      <c r="E787" t="s">
        <v>99</v>
      </c>
      <c r="F787" t="s">
        <v>12</v>
      </c>
      <c r="G787">
        <v>1</v>
      </c>
      <c r="H787">
        <v>315</v>
      </c>
      <c r="I787">
        <v>0.94029850746268595</v>
      </c>
      <c r="J787" s="25">
        <f t="shared" si="37"/>
        <v>0.94029850746268662</v>
      </c>
      <c r="K787">
        <v>3139</v>
      </c>
      <c r="L787">
        <v>24</v>
      </c>
      <c r="M787">
        <v>7.5877331647170396E-3</v>
      </c>
      <c r="N787" s="25">
        <f t="shared" si="36"/>
        <v>7.5877331647170587E-3</v>
      </c>
      <c r="O787">
        <v>0.99241226683528205</v>
      </c>
      <c r="P787" s="25">
        <f t="shared" si="38"/>
        <v>0.99241226683528294</v>
      </c>
      <c r="Q787">
        <v>20</v>
      </c>
      <c r="R787" t="s">
        <v>124</v>
      </c>
      <c r="S787" t="s">
        <v>124</v>
      </c>
      <c r="T787" t="s">
        <v>124</v>
      </c>
      <c r="U787" t="s">
        <v>124</v>
      </c>
      <c r="X787" s="19">
        <f>J787</f>
        <v>0.94029850746268662</v>
      </c>
      <c r="Y787" s="19">
        <f>N787</f>
        <v>7.5877331647170587E-3</v>
      </c>
      <c r="Z787" s="26">
        <f>(L787+Q787)/(L787+Q787+H787+K787)</f>
        <v>1.2578616352201259E-2</v>
      </c>
    </row>
    <row r="788" spans="1:26" x14ac:dyDescent="0.35">
      <c r="A788" t="s">
        <v>122</v>
      </c>
      <c r="B788" t="s">
        <v>122</v>
      </c>
      <c r="C788" t="s">
        <v>123</v>
      </c>
      <c r="D788" t="s">
        <v>100</v>
      </c>
      <c r="E788" t="s">
        <v>99</v>
      </c>
      <c r="F788" t="s">
        <v>12</v>
      </c>
      <c r="G788">
        <v>1</v>
      </c>
      <c r="H788">
        <v>315</v>
      </c>
      <c r="I788">
        <v>0.94029850746268595</v>
      </c>
      <c r="J788" s="25">
        <f t="shared" si="37"/>
        <v>0.94029850746268662</v>
      </c>
      <c r="K788">
        <v>3139</v>
      </c>
      <c r="L788">
        <v>24</v>
      </c>
      <c r="M788">
        <v>7.5877331647170396E-3</v>
      </c>
      <c r="N788" s="25">
        <f t="shared" si="36"/>
        <v>7.5877331647170587E-3</v>
      </c>
      <c r="O788">
        <v>0.99241226683528205</v>
      </c>
      <c r="P788" s="25">
        <f t="shared" si="38"/>
        <v>0.99241226683528294</v>
      </c>
      <c r="Q788">
        <v>20</v>
      </c>
      <c r="R788" t="s">
        <v>124</v>
      </c>
      <c r="S788" t="s">
        <v>124</v>
      </c>
      <c r="T788" t="s">
        <v>124</v>
      </c>
      <c r="U788" t="s">
        <v>124</v>
      </c>
      <c r="X788" s="19">
        <f>J788</f>
        <v>0.94029850746268662</v>
      </c>
      <c r="Y788" s="19">
        <f>N788</f>
        <v>7.5877331647170587E-3</v>
      </c>
      <c r="Z788" s="26">
        <f>(L788+Q788)/(L788+Q788+H788+K788)</f>
        <v>1.2578616352201259E-2</v>
      </c>
    </row>
    <row r="789" spans="1:26" x14ac:dyDescent="0.35">
      <c r="A789" t="s">
        <v>122</v>
      </c>
      <c r="B789" t="s">
        <v>122</v>
      </c>
      <c r="C789" t="s">
        <v>123</v>
      </c>
      <c r="D789" t="s">
        <v>100</v>
      </c>
      <c r="E789" t="s">
        <v>99</v>
      </c>
      <c r="F789" t="s">
        <v>12</v>
      </c>
      <c r="G789">
        <v>1</v>
      </c>
      <c r="H789">
        <v>315</v>
      </c>
      <c r="I789">
        <v>0.94029850746268595</v>
      </c>
      <c r="J789" s="25">
        <f t="shared" si="37"/>
        <v>0.94029850746268662</v>
      </c>
      <c r="K789">
        <v>3139</v>
      </c>
      <c r="L789">
        <v>24</v>
      </c>
      <c r="M789">
        <v>7.5877331647170396E-3</v>
      </c>
      <c r="N789" s="25">
        <f t="shared" si="36"/>
        <v>7.5877331647170587E-3</v>
      </c>
      <c r="O789">
        <v>0.99241226683528205</v>
      </c>
      <c r="P789" s="25">
        <f t="shared" si="38"/>
        <v>0.99241226683528294</v>
      </c>
      <c r="Q789">
        <v>20</v>
      </c>
      <c r="R789" t="s">
        <v>124</v>
      </c>
      <c r="S789" t="s">
        <v>124</v>
      </c>
      <c r="T789" t="s">
        <v>124</v>
      </c>
      <c r="U789" t="s">
        <v>124</v>
      </c>
      <c r="X789" s="19">
        <f>J789</f>
        <v>0.94029850746268662</v>
      </c>
      <c r="Y789" s="19">
        <f>N789</f>
        <v>7.5877331647170587E-3</v>
      </c>
      <c r="Z789" s="26">
        <f>(L789+Q789)/(L789+Q789+H789+K789)</f>
        <v>1.2578616352201259E-2</v>
      </c>
    </row>
    <row r="790" spans="1:26" x14ac:dyDescent="0.35">
      <c r="A790" t="s">
        <v>122</v>
      </c>
      <c r="B790" t="s">
        <v>122</v>
      </c>
      <c r="C790" t="s">
        <v>123</v>
      </c>
      <c r="D790" t="s">
        <v>100</v>
      </c>
      <c r="E790" t="s">
        <v>99</v>
      </c>
      <c r="F790" t="s">
        <v>12</v>
      </c>
      <c r="G790">
        <v>1</v>
      </c>
      <c r="H790">
        <v>315</v>
      </c>
      <c r="I790">
        <v>0.94029850746268595</v>
      </c>
      <c r="J790" s="25">
        <f t="shared" si="37"/>
        <v>0.94029850746268662</v>
      </c>
      <c r="K790">
        <v>3139</v>
      </c>
      <c r="L790">
        <v>24</v>
      </c>
      <c r="M790">
        <v>7.5877331647170396E-3</v>
      </c>
      <c r="N790" s="25">
        <f t="shared" si="36"/>
        <v>7.5877331647170587E-3</v>
      </c>
      <c r="O790">
        <v>0.99241226683528205</v>
      </c>
      <c r="P790" s="25">
        <f t="shared" si="38"/>
        <v>0.99241226683528294</v>
      </c>
      <c r="Q790">
        <v>20</v>
      </c>
      <c r="R790" t="s">
        <v>124</v>
      </c>
      <c r="S790" t="s">
        <v>124</v>
      </c>
      <c r="T790" t="s">
        <v>124</v>
      </c>
      <c r="U790" t="s">
        <v>124</v>
      </c>
      <c r="X790" s="19">
        <f>J790</f>
        <v>0.94029850746268662</v>
      </c>
      <c r="Y790" s="19">
        <f>N790</f>
        <v>7.5877331647170587E-3</v>
      </c>
      <c r="Z790" s="26">
        <f>(L790+Q790)/(L790+Q790+H790+K790)</f>
        <v>1.2578616352201259E-2</v>
      </c>
    </row>
    <row r="791" spans="1:26" x14ac:dyDescent="0.35">
      <c r="A791" t="s">
        <v>122</v>
      </c>
      <c r="B791" t="s">
        <v>122</v>
      </c>
      <c r="C791" t="s">
        <v>123</v>
      </c>
      <c r="D791" t="s">
        <v>100</v>
      </c>
      <c r="E791" t="s">
        <v>99</v>
      </c>
      <c r="F791" t="s">
        <v>12</v>
      </c>
      <c r="G791">
        <v>1</v>
      </c>
      <c r="H791">
        <v>315</v>
      </c>
      <c r="I791">
        <v>0.94029850746268595</v>
      </c>
      <c r="J791" s="25">
        <f t="shared" si="37"/>
        <v>0.94029850746268662</v>
      </c>
      <c r="K791">
        <v>3139</v>
      </c>
      <c r="L791">
        <v>24</v>
      </c>
      <c r="M791">
        <v>7.5877331647170396E-3</v>
      </c>
      <c r="N791" s="25">
        <f t="shared" si="36"/>
        <v>7.5877331647170587E-3</v>
      </c>
      <c r="O791">
        <v>0.99241226683528205</v>
      </c>
      <c r="P791" s="25">
        <f t="shared" si="38"/>
        <v>0.99241226683528294</v>
      </c>
      <c r="Q791">
        <v>20</v>
      </c>
      <c r="R791" t="s">
        <v>124</v>
      </c>
      <c r="S791" t="s">
        <v>124</v>
      </c>
      <c r="T791" t="s">
        <v>124</v>
      </c>
      <c r="U791" t="s">
        <v>124</v>
      </c>
      <c r="X791" s="19">
        <f>J791</f>
        <v>0.94029850746268662</v>
      </c>
      <c r="Y791" s="19">
        <f>N791</f>
        <v>7.5877331647170587E-3</v>
      </c>
      <c r="Z791" s="26">
        <f>(L791+Q791)/(L791+Q791+H791+K791)</f>
        <v>1.2578616352201259E-2</v>
      </c>
    </row>
    <row r="792" spans="1:26" x14ac:dyDescent="0.35">
      <c r="A792" t="s">
        <v>122</v>
      </c>
      <c r="B792" t="s">
        <v>122</v>
      </c>
      <c r="C792" t="s">
        <v>123</v>
      </c>
      <c r="D792" t="s">
        <v>100</v>
      </c>
      <c r="E792" t="s">
        <v>99</v>
      </c>
      <c r="F792" t="s">
        <v>12</v>
      </c>
      <c r="G792">
        <v>1</v>
      </c>
      <c r="H792">
        <v>315</v>
      </c>
      <c r="I792">
        <v>0.94029850746268595</v>
      </c>
      <c r="J792" s="25">
        <f t="shared" si="37"/>
        <v>0.94029850746268662</v>
      </c>
      <c r="K792">
        <v>3139</v>
      </c>
      <c r="L792">
        <v>24</v>
      </c>
      <c r="M792">
        <v>7.5877331647170396E-3</v>
      </c>
      <c r="N792" s="25">
        <f t="shared" si="36"/>
        <v>7.5877331647170587E-3</v>
      </c>
      <c r="O792">
        <v>0.99241226683528205</v>
      </c>
      <c r="P792" s="25">
        <f t="shared" si="38"/>
        <v>0.99241226683528294</v>
      </c>
      <c r="Q792">
        <v>20</v>
      </c>
      <c r="R792" t="s">
        <v>124</v>
      </c>
      <c r="S792" t="s">
        <v>124</v>
      </c>
      <c r="T792" t="s">
        <v>124</v>
      </c>
      <c r="U792" t="s">
        <v>124</v>
      </c>
      <c r="X792" s="19">
        <f>J792</f>
        <v>0.94029850746268662</v>
      </c>
      <c r="Y792" s="19">
        <f>N792</f>
        <v>7.5877331647170587E-3</v>
      </c>
      <c r="Z792" s="26">
        <f>(L792+Q792)/(L792+Q792+H792+K792)</f>
        <v>1.2578616352201259E-2</v>
      </c>
    </row>
    <row r="793" spans="1:26" x14ac:dyDescent="0.35">
      <c r="A793" t="s">
        <v>122</v>
      </c>
      <c r="B793" t="s">
        <v>122</v>
      </c>
      <c r="C793" t="s">
        <v>123</v>
      </c>
      <c r="D793" t="s">
        <v>100</v>
      </c>
      <c r="E793" t="s">
        <v>99</v>
      </c>
      <c r="F793" t="s">
        <v>12</v>
      </c>
      <c r="G793">
        <v>1</v>
      </c>
      <c r="H793">
        <v>315</v>
      </c>
      <c r="I793">
        <v>0.94029850746268595</v>
      </c>
      <c r="J793" s="25">
        <f t="shared" si="37"/>
        <v>0.94029850746268662</v>
      </c>
      <c r="K793">
        <v>3139</v>
      </c>
      <c r="L793">
        <v>24</v>
      </c>
      <c r="M793">
        <v>7.5877331647170396E-3</v>
      </c>
      <c r="N793" s="25">
        <f t="shared" si="36"/>
        <v>7.5877331647170587E-3</v>
      </c>
      <c r="O793">
        <v>0.99241226683528205</v>
      </c>
      <c r="P793" s="25">
        <f t="shared" si="38"/>
        <v>0.99241226683528294</v>
      </c>
      <c r="Q793">
        <v>20</v>
      </c>
      <c r="R793" t="s">
        <v>124</v>
      </c>
      <c r="S793" t="s">
        <v>124</v>
      </c>
      <c r="T793" t="s">
        <v>124</v>
      </c>
      <c r="U793" t="s">
        <v>124</v>
      </c>
      <c r="X793" s="19">
        <f>J793</f>
        <v>0.94029850746268662</v>
      </c>
      <c r="Y793" s="19">
        <f>N793</f>
        <v>7.5877331647170587E-3</v>
      </c>
      <c r="Z793" s="26">
        <f>(L793+Q793)/(L793+Q793+H793+K793)</f>
        <v>1.2578616352201259E-2</v>
      </c>
    </row>
    <row r="794" spans="1:26" x14ac:dyDescent="0.35">
      <c r="A794" t="s">
        <v>122</v>
      </c>
      <c r="B794" t="s">
        <v>122</v>
      </c>
      <c r="C794" t="s">
        <v>123</v>
      </c>
      <c r="D794" t="s">
        <v>100</v>
      </c>
      <c r="E794" t="s">
        <v>99</v>
      </c>
      <c r="F794" t="s">
        <v>12</v>
      </c>
      <c r="G794">
        <v>1</v>
      </c>
      <c r="H794">
        <v>315</v>
      </c>
      <c r="I794">
        <v>0.94029850746268595</v>
      </c>
      <c r="J794" s="25">
        <f t="shared" si="37"/>
        <v>0.94029850746268662</v>
      </c>
      <c r="K794">
        <v>3139</v>
      </c>
      <c r="L794">
        <v>24</v>
      </c>
      <c r="M794">
        <v>7.5877331647170396E-3</v>
      </c>
      <c r="N794" s="25">
        <f t="shared" si="36"/>
        <v>7.5877331647170587E-3</v>
      </c>
      <c r="O794">
        <v>0.99241226683528205</v>
      </c>
      <c r="P794" s="25">
        <f t="shared" si="38"/>
        <v>0.99241226683528294</v>
      </c>
      <c r="Q794">
        <v>20</v>
      </c>
      <c r="R794" t="s">
        <v>124</v>
      </c>
      <c r="S794" t="s">
        <v>124</v>
      </c>
      <c r="T794" t="s">
        <v>124</v>
      </c>
      <c r="U794" t="s">
        <v>124</v>
      </c>
      <c r="X794" s="19">
        <f>J794</f>
        <v>0.94029850746268662</v>
      </c>
      <c r="Y794" s="19">
        <f>N794</f>
        <v>7.5877331647170587E-3</v>
      </c>
      <c r="Z794" s="26">
        <f>(L794+Q794)/(L794+Q794+H794+K794)</f>
        <v>1.2578616352201259E-2</v>
      </c>
    </row>
    <row r="795" spans="1:26" x14ac:dyDescent="0.35">
      <c r="A795" t="s">
        <v>122</v>
      </c>
      <c r="B795" t="s">
        <v>122</v>
      </c>
      <c r="C795" t="s">
        <v>123</v>
      </c>
      <c r="D795" t="s">
        <v>100</v>
      </c>
      <c r="E795" t="s">
        <v>99</v>
      </c>
      <c r="F795" t="s">
        <v>12</v>
      </c>
      <c r="G795">
        <v>1</v>
      </c>
      <c r="H795">
        <v>315</v>
      </c>
      <c r="I795">
        <v>0.94029850746268595</v>
      </c>
      <c r="J795" s="25">
        <f t="shared" si="37"/>
        <v>0.94029850746268662</v>
      </c>
      <c r="K795">
        <v>3139</v>
      </c>
      <c r="L795">
        <v>24</v>
      </c>
      <c r="M795">
        <v>7.5877331647170396E-3</v>
      </c>
      <c r="N795" s="25">
        <f t="shared" si="36"/>
        <v>7.5877331647170587E-3</v>
      </c>
      <c r="O795">
        <v>0.99241226683528205</v>
      </c>
      <c r="P795" s="25">
        <f t="shared" si="38"/>
        <v>0.99241226683528294</v>
      </c>
      <c r="Q795">
        <v>20</v>
      </c>
      <c r="R795" t="s">
        <v>124</v>
      </c>
      <c r="S795" t="s">
        <v>124</v>
      </c>
      <c r="T795" t="s">
        <v>124</v>
      </c>
      <c r="U795" t="s">
        <v>124</v>
      </c>
      <c r="X795" s="19">
        <f>J795</f>
        <v>0.94029850746268662</v>
      </c>
      <c r="Y795" s="19">
        <f>N795</f>
        <v>7.5877331647170587E-3</v>
      </c>
      <c r="Z795" s="26">
        <f>(L795+Q795)/(L795+Q795+H795+K795)</f>
        <v>1.2578616352201259E-2</v>
      </c>
    </row>
    <row r="796" spans="1:26" x14ac:dyDescent="0.35">
      <c r="A796" t="s">
        <v>122</v>
      </c>
      <c r="B796" t="s">
        <v>122</v>
      </c>
      <c r="C796" t="s">
        <v>123</v>
      </c>
      <c r="D796" t="s">
        <v>100</v>
      </c>
      <c r="E796" t="s">
        <v>99</v>
      </c>
      <c r="F796" t="s">
        <v>12</v>
      </c>
      <c r="G796">
        <v>1</v>
      </c>
      <c r="H796">
        <v>315</v>
      </c>
      <c r="I796">
        <v>0.94029850746268595</v>
      </c>
      <c r="J796" s="25">
        <f t="shared" si="37"/>
        <v>0.94029850746268662</v>
      </c>
      <c r="K796">
        <v>3139</v>
      </c>
      <c r="L796">
        <v>24</v>
      </c>
      <c r="M796">
        <v>7.5877331647170396E-3</v>
      </c>
      <c r="N796" s="25">
        <f t="shared" si="36"/>
        <v>7.5877331647170587E-3</v>
      </c>
      <c r="O796">
        <v>0.99241226683528205</v>
      </c>
      <c r="P796" s="25">
        <f t="shared" si="38"/>
        <v>0.99241226683528294</v>
      </c>
      <c r="Q796">
        <v>20</v>
      </c>
      <c r="R796" t="s">
        <v>124</v>
      </c>
      <c r="S796" t="s">
        <v>124</v>
      </c>
      <c r="T796" t="s">
        <v>124</v>
      </c>
      <c r="U796" t="s">
        <v>124</v>
      </c>
      <c r="X796" s="19">
        <f>J796</f>
        <v>0.94029850746268662</v>
      </c>
      <c r="Y796" s="19">
        <f>N796</f>
        <v>7.5877331647170587E-3</v>
      </c>
      <c r="Z796" s="26">
        <f>(L796+Q796)/(L796+Q796+H796+K796)</f>
        <v>1.2578616352201259E-2</v>
      </c>
    </row>
    <row r="797" spans="1:26" x14ac:dyDescent="0.35">
      <c r="A797" t="s">
        <v>122</v>
      </c>
      <c r="B797" t="s">
        <v>122</v>
      </c>
      <c r="C797" t="s">
        <v>123</v>
      </c>
      <c r="D797" t="s">
        <v>100</v>
      </c>
      <c r="E797" t="s">
        <v>99</v>
      </c>
      <c r="F797" t="s">
        <v>12</v>
      </c>
      <c r="G797">
        <v>1</v>
      </c>
      <c r="H797">
        <v>315</v>
      </c>
      <c r="I797">
        <v>0.94029850746268595</v>
      </c>
      <c r="J797" s="25">
        <f t="shared" si="37"/>
        <v>0.94029850746268662</v>
      </c>
      <c r="K797">
        <v>3139</v>
      </c>
      <c r="L797">
        <v>24</v>
      </c>
      <c r="M797">
        <v>7.5877331647170396E-3</v>
      </c>
      <c r="N797" s="25">
        <f t="shared" si="36"/>
        <v>7.5877331647170587E-3</v>
      </c>
      <c r="O797">
        <v>0.99241226683528205</v>
      </c>
      <c r="P797" s="25">
        <f t="shared" si="38"/>
        <v>0.99241226683528294</v>
      </c>
      <c r="Q797">
        <v>20</v>
      </c>
      <c r="R797" t="s">
        <v>124</v>
      </c>
      <c r="S797" t="s">
        <v>124</v>
      </c>
      <c r="T797" t="s">
        <v>124</v>
      </c>
      <c r="U797" t="s">
        <v>124</v>
      </c>
      <c r="X797" s="19">
        <f>J797</f>
        <v>0.94029850746268662</v>
      </c>
      <c r="Y797" s="19">
        <f>N797</f>
        <v>7.5877331647170587E-3</v>
      </c>
      <c r="Z797" s="26">
        <f>(L797+Q797)/(L797+Q797+H797+K797)</f>
        <v>1.2578616352201259E-2</v>
      </c>
    </row>
    <row r="798" spans="1:26" x14ac:dyDescent="0.35">
      <c r="A798" t="s">
        <v>122</v>
      </c>
      <c r="B798" t="s">
        <v>122</v>
      </c>
      <c r="C798" t="s">
        <v>123</v>
      </c>
      <c r="D798" t="s">
        <v>100</v>
      </c>
      <c r="E798" t="s">
        <v>99</v>
      </c>
      <c r="F798" t="s">
        <v>12</v>
      </c>
      <c r="G798">
        <v>1</v>
      </c>
      <c r="H798">
        <v>315</v>
      </c>
      <c r="I798">
        <v>0.94029850746268595</v>
      </c>
      <c r="J798" s="25">
        <f t="shared" si="37"/>
        <v>0.94029850746268662</v>
      </c>
      <c r="K798">
        <v>3139</v>
      </c>
      <c r="L798">
        <v>24</v>
      </c>
      <c r="M798">
        <v>7.5877331647170396E-3</v>
      </c>
      <c r="N798" s="25">
        <f t="shared" si="36"/>
        <v>7.5877331647170587E-3</v>
      </c>
      <c r="O798">
        <v>0.99241226683528205</v>
      </c>
      <c r="P798" s="25">
        <f t="shared" si="38"/>
        <v>0.99241226683528294</v>
      </c>
      <c r="Q798">
        <v>20</v>
      </c>
      <c r="R798" t="s">
        <v>124</v>
      </c>
      <c r="S798" t="s">
        <v>124</v>
      </c>
      <c r="T798" t="s">
        <v>124</v>
      </c>
      <c r="U798" t="s">
        <v>124</v>
      </c>
      <c r="X798" s="19">
        <f>J798</f>
        <v>0.94029850746268662</v>
      </c>
      <c r="Y798" s="19">
        <f>N798</f>
        <v>7.5877331647170587E-3</v>
      </c>
      <c r="Z798" s="26">
        <f>(L798+Q798)/(L798+Q798+H798+K798)</f>
        <v>1.2578616352201259E-2</v>
      </c>
    </row>
    <row r="799" spans="1:26" x14ac:dyDescent="0.35">
      <c r="A799" t="s">
        <v>122</v>
      </c>
      <c r="B799" t="s">
        <v>122</v>
      </c>
      <c r="C799" t="s">
        <v>123</v>
      </c>
      <c r="D799" t="s">
        <v>100</v>
      </c>
      <c r="E799" t="s">
        <v>99</v>
      </c>
      <c r="F799" t="s">
        <v>12</v>
      </c>
      <c r="G799">
        <v>1</v>
      </c>
      <c r="H799">
        <v>315</v>
      </c>
      <c r="I799">
        <v>0.94029850746268595</v>
      </c>
      <c r="J799" s="25">
        <f t="shared" si="37"/>
        <v>0.94029850746268662</v>
      </c>
      <c r="K799">
        <v>3139</v>
      </c>
      <c r="L799">
        <v>24</v>
      </c>
      <c r="M799">
        <v>7.5877331647170396E-3</v>
      </c>
      <c r="N799" s="25">
        <f t="shared" si="36"/>
        <v>7.5877331647170587E-3</v>
      </c>
      <c r="O799">
        <v>0.99241226683528205</v>
      </c>
      <c r="P799" s="25">
        <f t="shared" si="38"/>
        <v>0.99241226683528294</v>
      </c>
      <c r="Q799">
        <v>20</v>
      </c>
      <c r="R799" t="s">
        <v>124</v>
      </c>
      <c r="S799" t="s">
        <v>124</v>
      </c>
      <c r="T799" t="s">
        <v>124</v>
      </c>
      <c r="U799" t="s">
        <v>124</v>
      </c>
      <c r="X799" s="19">
        <f>J799</f>
        <v>0.94029850746268662</v>
      </c>
      <c r="Y799" s="19">
        <f>N799</f>
        <v>7.5877331647170587E-3</v>
      </c>
      <c r="Z799" s="26">
        <f>(L799+Q799)/(L799+Q799+H799+K799)</f>
        <v>1.2578616352201259E-2</v>
      </c>
    </row>
    <row r="800" spans="1:26" x14ac:dyDescent="0.35">
      <c r="A800" t="s">
        <v>122</v>
      </c>
      <c r="B800" t="s">
        <v>122</v>
      </c>
      <c r="C800" t="s">
        <v>123</v>
      </c>
      <c r="D800" t="s">
        <v>100</v>
      </c>
      <c r="E800" t="s">
        <v>99</v>
      </c>
      <c r="F800" t="s">
        <v>12</v>
      </c>
      <c r="G800">
        <v>1</v>
      </c>
      <c r="H800">
        <v>315</v>
      </c>
      <c r="I800">
        <v>0.94029850746268595</v>
      </c>
      <c r="J800" s="25">
        <f t="shared" si="37"/>
        <v>0.94029850746268662</v>
      </c>
      <c r="K800">
        <v>3139</v>
      </c>
      <c r="L800">
        <v>24</v>
      </c>
      <c r="M800">
        <v>7.5877331647170396E-3</v>
      </c>
      <c r="N800" s="25">
        <f t="shared" si="36"/>
        <v>7.5877331647170587E-3</v>
      </c>
      <c r="O800">
        <v>0.99241226683528205</v>
      </c>
      <c r="P800" s="25">
        <f t="shared" si="38"/>
        <v>0.99241226683528294</v>
      </c>
      <c r="Q800">
        <v>20</v>
      </c>
      <c r="R800" t="s">
        <v>124</v>
      </c>
      <c r="S800" t="s">
        <v>124</v>
      </c>
      <c r="T800" t="s">
        <v>124</v>
      </c>
      <c r="U800" t="s">
        <v>124</v>
      </c>
      <c r="X800" s="19">
        <f>J800</f>
        <v>0.94029850746268662</v>
      </c>
      <c r="Y800" s="19">
        <f>N800</f>
        <v>7.5877331647170587E-3</v>
      </c>
      <c r="Z800" s="26">
        <f>(L800+Q800)/(L800+Q800+H800+K800)</f>
        <v>1.2578616352201259E-2</v>
      </c>
    </row>
    <row r="801" spans="1:26" x14ac:dyDescent="0.35">
      <c r="A801" t="s">
        <v>122</v>
      </c>
      <c r="B801" t="s">
        <v>122</v>
      </c>
      <c r="C801" t="s">
        <v>123</v>
      </c>
      <c r="D801" t="s">
        <v>100</v>
      </c>
      <c r="E801" t="s">
        <v>99</v>
      </c>
      <c r="F801" t="s">
        <v>12</v>
      </c>
      <c r="G801">
        <v>1</v>
      </c>
      <c r="H801">
        <v>315</v>
      </c>
      <c r="I801">
        <v>0.94029850746268595</v>
      </c>
      <c r="J801" s="25">
        <f t="shared" si="37"/>
        <v>0.94029850746268662</v>
      </c>
      <c r="K801">
        <v>3139</v>
      </c>
      <c r="L801">
        <v>24</v>
      </c>
      <c r="M801">
        <v>7.5877331647170396E-3</v>
      </c>
      <c r="N801" s="25">
        <f t="shared" si="36"/>
        <v>7.5877331647170587E-3</v>
      </c>
      <c r="O801">
        <v>0.99241226683528205</v>
      </c>
      <c r="P801" s="25">
        <f t="shared" si="38"/>
        <v>0.99241226683528294</v>
      </c>
      <c r="Q801">
        <v>20</v>
      </c>
      <c r="R801" t="s">
        <v>124</v>
      </c>
      <c r="S801" t="s">
        <v>124</v>
      </c>
      <c r="T801" t="s">
        <v>124</v>
      </c>
      <c r="U801" t="s">
        <v>124</v>
      </c>
      <c r="X801" s="19">
        <f>J801</f>
        <v>0.94029850746268662</v>
      </c>
      <c r="Y801" s="19">
        <f>N801</f>
        <v>7.5877331647170587E-3</v>
      </c>
      <c r="Z801" s="26">
        <f>(L801+Q801)/(L801+Q801+H801+K801)</f>
        <v>1.2578616352201259E-2</v>
      </c>
    </row>
    <row r="802" spans="1:26" x14ac:dyDescent="0.35">
      <c r="A802" t="s">
        <v>122</v>
      </c>
      <c r="B802" t="s">
        <v>122</v>
      </c>
      <c r="C802" t="s">
        <v>123</v>
      </c>
      <c r="D802" t="s">
        <v>100</v>
      </c>
      <c r="E802" t="s">
        <v>99</v>
      </c>
      <c r="F802" t="s">
        <v>12</v>
      </c>
      <c r="G802">
        <v>1</v>
      </c>
      <c r="H802">
        <v>315</v>
      </c>
      <c r="I802">
        <v>0.94029850746268595</v>
      </c>
      <c r="J802" s="25">
        <f t="shared" si="37"/>
        <v>0.94029850746268662</v>
      </c>
      <c r="K802">
        <v>3139</v>
      </c>
      <c r="L802">
        <v>24</v>
      </c>
      <c r="M802">
        <v>7.5877331647170396E-3</v>
      </c>
      <c r="N802" s="25">
        <f t="shared" si="36"/>
        <v>7.5877331647170587E-3</v>
      </c>
      <c r="O802">
        <v>0.99241226683528205</v>
      </c>
      <c r="P802" s="25">
        <f t="shared" si="38"/>
        <v>0.99241226683528294</v>
      </c>
      <c r="Q802">
        <v>20</v>
      </c>
      <c r="R802" t="s">
        <v>124</v>
      </c>
      <c r="S802" t="s">
        <v>124</v>
      </c>
      <c r="T802" t="s">
        <v>124</v>
      </c>
      <c r="U802" t="s">
        <v>124</v>
      </c>
      <c r="X802" s="19">
        <f>J802</f>
        <v>0.94029850746268662</v>
      </c>
      <c r="Y802" s="19">
        <f>N802</f>
        <v>7.5877331647170587E-3</v>
      </c>
      <c r="Z802" s="26">
        <f>(L802+Q802)/(L802+Q802+H802+K802)</f>
        <v>1.2578616352201259E-2</v>
      </c>
    </row>
    <row r="803" spans="1:26" x14ac:dyDescent="0.35">
      <c r="A803" t="s">
        <v>122</v>
      </c>
      <c r="B803" t="s">
        <v>122</v>
      </c>
      <c r="C803" t="s">
        <v>123</v>
      </c>
      <c r="D803" t="s">
        <v>100</v>
      </c>
      <c r="E803" t="s">
        <v>99</v>
      </c>
      <c r="F803" t="s">
        <v>12</v>
      </c>
      <c r="G803">
        <v>1</v>
      </c>
      <c r="H803">
        <v>315</v>
      </c>
      <c r="I803">
        <v>0.94029850746268595</v>
      </c>
      <c r="J803" s="25">
        <f t="shared" si="37"/>
        <v>0.94029850746268662</v>
      </c>
      <c r="K803">
        <v>3139</v>
      </c>
      <c r="L803">
        <v>24</v>
      </c>
      <c r="M803">
        <v>7.5877331647170396E-3</v>
      </c>
      <c r="N803" s="25">
        <f t="shared" si="36"/>
        <v>7.5877331647170587E-3</v>
      </c>
      <c r="O803">
        <v>0.99241226683528205</v>
      </c>
      <c r="P803" s="25">
        <f t="shared" si="38"/>
        <v>0.99241226683528294</v>
      </c>
      <c r="Q803">
        <v>20</v>
      </c>
      <c r="R803" t="s">
        <v>124</v>
      </c>
      <c r="S803" t="s">
        <v>124</v>
      </c>
      <c r="T803" t="s">
        <v>124</v>
      </c>
      <c r="U803" t="s">
        <v>124</v>
      </c>
      <c r="X803" s="19">
        <f>J803</f>
        <v>0.94029850746268662</v>
      </c>
      <c r="Y803" s="19">
        <f>N803</f>
        <v>7.5877331647170587E-3</v>
      </c>
      <c r="Z803" s="26">
        <f>(L803+Q803)/(L803+Q803+H803+K803)</f>
        <v>1.2578616352201259E-2</v>
      </c>
    </row>
    <row r="804" spans="1:26" x14ac:dyDescent="0.35">
      <c r="A804" t="s">
        <v>122</v>
      </c>
      <c r="B804" t="s">
        <v>122</v>
      </c>
      <c r="C804" t="s">
        <v>123</v>
      </c>
      <c r="D804" t="s">
        <v>100</v>
      </c>
      <c r="E804" t="s">
        <v>99</v>
      </c>
      <c r="F804" t="s">
        <v>12</v>
      </c>
      <c r="G804">
        <v>1</v>
      </c>
      <c r="H804">
        <v>315</v>
      </c>
      <c r="I804">
        <v>0.94029850746268595</v>
      </c>
      <c r="J804" s="25">
        <f t="shared" si="37"/>
        <v>0.94029850746268662</v>
      </c>
      <c r="K804">
        <v>3139</v>
      </c>
      <c r="L804">
        <v>24</v>
      </c>
      <c r="M804">
        <v>7.5877331647170396E-3</v>
      </c>
      <c r="N804" s="25">
        <f t="shared" si="36"/>
        <v>7.5877331647170587E-3</v>
      </c>
      <c r="O804">
        <v>0.99241226683528205</v>
      </c>
      <c r="P804" s="25">
        <f t="shared" si="38"/>
        <v>0.99241226683528294</v>
      </c>
      <c r="Q804">
        <v>20</v>
      </c>
      <c r="R804" t="s">
        <v>124</v>
      </c>
      <c r="S804" t="s">
        <v>124</v>
      </c>
      <c r="T804" t="s">
        <v>124</v>
      </c>
      <c r="U804" t="s">
        <v>124</v>
      </c>
      <c r="X804" s="19">
        <f>J804</f>
        <v>0.94029850746268662</v>
      </c>
      <c r="Y804" s="19">
        <f>N804</f>
        <v>7.5877331647170587E-3</v>
      </c>
      <c r="Z804" s="26">
        <f>(L804+Q804)/(L804+Q804+H804+K804)</f>
        <v>1.2578616352201259E-2</v>
      </c>
    </row>
    <row r="805" spans="1:26" x14ac:dyDescent="0.35">
      <c r="A805" t="s">
        <v>122</v>
      </c>
      <c r="B805" t="s">
        <v>122</v>
      </c>
      <c r="C805" t="s">
        <v>123</v>
      </c>
      <c r="D805" t="s">
        <v>100</v>
      </c>
      <c r="E805" t="s">
        <v>99</v>
      </c>
      <c r="F805" t="s">
        <v>12</v>
      </c>
      <c r="G805">
        <v>1</v>
      </c>
      <c r="H805">
        <v>315</v>
      </c>
      <c r="I805">
        <v>0.94029850746268595</v>
      </c>
      <c r="J805" s="25">
        <f t="shared" si="37"/>
        <v>0.94029850746268662</v>
      </c>
      <c r="K805">
        <v>3139</v>
      </c>
      <c r="L805">
        <v>24</v>
      </c>
      <c r="M805">
        <v>7.5877331647170396E-3</v>
      </c>
      <c r="N805" s="25">
        <f t="shared" si="36"/>
        <v>7.5877331647170587E-3</v>
      </c>
      <c r="O805">
        <v>0.99241226683528205</v>
      </c>
      <c r="P805" s="25">
        <f t="shared" si="38"/>
        <v>0.99241226683528294</v>
      </c>
      <c r="Q805">
        <v>20</v>
      </c>
      <c r="R805" t="s">
        <v>124</v>
      </c>
      <c r="S805" t="s">
        <v>124</v>
      </c>
      <c r="T805" t="s">
        <v>124</v>
      </c>
      <c r="U805" t="s">
        <v>124</v>
      </c>
      <c r="X805" s="19">
        <f>J805</f>
        <v>0.94029850746268662</v>
      </c>
      <c r="Y805" s="19">
        <f>N805</f>
        <v>7.5877331647170587E-3</v>
      </c>
      <c r="Z805" s="26">
        <f>(L805+Q805)/(L805+Q805+H805+K805)</f>
        <v>1.2578616352201259E-2</v>
      </c>
    </row>
    <row r="806" spans="1:26" x14ac:dyDescent="0.35">
      <c r="A806" t="s">
        <v>122</v>
      </c>
      <c r="B806" t="s">
        <v>122</v>
      </c>
      <c r="C806" t="s">
        <v>123</v>
      </c>
      <c r="D806" t="s">
        <v>100</v>
      </c>
      <c r="E806" t="s">
        <v>99</v>
      </c>
      <c r="F806" t="s">
        <v>12</v>
      </c>
      <c r="G806">
        <v>1</v>
      </c>
      <c r="H806">
        <v>315</v>
      </c>
      <c r="I806">
        <v>0.94029850746268595</v>
      </c>
      <c r="J806" s="25">
        <f t="shared" si="37"/>
        <v>0.94029850746268662</v>
      </c>
      <c r="K806">
        <v>3139</v>
      </c>
      <c r="L806">
        <v>24</v>
      </c>
      <c r="M806">
        <v>7.5877331647170396E-3</v>
      </c>
      <c r="N806" s="25">
        <f t="shared" si="36"/>
        <v>7.5877331647170587E-3</v>
      </c>
      <c r="O806">
        <v>0.99241226683528205</v>
      </c>
      <c r="P806" s="25">
        <f t="shared" si="38"/>
        <v>0.99241226683528294</v>
      </c>
      <c r="Q806">
        <v>20</v>
      </c>
      <c r="R806" t="s">
        <v>124</v>
      </c>
      <c r="S806" t="s">
        <v>124</v>
      </c>
      <c r="T806" t="s">
        <v>124</v>
      </c>
      <c r="U806" t="s">
        <v>124</v>
      </c>
      <c r="X806" s="19">
        <f>J806</f>
        <v>0.94029850746268662</v>
      </c>
      <c r="Y806" s="19">
        <f>N806</f>
        <v>7.5877331647170587E-3</v>
      </c>
      <c r="Z806" s="26">
        <f>(L806+Q806)/(L806+Q806+H806+K806)</f>
        <v>1.2578616352201259E-2</v>
      </c>
    </row>
    <row r="807" spans="1:26" x14ac:dyDescent="0.35">
      <c r="A807" t="s">
        <v>122</v>
      </c>
      <c r="B807" t="s">
        <v>122</v>
      </c>
      <c r="C807" t="s">
        <v>123</v>
      </c>
      <c r="D807" t="s">
        <v>100</v>
      </c>
      <c r="E807" t="s">
        <v>99</v>
      </c>
      <c r="F807" t="s">
        <v>12</v>
      </c>
      <c r="G807">
        <v>1</v>
      </c>
      <c r="H807">
        <v>315</v>
      </c>
      <c r="I807">
        <v>0.94029850746268595</v>
      </c>
      <c r="J807" s="25">
        <f t="shared" si="37"/>
        <v>0.94029850746268662</v>
      </c>
      <c r="K807">
        <v>3139</v>
      </c>
      <c r="L807">
        <v>24</v>
      </c>
      <c r="M807">
        <v>7.5877331647170396E-3</v>
      </c>
      <c r="N807" s="25">
        <f t="shared" si="36"/>
        <v>7.5877331647170587E-3</v>
      </c>
      <c r="O807">
        <v>0.99241226683528205</v>
      </c>
      <c r="P807" s="25">
        <f t="shared" si="38"/>
        <v>0.99241226683528294</v>
      </c>
      <c r="Q807">
        <v>20</v>
      </c>
      <c r="R807" t="s">
        <v>124</v>
      </c>
      <c r="S807" t="s">
        <v>124</v>
      </c>
      <c r="T807" t="s">
        <v>124</v>
      </c>
      <c r="U807" t="s">
        <v>124</v>
      </c>
      <c r="X807" s="19">
        <f>J807</f>
        <v>0.94029850746268662</v>
      </c>
      <c r="Y807" s="19">
        <f>N807</f>
        <v>7.5877331647170587E-3</v>
      </c>
      <c r="Z807" s="26">
        <f>(L807+Q807)/(L807+Q807+H807+K807)</f>
        <v>1.2578616352201259E-2</v>
      </c>
    </row>
    <row r="808" spans="1:26" x14ac:dyDescent="0.35">
      <c r="A808" t="s">
        <v>122</v>
      </c>
      <c r="B808" t="s">
        <v>122</v>
      </c>
      <c r="C808" t="s">
        <v>123</v>
      </c>
      <c r="D808" t="s">
        <v>100</v>
      </c>
      <c r="E808" t="s">
        <v>99</v>
      </c>
      <c r="F808" t="s">
        <v>12</v>
      </c>
      <c r="G808">
        <v>1</v>
      </c>
      <c r="H808">
        <v>315</v>
      </c>
      <c r="I808">
        <v>0.94029850746268595</v>
      </c>
      <c r="J808" s="25">
        <f t="shared" si="37"/>
        <v>0.94029850746268662</v>
      </c>
      <c r="K808">
        <v>3139</v>
      </c>
      <c r="L808">
        <v>24</v>
      </c>
      <c r="M808">
        <v>7.5877331647170396E-3</v>
      </c>
      <c r="N808" s="25">
        <f t="shared" si="36"/>
        <v>7.5877331647170587E-3</v>
      </c>
      <c r="O808">
        <v>0.99241226683528205</v>
      </c>
      <c r="P808" s="25">
        <f t="shared" si="38"/>
        <v>0.99241226683528294</v>
      </c>
      <c r="Q808">
        <v>20</v>
      </c>
      <c r="R808" t="s">
        <v>124</v>
      </c>
      <c r="S808" t="s">
        <v>124</v>
      </c>
      <c r="T808" t="s">
        <v>124</v>
      </c>
      <c r="U808" t="s">
        <v>124</v>
      </c>
      <c r="X808" s="19">
        <f>J808</f>
        <v>0.94029850746268662</v>
      </c>
      <c r="Y808" s="19">
        <f>N808</f>
        <v>7.5877331647170587E-3</v>
      </c>
      <c r="Z808" s="26">
        <f>(L808+Q808)/(L808+Q808+H808+K808)</f>
        <v>1.2578616352201259E-2</v>
      </c>
    </row>
    <row r="809" spans="1:26" x14ac:dyDescent="0.35">
      <c r="A809" t="s">
        <v>122</v>
      </c>
      <c r="B809" t="s">
        <v>122</v>
      </c>
      <c r="C809" t="s">
        <v>123</v>
      </c>
      <c r="D809" t="s">
        <v>100</v>
      </c>
      <c r="E809" t="s">
        <v>99</v>
      </c>
      <c r="F809" t="s">
        <v>12</v>
      </c>
      <c r="G809">
        <v>1</v>
      </c>
      <c r="H809">
        <v>315</v>
      </c>
      <c r="I809">
        <v>0.94029850746268595</v>
      </c>
      <c r="J809" s="25">
        <f t="shared" si="37"/>
        <v>0.94029850746268662</v>
      </c>
      <c r="K809">
        <v>3139</v>
      </c>
      <c r="L809">
        <v>24</v>
      </c>
      <c r="M809">
        <v>7.5877331647170396E-3</v>
      </c>
      <c r="N809" s="25">
        <f t="shared" si="36"/>
        <v>7.5877331647170587E-3</v>
      </c>
      <c r="O809">
        <v>0.99241226683528205</v>
      </c>
      <c r="P809" s="25">
        <f t="shared" si="38"/>
        <v>0.99241226683528294</v>
      </c>
      <c r="Q809">
        <v>20</v>
      </c>
      <c r="R809" t="s">
        <v>124</v>
      </c>
      <c r="S809" t="s">
        <v>124</v>
      </c>
      <c r="T809" t="s">
        <v>124</v>
      </c>
      <c r="U809" t="s">
        <v>124</v>
      </c>
      <c r="X809" s="19">
        <f>J809</f>
        <v>0.94029850746268662</v>
      </c>
      <c r="Y809" s="19">
        <f>N809</f>
        <v>7.5877331647170587E-3</v>
      </c>
      <c r="Z809" s="26">
        <f>(L809+Q809)/(L809+Q809+H809+K809)</f>
        <v>1.2578616352201259E-2</v>
      </c>
    </row>
    <row r="810" spans="1:26" x14ac:dyDescent="0.35">
      <c r="A810" t="s">
        <v>122</v>
      </c>
      <c r="B810" t="s">
        <v>122</v>
      </c>
      <c r="C810" t="s">
        <v>123</v>
      </c>
      <c r="D810" t="s">
        <v>100</v>
      </c>
      <c r="E810" t="s">
        <v>99</v>
      </c>
      <c r="F810" t="s">
        <v>12</v>
      </c>
      <c r="G810">
        <v>1</v>
      </c>
      <c r="H810">
        <v>315</v>
      </c>
      <c r="I810">
        <v>0.94029850746268595</v>
      </c>
      <c r="J810" s="25">
        <f t="shared" si="37"/>
        <v>0.94029850746268662</v>
      </c>
      <c r="K810">
        <v>3139</v>
      </c>
      <c r="L810">
        <v>24</v>
      </c>
      <c r="M810">
        <v>7.5877331647170396E-3</v>
      </c>
      <c r="N810" s="25">
        <f t="shared" si="36"/>
        <v>7.5877331647170587E-3</v>
      </c>
      <c r="O810">
        <v>0.99241226683528205</v>
      </c>
      <c r="P810" s="25">
        <f t="shared" si="38"/>
        <v>0.99241226683528294</v>
      </c>
      <c r="Q810">
        <v>20</v>
      </c>
      <c r="R810" t="s">
        <v>124</v>
      </c>
      <c r="S810" t="s">
        <v>124</v>
      </c>
      <c r="T810" t="s">
        <v>124</v>
      </c>
      <c r="U810" t="s">
        <v>124</v>
      </c>
      <c r="X810" s="19">
        <f>J810</f>
        <v>0.94029850746268662</v>
      </c>
      <c r="Y810" s="19">
        <f>N810</f>
        <v>7.5877331647170587E-3</v>
      </c>
      <c r="Z810" s="26">
        <f>(L810+Q810)/(L810+Q810+H810+K810)</f>
        <v>1.2578616352201259E-2</v>
      </c>
    </row>
    <row r="811" spans="1:26" x14ac:dyDescent="0.35">
      <c r="A811" t="s">
        <v>122</v>
      </c>
      <c r="B811" t="s">
        <v>122</v>
      </c>
      <c r="C811" t="s">
        <v>123</v>
      </c>
      <c r="D811" t="s">
        <v>100</v>
      </c>
      <c r="E811" t="s">
        <v>99</v>
      </c>
      <c r="F811" t="s">
        <v>12</v>
      </c>
      <c r="G811">
        <v>1</v>
      </c>
      <c r="H811">
        <v>315</v>
      </c>
      <c r="I811">
        <v>0.94029850746268595</v>
      </c>
      <c r="J811" s="25">
        <f t="shared" si="37"/>
        <v>0.94029850746268662</v>
      </c>
      <c r="K811">
        <v>3139</v>
      </c>
      <c r="L811">
        <v>24</v>
      </c>
      <c r="M811">
        <v>7.5877331647170396E-3</v>
      </c>
      <c r="N811" s="25">
        <f t="shared" si="36"/>
        <v>7.5877331647170587E-3</v>
      </c>
      <c r="O811">
        <v>0.99241226683528205</v>
      </c>
      <c r="P811" s="25">
        <f t="shared" si="38"/>
        <v>0.99241226683528294</v>
      </c>
      <c r="Q811">
        <v>20</v>
      </c>
      <c r="R811" t="s">
        <v>124</v>
      </c>
      <c r="S811" t="s">
        <v>124</v>
      </c>
      <c r="T811" t="s">
        <v>124</v>
      </c>
      <c r="U811" t="s">
        <v>124</v>
      </c>
      <c r="X811" s="19">
        <f>J811</f>
        <v>0.94029850746268662</v>
      </c>
      <c r="Y811" s="19">
        <f>N811</f>
        <v>7.5877331647170587E-3</v>
      </c>
      <c r="Z811" s="26">
        <f>(L811+Q811)/(L811+Q811+H811+K811)</f>
        <v>1.2578616352201259E-2</v>
      </c>
    </row>
    <row r="812" spans="1:26" x14ac:dyDescent="0.35">
      <c r="A812" t="s">
        <v>122</v>
      </c>
      <c r="B812" t="s">
        <v>122</v>
      </c>
      <c r="C812" t="s">
        <v>123</v>
      </c>
      <c r="D812" t="s">
        <v>100</v>
      </c>
      <c r="E812" t="s">
        <v>99</v>
      </c>
      <c r="F812" t="s">
        <v>12</v>
      </c>
      <c r="G812">
        <v>1</v>
      </c>
      <c r="H812">
        <v>315</v>
      </c>
      <c r="I812">
        <v>0.94029850746268595</v>
      </c>
      <c r="J812" s="25">
        <f t="shared" si="37"/>
        <v>0.94029850746268662</v>
      </c>
      <c r="K812">
        <v>3139</v>
      </c>
      <c r="L812">
        <v>24</v>
      </c>
      <c r="M812">
        <v>7.5877331647170396E-3</v>
      </c>
      <c r="N812" s="25">
        <f t="shared" si="36"/>
        <v>7.5877331647170587E-3</v>
      </c>
      <c r="O812">
        <v>0.99241226683528205</v>
      </c>
      <c r="P812" s="25">
        <f t="shared" si="38"/>
        <v>0.99241226683528294</v>
      </c>
      <c r="Q812">
        <v>20</v>
      </c>
      <c r="R812" t="s">
        <v>124</v>
      </c>
      <c r="S812" t="s">
        <v>124</v>
      </c>
      <c r="T812" t="s">
        <v>124</v>
      </c>
      <c r="U812" t="s">
        <v>124</v>
      </c>
      <c r="X812" s="19">
        <f>J812</f>
        <v>0.94029850746268662</v>
      </c>
      <c r="Y812" s="19">
        <f>N812</f>
        <v>7.5877331647170587E-3</v>
      </c>
      <c r="Z812" s="26">
        <f>(L812+Q812)/(L812+Q812+H812+K812)</f>
        <v>1.2578616352201259E-2</v>
      </c>
    </row>
    <row r="813" spans="1:26" x14ac:dyDescent="0.35">
      <c r="A813" t="s">
        <v>122</v>
      </c>
      <c r="B813" t="s">
        <v>122</v>
      </c>
      <c r="C813" t="s">
        <v>123</v>
      </c>
      <c r="D813" t="s">
        <v>100</v>
      </c>
      <c r="E813" t="s">
        <v>99</v>
      </c>
      <c r="F813" t="s">
        <v>12</v>
      </c>
      <c r="G813">
        <v>1</v>
      </c>
      <c r="H813">
        <v>315</v>
      </c>
      <c r="I813">
        <v>0.94029850746268595</v>
      </c>
      <c r="J813" s="25">
        <f t="shared" si="37"/>
        <v>0.94029850746268662</v>
      </c>
      <c r="K813">
        <v>3139</v>
      </c>
      <c r="L813">
        <v>24</v>
      </c>
      <c r="M813">
        <v>7.5877331647170396E-3</v>
      </c>
      <c r="N813" s="25">
        <f t="shared" si="36"/>
        <v>7.5877331647170587E-3</v>
      </c>
      <c r="O813">
        <v>0.99241226683528205</v>
      </c>
      <c r="P813" s="25">
        <f t="shared" si="38"/>
        <v>0.99241226683528294</v>
      </c>
      <c r="Q813">
        <v>20</v>
      </c>
      <c r="R813" t="s">
        <v>124</v>
      </c>
      <c r="S813" t="s">
        <v>124</v>
      </c>
      <c r="T813" t="s">
        <v>124</v>
      </c>
      <c r="U813" t="s">
        <v>124</v>
      </c>
      <c r="X813" s="19">
        <f>J813</f>
        <v>0.94029850746268662</v>
      </c>
      <c r="Y813" s="19">
        <f>N813</f>
        <v>7.5877331647170587E-3</v>
      </c>
      <c r="Z813" s="26">
        <f>(L813+Q813)/(L813+Q813+H813+K813)</f>
        <v>1.2578616352201259E-2</v>
      </c>
    </row>
    <row r="814" spans="1:26" x14ac:dyDescent="0.35">
      <c r="A814" t="s">
        <v>122</v>
      </c>
      <c r="B814" t="s">
        <v>122</v>
      </c>
      <c r="C814" t="s">
        <v>123</v>
      </c>
      <c r="D814" t="s">
        <v>100</v>
      </c>
      <c r="E814" t="s">
        <v>99</v>
      </c>
      <c r="F814" t="s">
        <v>12</v>
      </c>
      <c r="G814">
        <v>1</v>
      </c>
      <c r="H814">
        <v>315</v>
      </c>
      <c r="I814">
        <v>0.94029850746268595</v>
      </c>
      <c r="J814" s="25">
        <f t="shared" si="37"/>
        <v>0.94029850746268662</v>
      </c>
      <c r="K814">
        <v>3139</v>
      </c>
      <c r="L814">
        <v>24</v>
      </c>
      <c r="M814">
        <v>7.5877331647170396E-3</v>
      </c>
      <c r="N814" s="25">
        <f t="shared" si="36"/>
        <v>7.5877331647170587E-3</v>
      </c>
      <c r="O814">
        <v>0.99241226683528205</v>
      </c>
      <c r="P814" s="25">
        <f t="shared" si="38"/>
        <v>0.99241226683528294</v>
      </c>
      <c r="Q814">
        <v>20</v>
      </c>
      <c r="R814" t="s">
        <v>124</v>
      </c>
      <c r="S814" t="s">
        <v>124</v>
      </c>
      <c r="T814" t="s">
        <v>124</v>
      </c>
      <c r="U814" t="s">
        <v>124</v>
      </c>
      <c r="X814" s="19">
        <f>J814</f>
        <v>0.94029850746268662</v>
      </c>
      <c r="Y814" s="19">
        <f>N814</f>
        <v>7.5877331647170587E-3</v>
      </c>
      <c r="Z814" s="26">
        <f>(L814+Q814)/(L814+Q814+H814+K814)</f>
        <v>1.2578616352201259E-2</v>
      </c>
    </row>
    <row r="815" spans="1:26" x14ac:dyDescent="0.35">
      <c r="A815" t="s">
        <v>122</v>
      </c>
      <c r="B815" t="s">
        <v>122</v>
      </c>
      <c r="C815" t="s">
        <v>123</v>
      </c>
      <c r="D815" t="s">
        <v>100</v>
      </c>
      <c r="E815" t="s">
        <v>99</v>
      </c>
      <c r="F815" t="s">
        <v>12</v>
      </c>
      <c r="G815">
        <v>1</v>
      </c>
      <c r="H815">
        <v>315</v>
      </c>
      <c r="I815">
        <v>0.94029850746268595</v>
      </c>
      <c r="J815" s="25">
        <f t="shared" si="37"/>
        <v>0.94029850746268662</v>
      </c>
      <c r="K815">
        <v>3139</v>
      </c>
      <c r="L815">
        <v>24</v>
      </c>
      <c r="M815">
        <v>7.5877331647170396E-3</v>
      </c>
      <c r="N815" s="25">
        <f t="shared" si="36"/>
        <v>7.5877331647170587E-3</v>
      </c>
      <c r="O815">
        <v>0.99241226683528205</v>
      </c>
      <c r="P815" s="25">
        <f t="shared" si="38"/>
        <v>0.99241226683528294</v>
      </c>
      <c r="Q815">
        <v>20</v>
      </c>
      <c r="R815" t="s">
        <v>124</v>
      </c>
      <c r="S815" t="s">
        <v>124</v>
      </c>
      <c r="T815" t="s">
        <v>124</v>
      </c>
      <c r="U815" t="s">
        <v>124</v>
      </c>
      <c r="X815" s="19">
        <f>J815</f>
        <v>0.94029850746268662</v>
      </c>
      <c r="Y815" s="19">
        <f>N815</f>
        <v>7.5877331647170587E-3</v>
      </c>
      <c r="Z815" s="26">
        <f>(L815+Q815)/(L815+Q815+H815+K815)</f>
        <v>1.2578616352201259E-2</v>
      </c>
    </row>
    <row r="816" spans="1:26" x14ac:dyDescent="0.35">
      <c r="A816" t="s">
        <v>122</v>
      </c>
      <c r="B816" t="s">
        <v>122</v>
      </c>
      <c r="C816" t="s">
        <v>123</v>
      </c>
      <c r="D816" t="s">
        <v>100</v>
      </c>
      <c r="E816" t="s">
        <v>99</v>
      </c>
      <c r="F816" t="s">
        <v>12</v>
      </c>
      <c r="G816">
        <v>1</v>
      </c>
      <c r="H816">
        <v>315</v>
      </c>
      <c r="I816">
        <v>0.94029850746268595</v>
      </c>
      <c r="J816" s="25">
        <f t="shared" si="37"/>
        <v>0.94029850746268662</v>
      </c>
      <c r="K816">
        <v>3139</v>
      </c>
      <c r="L816">
        <v>24</v>
      </c>
      <c r="M816">
        <v>7.5877331647170396E-3</v>
      </c>
      <c r="N816" s="25">
        <f t="shared" si="36"/>
        <v>7.5877331647170587E-3</v>
      </c>
      <c r="O816">
        <v>0.99241226683528205</v>
      </c>
      <c r="P816" s="25">
        <f t="shared" si="38"/>
        <v>0.99241226683528294</v>
      </c>
      <c r="Q816">
        <v>20</v>
      </c>
      <c r="R816" t="s">
        <v>124</v>
      </c>
      <c r="S816" t="s">
        <v>124</v>
      </c>
      <c r="T816" t="s">
        <v>124</v>
      </c>
      <c r="U816" t="s">
        <v>124</v>
      </c>
      <c r="X816" s="19">
        <f>J816</f>
        <v>0.94029850746268662</v>
      </c>
      <c r="Y816" s="19">
        <f>N816</f>
        <v>7.5877331647170587E-3</v>
      </c>
      <c r="Z816" s="26">
        <f>(L816+Q816)/(L816+Q816+H816+K816)</f>
        <v>1.2578616352201259E-2</v>
      </c>
    </row>
    <row r="817" spans="1:26" x14ac:dyDescent="0.35">
      <c r="A817" t="s">
        <v>122</v>
      </c>
      <c r="B817" t="s">
        <v>122</v>
      </c>
      <c r="C817" t="s">
        <v>123</v>
      </c>
      <c r="D817" t="s">
        <v>100</v>
      </c>
      <c r="E817" t="s">
        <v>99</v>
      </c>
      <c r="F817" t="s">
        <v>12</v>
      </c>
      <c r="G817">
        <v>1</v>
      </c>
      <c r="H817">
        <v>315</v>
      </c>
      <c r="I817">
        <v>0.94029850746268595</v>
      </c>
      <c r="J817" s="25">
        <f t="shared" si="37"/>
        <v>0.94029850746268662</v>
      </c>
      <c r="K817">
        <v>3139</v>
      </c>
      <c r="L817">
        <v>24</v>
      </c>
      <c r="M817">
        <v>7.5877331647170396E-3</v>
      </c>
      <c r="N817" s="25">
        <f t="shared" si="36"/>
        <v>7.5877331647170587E-3</v>
      </c>
      <c r="O817">
        <v>0.99241226683528205</v>
      </c>
      <c r="P817" s="25">
        <f t="shared" si="38"/>
        <v>0.99241226683528294</v>
      </c>
      <c r="Q817">
        <v>20</v>
      </c>
      <c r="R817" t="s">
        <v>124</v>
      </c>
      <c r="S817" t="s">
        <v>124</v>
      </c>
      <c r="T817" t="s">
        <v>124</v>
      </c>
      <c r="U817" t="s">
        <v>124</v>
      </c>
      <c r="X817" s="19">
        <f>J817</f>
        <v>0.94029850746268662</v>
      </c>
      <c r="Y817" s="19">
        <f>N817</f>
        <v>7.5877331647170587E-3</v>
      </c>
      <c r="Z817" s="26">
        <f>(L817+Q817)/(L817+Q817+H817+K817)</f>
        <v>1.2578616352201259E-2</v>
      </c>
    </row>
    <row r="818" spans="1:26" x14ac:dyDescent="0.35">
      <c r="A818" t="s">
        <v>122</v>
      </c>
      <c r="B818" t="s">
        <v>122</v>
      </c>
      <c r="C818" t="s">
        <v>123</v>
      </c>
      <c r="D818" t="s">
        <v>100</v>
      </c>
      <c r="E818" t="s">
        <v>99</v>
      </c>
      <c r="F818" t="s">
        <v>12</v>
      </c>
      <c r="G818">
        <v>1</v>
      </c>
      <c r="H818">
        <v>315</v>
      </c>
      <c r="I818">
        <v>0.94029850746268595</v>
      </c>
      <c r="J818" s="25">
        <f t="shared" si="37"/>
        <v>0.94029850746268662</v>
      </c>
      <c r="K818">
        <v>3139</v>
      </c>
      <c r="L818">
        <v>24</v>
      </c>
      <c r="M818">
        <v>7.5877331647170396E-3</v>
      </c>
      <c r="N818" s="25">
        <f t="shared" si="36"/>
        <v>7.5877331647170587E-3</v>
      </c>
      <c r="O818">
        <v>0.99241226683528205</v>
      </c>
      <c r="P818" s="25">
        <f t="shared" si="38"/>
        <v>0.99241226683528294</v>
      </c>
      <c r="Q818">
        <v>20</v>
      </c>
      <c r="R818" t="s">
        <v>124</v>
      </c>
      <c r="S818" t="s">
        <v>124</v>
      </c>
      <c r="T818" t="s">
        <v>124</v>
      </c>
      <c r="U818" t="s">
        <v>124</v>
      </c>
      <c r="X818" s="19">
        <f>J818</f>
        <v>0.94029850746268662</v>
      </c>
      <c r="Y818" s="19">
        <f>N818</f>
        <v>7.5877331647170587E-3</v>
      </c>
      <c r="Z818" s="26">
        <f>(L818+Q818)/(L818+Q818+H818+K818)</f>
        <v>1.2578616352201259E-2</v>
      </c>
    </row>
    <row r="819" spans="1:26" x14ac:dyDescent="0.35">
      <c r="A819" t="s">
        <v>122</v>
      </c>
      <c r="B819" t="s">
        <v>122</v>
      </c>
      <c r="C819" t="s">
        <v>123</v>
      </c>
      <c r="D819" t="s">
        <v>100</v>
      </c>
      <c r="E819" t="s">
        <v>99</v>
      </c>
      <c r="F819" t="s">
        <v>12</v>
      </c>
      <c r="G819">
        <v>1</v>
      </c>
      <c r="H819">
        <v>315</v>
      </c>
      <c r="I819">
        <v>0.94029850746268595</v>
      </c>
      <c r="J819" s="25">
        <f t="shared" si="37"/>
        <v>0.94029850746268662</v>
      </c>
      <c r="K819">
        <v>3139</v>
      </c>
      <c r="L819">
        <v>24</v>
      </c>
      <c r="M819">
        <v>7.5877331647170396E-3</v>
      </c>
      <c r="N819" s="25">
        <f t="shared" si="36"/>
        <v>7.5877331647170587E-3</v>
      </c>
      <c r="O819">
        <v>0.99241226683528205</v>
      </c>
      <c r="P819" s="25">
        <f t="shared" si="38"/>
        <v>0.99241226683528294</v>
      </c>
      <c r="Q819">
        <v>20</v>
      </c>
      <c r="R819" t="s">
        <v>124</v>
      </c>
      <c r="S819" t="s">
        <v>124</v>
      </c>
      <c r="T819" t="s">
        <v>124</v>
      </c>
      <c r="U819" t="s">
        <v>124</v>
      </c>
      <c r="X819" s="19">
        <f>J819</f>
        <v>0.94029850746268662</v>
      </c>
      <c r="Y819" s="19">
        <f>N819</f>
        <v>7.5877331647170587E-3</v>
      </c>
      <c r="Z819" s="26">
        <f>(L819+Q819)/(L819+Q819+H819+K819)</f>
        <v>1.2578616352201259E-2</v>
      </c>
    </row>
    <row r="820" spans="1:26" x14ac:dyDescent="0.35">
      <c r="A820" t="s">
        <v>122</v>
      </c>
      <c r="B820" t="s">
        <v>122</v>
      </c>
      <c r="C820" t="s">
        <v>123</v>
      </c>
      <c r="D820" t="s">
        <v>100</v>
      </c>
      <c r="E820" t="s">
        <v>99</v>
      </c>
      <c r="F820" t="s">
        <v>12</v>
      </c>
      <c r="G820">
        <v>1</v>
      </c>
      <c r="H820">
        <v>315</v>
      </c>
      <c r="I820">
        <v>0.94029850746268595</v>
      </c>
      <c r="J820" s="25">
        <f t="shared" si="37"/>
        <v>0.94029850746268662</v>
      </c>
      <c r="K820">
        <v>3139</v>
      </c>
      <c r="L820">
        <v>24</v>
      </c>
      <c r="M820">
        <v>7.5877331647170396E-3</v>
      </c>
      <c r="N820" s="25">
        <f t="shared" si="36"/>
        <v>7.5877331647170587E-3</v>
      </c>
      <c r="O820">
        <v>0.99241226683528205</v>
      </c>
      <c r="P820" s="25">
        <f t="shared" si="38"/>
        <v>0.99241226683528294</v>
      </c>
      <c r="Q820">
        <v>20</v>
      </c>
      <c r="R820" t="s">
        <v>124</v>
      </c>
      <c r="S820" t="s">
        <v>124</v>
      </c>
      <c r="T820" t="s">
        <v>124</v>
      </c>
      <c r="U820" t="s">
        <v>124</v>
      </c>
      <c r="X820" s="19">
        <f>J820</f>
        <v>0.94029850746268662</v>
      </c>
      <c r="Y820" s="19">
        <f>N820</f>
        <v>7.5877331647170587E-3</v>
      </c>
      <c r="Z820" s="26">
        <f>(L820+Q820)/(L820+Q820+H820+K820)</f>
        <v>1.2578616352201259E-2</v>
      </c>
    </row>
    <row r="821" spans="1:26" x14ac:dyDescent="0.35">
      <c r="A821" t="s">
        <v>122</v>
      </c>
      <c r="B821" t="s">
        <v>122</v>
      </c>
      <c r="C821" t="s">
        <v>123</v>
      </c>
      <c r="D821" t="s">
        <v>100</v>
      </c>
      <c r="E821" t="s">
        <v>99</v>
      </c>
      <c r="F821" t="s">
        <v>12</v>
      </c>
      <c r="G821">
        <v>1</v>
      </c>
      <c r="H821">
        <v>315</v>
      </c>
      <c r="I821">
        <v>0.94029850746268595</v>
      </c>
      <c r="J821" s="25">
        <f t="shared" si="37"/>
        <v>0.94029850746268662</v>
      </c>
      <c r="K821">
        <v>3139</v>
      </c>
      <c r="L821">
        <v>24</v>
      </c>
      <c r="M821">
        <v>7.5877331647170396E-3</v>
      </c>
      <c r="N821" s="25">
        <f t="shared" si="36"/>
        <v>7.5877331647170587E-3</v>
      </c>
      <c r="O821">
        <v>0.99241226683528205</v>
      </c>
      <c r="P821" s="25">
        <f t="shared" si="38"/>
        <v>0.99241226683528294</v>
      </c>
      <c r="Q821">
        <v>20</v>
      </c>
      <c r="R821" t="s">
        <v>124</v>
      </c>
      <c r="S821" t="s">
        <v>124</v>
      </c>
      <c r="T821" t="s">
        <v>124</v>
      </c>
      <c r="U821" t="s">
        <v>124</v>
      </c>
      <c r="X821" s="19">
        <f>J821</f>
        <v>0.94029850746268662</v>
      </c>
      <c r="Y821" s="19">
        <f>N821</f>
        <v>7.5877331647170587E-3</v>
      </c>
      <c r="Z821" s="26">
        <f>(L821+Q821)/(L821+Q821+H821+K821)</f>
        <v>1.2578616352201259E-2</v>
      </c>
    </row>
    <row r="822" spans="1:26" x14ac:dyDescent="0.35">
      <c r="A822" t="s">
        <v>122</v>
      </c>
      <c r="B822" t="s">
        <v>122</v>
      </c>
      <c r="C822" t="s">
        <v>123</v>
      </c>
      <c r="D822" t="s">
        <v>100</v>
      </c>
      <c r="E822" t="s">
        <v>99</v>
      </c>
      <c r="F822" t="s">
        <v>12</v>
      </c>
      <c r="G822">
        <v>1</v>
      </c>
      <c r="H822">
        <v>315</v>
      </c>
      <c r="I822">
        <v>0.94029850746268595</v>
      </c>
      <c r="J822" s="25">
        <f t="shared" si="37"/>
        <v>0.94029850746268662</v>
      </c>
      <c r="K822">
        <v>3139</v>
      </c>
      <c r="L822">
        <v>24</v>
      </c>
      <c r="M822">
        <v>7.5877331647170396E-3</v>
      </c>
      <c r="N822" s="25">
        <f t="shared" si="36"/>
        <v>7.5877331647170587E-3</v>
      </c>
      <c r="O822">
        <v>0.99241226683528205</v>
      </c>
      <c r="P822" s="25">
        <f t="shared" si="38"/>
        <v>0.99241226683528294</v>
      </c>
      <c r="Q822">
        <v>20</v>
      </c>
      <c r="R822" t="s">
        <v>124</v>
      </c>
      <c r="S822" t="s">
        <v>124</v>
      </c>
      <c r="T822" t="s">
        <v>124</v>
      </c>
      <c r="U822" t="s">
        <v>124</v>
      </c>
      <c r="X822" s="19">
        <f>J822</f>
        <v>0.94029850746268662</v>
      </c>
      <c r="Y822" s="19">
        <f>N822</f>
        <v>7.5877331647170587E-3</v>
      </c>
      <c r="Z822" s="26">
        <f>(L822+Q822)/(L822+Q822+H822+K822)</f>
        <v>1.2578616352201259E-2</v>
      </c>
    </row>
    <row r="823" spans="1:26" x14ac:dyDescent="0.35">
      <c r="A823" t="s">
        <v>122</v>
      </c>
      <c r="B823" t="s">
        <v>122</v>
      </c>
      <c r="C823" t="s">
        <v>123</v>
      </c>
      <c r="D823" t="s">
        <v>100</v>
      </c>
      <c r="E823" t="s">
        <v>99</v>
      </c>
      <c r="F823" t="s">
        <v>12</v>
      </c>
      <c r="G823">
        <v>1</v>
      </c>
      <c r="H823">
        <v>315</v>
      </c>
      <c r="I823">
        <v>0.94029850746268595</v>
      </c>
      <c r="J823" s="25">
        <f t="shared" si="37"/>
        <v>0.94029850746268662</v>
      </c>
      <c r="K823">
        <v>3139</v>
      </c>
      <c r="L823">
        <v>24</v>
      </c>
      <c r="M823">
        <v>7.5877331647170396E-3</v>
      </c>
      <c r="N823" s="25">
        <f t="shared" si="36"/>
        <v>7.5877331647170587E-3</v>
      </c>
      <c r="O823">
        <v>0.99241226683528205</v>
      </c>
      <c r="P823" s="25">
        <f t="shared" si="38"/>
        <v>0.99241226683528294</v>
      </c>
      <c r="Q823">
        <v>20</v>
      </c>
      <c r="R823" t="s">
        <v>124</v>
      </c>
      <c r="S823" t="s">
        <v>124</v>
      </c>
      <c r="T823" t="s">
        <v>124</v>
      </c>
      <c r="U823" t="s">
        <v>124</v>
      </c>
      <c r="X823" s="19">
        <f>J823</f>
        <v>0.94029850746268662</v>
      </c>
      <c r="Y823" s="19">
        <f>N823</f>
        <v>7.5877331647170587E-3</v>
      </c>
      <c r="Z823" s="26">
        <f>(L823+Q823)/(L823+Q823+H823+K823)</f>
        <v>1.2578616352201259E-2</v>
      </c>
    </row>
    <row r="824" spans="1:26" x14ac:dyDescent="0.35">
      <c r="A824" t="s">
        <v>122</v>
      </c>
      <c r="B824" t="s">
        <v>122</v>
      </c>
      <c r="C824" t="s">
        <v>123</v>
      </c>
      <c r="D824" t="s">
        <v>100</v>
      </c>
      <c r="E824" t="s">
        <v>99</v>
      </c>
      <c r="F824" t="s">
        <v>12</v>
      </c>
      <c r="G824">
        <v>1</v>
      </c>
      <c r="H824">
        <v>315</v>
      </c>
      <c r="I824">
        <v>0.94029850746268595</v>
      </c>
      <c r="J824" s="25">
        <f t="shared" si="37"/>
        <v>0.94029850746268662</v>
      </c>
      <c r="K824">
        <v>3139</v>
      </c>
      <c r="L824">
        <v>24</v>
      </c>
      <c r="M824">
        <v>7.5877331647170396E-3</v>
      </c>
      <c r="N824" s="25">
        <f t="shared" si="36"/>
        <v>7.5877331647170587E-3</v>
      </c>
      <c r="O824">
        <v>0.99241226683528205</v>
      </c>
      <c r="P824" s="25">
        <f t="shared" si="38"/>
        <v>0.99241226683528294</v>
      </c>
      <c r="Q824">
        <v>20</v>
      </c>
      <c r="R824" t="s">
        <v>124</v>
      </c>
      <c r="S824" t="s">
        <v>124</v>
      </c>
      <c r="T824" t="s">
        <v>124</v>
      </c>
      <c r="U824" t="s">
        <v>124</v>
      </c>
      <c r="X824" s="19">
        <f>J824</f>
        <v>0.94029850746268662</v>
      </c>
      <c r="Y824" s="19">
        <f>N824</f>
        <v>7.5877331647170587E-3</v>
      </c>
      <c r="Z824" s="26">
        <f>(L824+Q824)/(L824+Q824+H824+K824)</f>
        <v>1.2578616352201259E-2</v>
      </c>
    </row>
    <row r="825" spans="1:26" x14ac:dyDescent="0.35">
      <c r="A825" t="s">
        <v>122</v>
      </c>
      <c r="B825" t="s">
        <v>122</v>
      </c>
      <c r="C825" t="s">
        <v>123</v>
      </c>
      <c r="D825" t="s">
        <v>100</v>
      </c>
      <c r="E825" t="s">
        <v>99</v>
      </c>
      <c r="F825" t="s">
        <v>12</v>
      </c>
      <c r="G825">
        <v>1</v>
      </c>
      <c r="H825">
        <v>315</v>
      </c>
      <c r="I825">
        <v>0.94029850746268595</v>
      </c>
      <c r="J825" s="25">
        <f t="shared" si="37"/>
        <v>0.94029850746268662</v>
      </c>
      <c r="K825">
        <v>3139</v>
      </c>
      <c r="L825">
        <v>24</v>
      </c>
      <c r="M825">
        <v>7.5877331647170396E-3</v>
      </c>
      <c r="N825" s="25">
        <f t="shared" si="36"/>
        <v>7.5877331647170587E-3</v>
      </c>
      <c r="O825">
        <v>0.99241226683528205</v>
      </c>
      <c r="P825" s="25">
        <f t="shared" si="38"/>
        <v>0.99241226683528294</v>
      </c>
      <c r="Q825">
        <v>20</v>
      </c>
      <c r="R825" t="s">
        <v>124</v>
      </c>
      <c r="S825" t="s">
        <v>124</v>
      </c>
      <c r="T825" t="s">
        <v>124</v>
      </c>
      <c r="U825" t="s">
        <v>124</v>
      </c>
      <c r="X825" s="19">
        <f>J825</f>
        <v>0.94029850746268662</v>
      </c>
      <c r="Y825" s="19">
        <f>N825</f>
        <v>7.5877331647170587E-3</v>
      </c>
      <c r="Z825" s="26">
        <f>(L825+Q825)/(L825+Q825+H825+K825)</f>
        <v>1.2578616352201259E-2</v>
      </c>
    </row>
    <row r="826" spans="1:26" x14ac:dyDescent="0.35">
      <c r="A826" t="s">
        <v>122</v>
      </c>
      <c r="B826" t="s">
        <v>122</v>
      </c>
      <c r="C826" t="s">
        <v>123</v>
      </c>
      <c r="D826" t="s">
        <v>100</v>
      </c>
      <c r="E826" t="s">
        <v>99</v>
      </c>
      <c r="F826" t="s">
        <v>12</v>
      </c>
      <c r="G826">
        <v>1</v>
      </c>
      <c r="H826">
        <v>315</v>
      </c>
      <c r="I826">
        <v>0.94029850746268595</v>
      </c>
      <c r="J826" s="25">
        <f t="shared" si="37"/>
        <v>0.94029850746268662</v>
      </c>
      <c r="K826">
        <v>3139</v>
      </c>
      <c r="L826">
        <v>24</v>
      </c>
      <c r="M826">
        <v>7.5877331647170396E-3</v>
      </c>
      <c r="N826" s="25">
        <f t="shared" si="36"/>
        <v>7.5877331647170587E-3</v>
      </c>
      <c r="O826">
        <v>0.99241226683528205</v>
      </c>
      <c r="P826" s="25">
        <f t="shared" si="38"/>
        <v>0.99241226683528294</v>
      </c>
      <c r="Q826">
        <v>20</v>
      </c>
      <c r="R826" t="s">
        <v>124</v>
      </c>
      <c r="S826" t="s">
        <v>124</v>
      </c>
      <c r="T826" t="s">
        <v>124</v>
      </c>
      <c r="U826" t="s">
        <v>124</v>
      </c>
      <c r="X826" s="19">
        <f>J826</f>
        <v>0.94029850746268662</v>
      </c>
      <c r="Y826" s="19">
        <f>N826</f>
        <v>7.5877331647170587E-3</v>
      </c>
      <c r="Z826" s="26">
        <f>(L826+Q826)/(L826+Q826+H826+K826)</f>
        <v>1.2578616352201259E-2</v>
      </c>
    </row>
    <row r="827" spans="1:26" x14ac:dyDescent="0.35">
      <c r="A827" t="s">
        <v>122</v>
      </c>
      <c r="B827" t="s">
        <v>122</v>
      </c>
      <c r="C827" t="s">
        <v>123</v>
      </c>
      <c r="D827" t="s">
        <v>100</v>
      </c>
      <c r="E827" t="s">
        <v>99</v>
      </c>
      <c r="F827" t="s">
        <v>12</v>
      </c>
      <c r="G827">
        <v>1</v>
      </c>
      <c r="H827">
        <v>315</v>
      </c>
      <c r="I827">
        <v>0.94029850746268595</v>
      </c>
      <c r="J827" s="25">
        <f t="shared" si="37"/>
        <v>0.94029850746268662</v>
      </c>
      <c r="K827">
        <v>3139</v>
      </c>
      <c r="L827">
        <v>24</v>
      </c>
      <c r="M827">
        <v>7.5877331647170396E-3</v>
      </c>
      <c r="N827" s="25">
        <f t="shared" si="36"/>
        <v>7.5877331647170587E-3</v>
      </c>
      <c r="O827">
        <v>0.99241226683528205</v>
      </c>
      <c r="P827" s="25">
        <f t="shared" si="38"/>
        <v>0.99241226683528294</v>
      </c>
      <c r="Q827">
        <v>20</v>
      </c>
      <c r="R827" t="s">
        <v>124</v>
      </c>
      <c r="S827" t="s">
        <v>124</v>
      </c>
      <c r="T827" t="s">
        <v>124</v>
      </c>
      <c r="U827" t="s">
        <v>124</v>
      </c>
      <c r="X827" s="19">
        <f>J827</f>
        <v>0.94029850746268662</v>
      </c>
      <c r="Y827" s="19">
        <f>N827</f>
        <v>7.5877331647170587E-3</v>
      </c>
      <c r="Z827" s="26">
        <f>(L827+Q827)/(L827+Q827+H827+K827)</f>
        <v>1.2578616352201259E-2</v>
      </c>
    </row>
    <row r="828" spans="1:26" x14ac:dyDescent="0.35">
      <c r="A828" t="s">
        <v>122</v>
      </c>
      <c r="B828" t="s">
        <v>122</v>
      </c>
      <c r="C828" t="s">
        <v>123</v>
      </c>
      <c r="D828" t="s">
        <v>100</v>
      </c>
      <c r="E828" t="s">
        <v>99</v>
      </c>
      <c r="F828" t="s">
        <v>12</v>
      </c>
      <c r="G828">
        <v>1</v>
      </c>
      <c r="H828">
        <v>315</v>
      </c>
      <c r="I828">
        <v>0.94029850746268595</v>
      </c>
      <c r="J828" s="25">
        <f t="shared" si="37"/>
        <v>0.94029850746268662</v>
      </c>
      <c r="K828">
        <v>3139</v>
      </c>
      <c r="L828">
        <v>24</v>
      </c>
      <c r="M828">
        <v>7.5877331647170396E-3</v>
      </c>
      <c r="N828" s="25">
        <f t="shared" si="36"/>
        <v>7.5877331647170587E-3</v>
      </c>
      <c r="O828">
        <v>0.99241226683528205</v>
      </c>
      <c r="P828" s="25">
        <f t="shared" si="38"/>
        <v>0.99241226683528294</v>
      </c>
      <c r="Q828">
        <v>20</v>
      </c>
      <c r="R828" t="s">
        <v>124</v>
      </c>
      <c r="S828" t="s">
        <v>124</v>
      </c>
      <c r="T828" t="s">
        <v>124</v>
      </c>
      <c r="U828" t="s">
        <v>124</v>
      </c>
      <c r="X828" s="19">
        <f>J828</f>
        <v>0.94029850746268662</v>
      </c>
      <c r="Y828" s="19">
        <f>N828</f>
        <v>7.5877331647170587E-3</v>
      </c>
      <c r="Z828" s="26">
        <f>(L828+Q828)/(L828+Q828+H828+K828)</f>
        <v>1.2578616352201259E-2</v>
      </c>
    </row>
    <row r="829" spans="1:26" x14ac:dyDescent="0.35">
      <c r="A829" t="s">
        <v>122</v>
      </c>
      <c r="B829" t="s">
        <v>122</v>
      </c>
      <c r="C829" t="s">
        <v>123</v>
      </c>
      <c r="D829" t="s">
        <v>100</v>
      </c>
      <c r="E829" t="s">
        <v>99</v>
      </c>
      <c r="F829" t="s">
        <v>12</v>
      </c>
      <c r="G829">
        <v>1</v>
      </c>
      <c r="H829">
        <v>315</v>
      </c>
      <c r="I829">
        <v>0.94029850746268595</v>
      </c>
      <c r="J829" s="25">
        <f t="shared" si="37"/>
        <v>0.94029850746268662</v>
      </c>
      <c r="K829">
        <v>3139</v>
      </c>
      <c r="L829">
        <v>24</v>
      </c>
      <c r="M829">
        <v>7.5877331647170396E-3</v>
      </c>
      <c r="N829" s="25">
        <f t="shared" si="36"/>
        <v>7.5877331647170587E-3</v>
      </c>
      <c r="O829">
        <v>0.99241226683528205</v>
      </c>
      <c r="P829" s="25">
        <f t="shared" si="38"/>
        <v>0.99241226683528294</v>
      </c>
      <c r="Q829">
        <v>20</v>
      </c>
      <c r="R829" t="s">
        <v>124</v>
      </c>
      <c r="S829" t="s">
        <v>124</v>
      </c>
      <c r="T829" t="s">
        <v>124</v>
      </c>
      <c r="U829" t="s">
        <v>124</v>
      </c>
      <c r="X829" s="19">
        <f>J829</f>
        <v>0.94029850746268662</v>
      </c>
      <c r="Y829" s="19">
        <f>N829</f>
        <v>7.5877331647170587E-3</v>
      </c>
      <c r="Z829" s="26">
        <f>(L829+Q829)/(L829+Q829+H829+K829)</f>
        <v>1.2578616352201259E-2</v>
      </c>
    </row>
    <row r="830" spans="1:26" x14ac:dyDescent="0.35">
      <c r="A830" t="s">
        <v>122</v>
      </c>
      <c r="B830" t="s">
        <v>122</v>
      </c>
      <c r="C830" t="s">
        <v>123</v>
      </c>
      <c r="D830" t="s">
        <v>100</v>
      </c>
      <c r="E830" t="s">
        <v>99</v>
      </c>
      <c r="F830" t="s">
        <v>12</v>
      </c>
      <c r="G830">
        <v>1</v>
      </c>
      <c r="H830">
        <v>315</v>
      </c>
      <c r="I830">
        <v>0.94029850746268595</v>
      </c>
      <c r="J830" s="25">
        <f t="shared" si="37"/>
        <v>0.94029850746268662</v>
      </c>
      <c r="K830">
        <v>3139</v>
      </c>
      <c r="L830">
        <v>24</v>
      </c>
      <c r="M830">
        <v>7.5877331647170396E-3</v>
      </c>
      <c r="N830" s="25">
        <f t="shared" si="36"/>
        <v>7.5877331647170587E-3</v>
      </c>
      <c r="O830">
        <v>0.99241226683528205</v>
      </c>
      <c r="P830" s="25">
        <f t="shared" si="38"/>
        <v>0.99241226683528294</v>
      </c>
      <c r="Q830">
        <v>20</v>
      </c>
      <c r="R830" t="s">
        <v>124</v>
      </c>
      <c r="S830" t="s">
        <v>124</v>
      </c>
      <c r="T830" t="s">
        <v>124</v>
      </c>
      <c r="U830" t="s">
        <v>124</v>
      </c>
      <c r="X830" s="19">
        <f>J830</f>
        <v>0.94029850746268662</v>
      </c>
      <c r="Y830" s="19">
        <f>N830</f>
        <v>7.5877331647170587E-3</v>
      </c>
      <c r="Z830" s="26">
        <f>(L830+Q830)/(L830+Q830+H830+K830)</f>
        <v>1.2578616352201259E-2</v>
      </c>
    </row>
    <row r="831" spans="1:26" x14ac:dyDescent="0.35">
      <c r="A831" t="s">
        <v>122</v>
      </c>
      <c r="B831" t="s">
        <v>122</v>
      </c>
      <c r="C831" t="s">
        <v>123</v>
      </c>
      <c r="D831" t="s">
        <v>100</v>
      </c>
      <c r="E831" t="s">
        <v>99</v>
      </c>
      <c r="F831" t="s">
        <v>12</v>
      </c>
      <c r="G831">
        <v>1</v>
      </c>
      <c r="H831">
        <v>315</v>
      </c>
      <c r="I831">
        <v>0.94029850746268595</v>
      </c>
      <c r="J831" s="25">
        <f t="shared" si="37"/>
        <v>0.94029850746268662</v>
      </c>
      <c r="K831">
        <v>3139</v>
      </c>
      <c r="L831">
        <v>24</v>
      </c>
      <c r="M831">
        <v>7.5877331647170396E-3</v>
      </c>
      <c r="N831" s="25">
        <f t="shared" si="36"/>
        <v>7.5877331647170587E-3</v>
      </c>
      <c r="O831">
        <v>0.99241226683528205</v>
      </c>
      <c r="P831" s="25">
        <f t="shared" si="38"/>
        <v>0.99241226683528294</v>
      </c>
      <c r="Q831">
        <v>20</v>
      </c>
      <c r="R831" t="s">
        <v>124</v>
      </c>
      <c r="S831" t="s">
        <v>124</v>
      </c>
      <c r="T831" t="s">
        <v>124</v>
      </c>
      <c r="U831" t="s">
        <v>124</v>
      </c>
      <c r="X831" s="19">
        <f>J831</f>
        <v>0.94029850746268662</v>
      </c>
      <c r="Y831" s="19">
        <f>N831</f>
        <v>7.5877331647170587E-3</v>
      </c>
      <c r="Z831" s="26">
        <f>(L831+Q831)/(L831+Q831+H831+K831)</f>
        <v>1.2578616352201259E-2</v>
      </c>
    </row>
    <row r="832" spans="1:26" x14ac:dyDescent="0.35">
      <c r="A832" t="s">
        <v>122</v>
      </c>
      <c r="B832" t="s">
        <v>122</v>
      </c>
      <c r="C832" t="s">
        <v>123</v>
      </c>
      <c r="D832" t="s">
        <v>100</v>
      </c>
      <c r="E832" t="s">
        <v>99</v>
      </c>
      <c r="F832" t="s">
        <v>12</v>
      </c>
      <c r="G832">
        <v>1</v>
      </c>
      <c r="H832">
        <v>315</v>
      </c>
      <c r="I832">
        <v>0.94029850746268595</v>
      </c>
      <c r="J832" s="25">
        <f t="shared" si="37"/>
        <v>0.94029850746268662</v>
      </c>
      <c r="K832">
        <v>3139</v>
      </c>
      <c r="L832">
        <v>24</v>
      </c>
      <c r="M832">
        <v>7.5877331647170396E-3</v>
      </c>
      <c r="N832" s="25">
        <f t="shared" si="36"/>
        <v>7.5877331647170587E-3</v>
      </c>
      <c r="O832">
        <v>0.99241226683528205</v>
      </c>
      <c r="P832" s="25">
        <f t="shared" si="38"/>
        <v>0.99241226683528294</v>
      </c>
      <c r="Q832">
        <v>20</v>
      </c>
      <c r="R832" t="s">
        <v>124</v>
      </c>
      <c r="S832" t="s">
        <v>124</v>
      </c>
      <c r="T832" t="s">
        <v>124</v>
      </c>
      <c r="U832" t="s">
        <v>124</v>
      </c>
      <c r="X832" s="19">
        <f>J832</f>
        <v>0.94029850746268662</v>
      </c>
      <c r="Y832" s="19">
        <f>N832</f>
        <v>7.5877331647170587E-3</v>
      </c>
      <c r="Z832" s="26">
        <f>(L832+Q832)/(L832+Q832+H832+K832)</f>
        <v>1.2578616352201259E-2</v>
      </c>
    </row>
    <row r="833" spans="1:26" x14ac:dyDescent="0.35">
      <c r="A833" t="s">
        <v>122</v>
      </c>
      <c r="B833" t="s">
        <v>122</v>
      </c>
      <c r="C833" t="s">
        <v>123</v>
      </c>
      <c r="D833" t="s">
        <v>100</v>
      </c>
      <c r="E833" t="s">
        <v>99</v>
      </c>
      <c r="F833" t="s">
        <v>12</v>
      </c>
      <c r="G833">
        <v>1</v>
      </c>
      <c r="H833">
        <v>315</v>
      </c>
      <c r="I833">
        <v>0.94029850746268595</v>
      </c>
      <c r="J833" s="25">
        <f t="shared" si="37"/>
        <v>0.94029850746268662</v>
      </c>
      <c r="K833">
        <v>3139</v>
      </c>
      <c r="L833">
        <v>24</v>
      </c>
      <c r="M833">
        <v>7.5877331647170396E-3</v>
      </c>
      <c r="N833" s="25">
        <f t="shared" si="36"/>
        <v>7.5877331647170587E-3</v>
      </c>
      <c r="O833">
        <v>0.99241226683528205</v>
      </c>
      <c r="P833" s="25">
        <f t="shared" si="38"/>
        <v>0.99241226683528294</v>
      </c>
      <c r="Q833">
        <v>20</v>
      </c>
      <c r="R833" t="s">
        <v>124</v>
      </c>
      <c r="S833" t="s">
        <v>124</v>
      </c>
      <c r="T833" t="s">
        <v>124</v>
      </c>
      <c r="U833" t="s">
        <v>124</v>
      </c>
      <c r="X833" s="19">
        <f>J833</f>
        <v>0.94029850746268662</v>
      </c>
      <c r="Y833" s="19">
        <f>N833</f>
        <v>7.5877331647170587E-3</v>
      </c>
      <c r="Z833" s="26">
        <f>(L833+Q833)/(L833+Q833+H833+K833)</f>
        <v>1.2578616352201259E-2</v>
      </c>
    </row>
    <row r="834" spans="1:26" x14ac:dyDescent="0.35">
      <c r="A834" t="s">
        <v>122</v>
      </c>
      <c r="B834" t="s">
        <v>122</v>
      </c>
      <c r="C834" t="s">
        <v>123</v>
      </c>
      <c r="D834" t="s">
        <v>100</v>
      </c>
      <c r="E834" t="s">
        <v>99</v>
      </c>
      <c r="F834" t="s">
        <v>12</v>
      </c>
      <c r="G834">
        <v>1</v>
      </c>
      <c r="H834">
        <v>315</v>
      </c>
      <c r="I834">
        <v>0.94029850746268595</v>
      </c>
      <c r="J834" s="25">
        <f t="shared" si="37"/>
        <v>0.94029850746268662</v>
      </c>
      <c r="K834">
        <v>3139</v>
      </c>
      <c r="L834">
        <v>24</v>
      </c>
      <c r="M834">
        <v>7.5877331647170396E-3</v>
      </c>
      <c r="N834" s="25">
        <f t="shared" ref="N834:N897" si="39">1-P834</f>
        <v>7.5877331647170587E-3</v>
      </c>
      <c r="O834">
        <v>0.99241226683528205</v>
      </c>
      <c r="P834" s="25">
        <f t="shared" si="38"/>
        <v>0.99241226683528294</v>
      </c>
      <c r="Q834">
        <v>20</v>
      </c>
      <c r="R834" t="s">
        <v>124</v>
      </c>
      <c r="S834" t="s">
        <v>124</v>
      </c>
      <c r="T834" t="s">
        <v>124</v>
      </c>
      <c r="U834" t="s">
        <v>124</v>
      </c>
      <c r="X834" s="19">
        <f>J834</f>
        <v>0.94029850746268662</v>
      </c>
      <c r="Y834" s="19">
        <f>N834</f>
        <v>7.5877331647170587E-3</v>
      </c>
      <c r="Z834" s="26">
        <f>(L834+Q834)/(L834+Q834+H834+K834)</f>
        <v>1.2578616352201259E-2</v>
      </c>
    </row>
    <row r="835" spans="1:26" x14ac:dyDescent="0.35">
      <c r="A835" t="s">
        <v>122</v>
      </c>
      <c r="B835" t="s">
        <v>122</v>
      </c>
      <c r="C835" t="s">
        <v>123</v>
      </c>
      <c r="D835" t="s">
        <v>100</v>
      </c>
      <c r="E835" t="s">
        <v>99</v>
      </c>
      <c r="F835" t="s">
        <v>12</v>
      </c>
      <c r="G835">
        <v>1</v>
      </c>
      <c r="H835">
        <v>315</v>
      </c>
      <c r="I835">
        <v>0.94029850746268595</v>
      </c>
      <c r="J835" s="25">
        <f t="shared" ref="J835:J898" si="40">H835/(H835+Q835)</f>
        <v>0.94029850746268662</v>
      </c>
      <c r="K835">
        <v>3139</v>
      </c>
      <c r="L835">
        <v>24</v>
      </c>
      <c r="M835">
        <v>7.5877331647170396E-3</v>
      </c>
      <c r="N835" s="25">
        <f t="shared" si="39"/>
        <v>7.5877331647170587E-3</v>
      </c>
      <c r="O835">
        <v>0.99241226683528205</v>
      </c>
      <c r="P835" s="25">
        <f t="shared" ref="P835:P898" si="41">K835/(K835+L835)</f>
        <v>0.99241226683528294</v>
      </c>
      <c r="Q835">
        <v>20</v>
      </c>
      <c r="R835" t="s">
        <v>124</v>
      </c>
      <c r="S835" t="s">
        <v>124</v>
      </c>
      <c r="T835" t="s">
        <v>124</v>
      </c>
      <c r="U835" t="s">
        <v>124</v>
      </c>
      <c r="X835" s="19">
        <f>J835</f>
        <v>0.94029850746268662</v>
      </c>
      <c r="Y835" s="19">
        <f>N835</f>
        <v>7.5877331647170587E-3</v>
      </c>
      <c r="Z835" s="26">
        <f>(L835+Q835)/(L835+Q835+H835+K835)</f>
        <v>1.2578616352201259E-2</v>
      </c>
    </row>
    <row r="836" spans="1:26" x14ac:dyDescent="0.35">
      <c r="A836" t="s">
        <v>122</v>
      </c>
      <c r="B836" t="s">
        <v>122</v>
      </c>
      <c r="C836" t="s">
        <v>123</v>
      </c>
      <c r="D836" t="s">
        <v>100</v>
      </c>
      <c r="E836" t="s">
        <v>99</v>
      </c>
      <c r="F836" t="s">
        <v>12</v>
      </c>
      <c r="G836">
        <v>1</v>
      </c>
      <c r="H836">
        <v>315</v>
      </c>
      <c r="I836">
        <v>0.94029850746268595</v>
      </c>
      <c r="J836" s="25">
        <f t="shared" si="40"/>
        <v>0.94029850746268662</v>
      </c>
      <c r="K836">
        <v>3139</v>
      </c>
      <c r="L836">
        <v>24</v>
      </c>
      <c r="M836">
        <v>7.5877331647170396E-3</v>
      </c>
      <c r="N836" s="25">
        <f t="shared" si="39"/>
        <v>7.5877331647170587E-3</v>
      </c>
      <c r="O836">
        <v>0.99241226683528205</v>
      </c>
      <c r="P836" s="25">
        <f t="shared" si="41"/>
        <v>0.99241226683528294</v>
      </c>
      <c r="Q836">
        <v>20</v>
      </c>
      <c r="R836" t="s">
        <v>124</v>
      </c>
      <c r="S836" t="s">
        <v>124</v>
      </c>
      <c r="T836" t="s">
        <v>124</v>
      </c>
      <c r="U836" t="s">
        <v>124</v>
      </c>
      <c r="X836" s="19">
        <f>J836</f>
        <v>0.94029850746268662</v>
      </c>
      <c r="Y836" s="19">
        <f>N836</f>
        <v>7.5877331647170587E-3</v>
      </c>
      <c r="Z836" s="26">
        <f>(L836+Q836)/(L836+Q836+H836+K836)</f>
        <v>1.2578616352201259E-2</v>
      </c>
    </row>
    <row r="837" spans="1:26" x14ac:dyDescent="0.35">
      <c r="A837" t="s">
        <v>122</v>
      </c>
      <c r="B837" t="s">
        <v>122</v>
      </c>
      <c r="C837" t="s">
        <v>123</v>
      </c>
      <c r="D837" t="s">
        <v>100</v>
      </c>
      <c r="E837" t="s">
        <v>99</v>
      </c>
      <c r="F837" t="s">
        <v>12</v>
      </c>
      <c r="G837">
        <v>1</v>
      </c>
      <c r="H837">
        <v>315</v>
      </c>
      <c r="I837">
        <v>0.94029850746268595</v>
      </c>
      <c r="J837" s="25">
        <f t="shared" si="40"/>
        <v>0.94029850746268662</v>
      </c>
      <c r="K837">
        <v>3139</v>
      </c>
      <c r="L837">
        <v>24</v>
      </c>
      <c r="M837">
        <v>7.5877331647170396E-3</v>
      </c>
      <c r="N837" s="25">
        <f t="shared" si="39"/>
        <v>7.5877331647170587E-3</v>
      </c>
      <c r="O837">
        <v>0.99241226683528205</v>
      </c>
      <c r="P837" s="25">
        <f t="shared" si="41"/>
        <v>0.99241226683528294</v>
      </c>
      <c r="Q837">
        <v>20</v>
      </c>
      <c r="R837" t="s">
        <v>124</v>
      </c>
      <c r="S837" t="s">
        <v>124</v>
      </c>
      <c r="T837" t="s">
        <v>124</v>
      </c>
      <c r="U837" t="s">
        <v>124</v>
      </c>
      <c r="X837" s="19">
        <f>J837</f>
        <v>0.94029850746268662</v>
      </c>
      <c r="Y837" s="19">
        <f>N837</f>
        <v>7.5877331647170587E-3</v>
      </c>
      <c r="Z837" s="26">
        <f>(L837+Q837)/(L837+Q837+H837+K837)</f>
        <v>1.2578616352201259E-2</v>
      </c>
    </row>
    <row r="838" spans="1:26" x14ac:dyDescent="0.35">
      <c r="A838" t="s">
        <v>122</v>
      </c>
      <c r="B838" t="s">
        <v>122</v>
      </c>
      <c r="C838" t="s">
        <v>123</v>
      </c>
      <c r="D838" t="s">
        <v>100</v>
      </c>
      <c r="E838" t="s">
        <v>99</v>
      </c>
      <c r="F838" t="s">
        <v>12</v>
      </c>
      <c r="G838">
        <v>1</v>
      </c>
      <c r="H838">
        <v>315</v>
      </c>
      <c r="I838">
        <v>0.94029850746268595</v>
      </c>
      <c r="J838" s="25">
        <f t="shared" si="40"/>
        <v>0.94029850746268662</v>
      </c>
      <c r="K838">
        <v>3139</v>
      </c>
      <c r="L838">
        <v>24</v>
      </c>
      <c r="M838">
        <v>7.5877331647170396E-3</v>
      </c>
      <c r="N838" s="25">
        <f t="shared" si="39"/>
        <v>7.5877331647170587E-3</v>
      </c>
      <c r="O838">
        <v>0.99241226683528205</v>
      </c>
      <c r="P838" s="25">
        <f t="shared" si="41"/>
        <v>0.99241226683528294</v>
      </c>
      <c r="Q838">
        <v>20</v>
      </c>
      <c r="R838" t="s">
        <v>124</v>
      </c>
      <c r="S838" t="s">
        <v>124</v>
      </c>
      <c r="T838" t="s">
        <v>124</v>
      </c>
      <c r="U838" t="s">
        <v>124</v>
      </c>
      <c r="X838" s="19">
        <f>J838</f>
        <v>0.94029850746268662</v>
      </c>
      <c r="Y838" s="19">
        <f>N838</f>
        <v>7.5877331647170587E-3</v>
      </c>
      <c r="Z838" s="26">
        <f>(L838+Q838)/(L838+Q838+H838+K838)</f>
        <v>1.2578616352201259E-2</v>
      </c>
    </row>
    <row r="839" spans="1:26" x14ac:dyDescent="0.35">
      <c r="A839" t="s">
        <v>122</v>
      </c>
      <c r="B839" t="s">
        <v>122</v>
      </c>
      <c r="C839" t="s">
        <v>123</v>
      </c>
      <c r="D839" t="s">
        <v>100</v>
      </c>
      <c r="E839" t="s">
        <v>99</v>
      </c>
      <c r="F839" t="s">
        <v>12</v>
      </c>
      <c r="G839">
        <v>1</v>
      </c>
      <c r="H839">
        <v>315</v>
      </c>
      <c r="I839">
        <v>0.94029850746268595</v>
      </c>
      <c r="J839" s="25">
        <f t="shared" si="40"/>
        <v>0.94029850746268662</v>
      </c>
      <c r="K839">
        <v>3139</v>
      </c>
      <c r="L839">
        <v>24</v>
      </c>
      <c r="M839">
        <v>7.5877331647170396E-3</v>
      </c>
      <c r="N839" s="25">
        <f t="shared" si="39"/>
        <v>7.5877331647170587E-3</v>
      </c>
      <c r="O839">
        <v>0.99241226683528205</v>
      </c>
      <c r="P839" s="25">
        <f t="shared" si="41"/>
        <v>0.99241226683528294</v>
      </c>
      <c r="Q839">
        <v>20</v>
      </c>
      <c r="R839" t="s">
        <v>124</v>
      </c>
      <c r="S839" t="s">
        <v>124</v>
      </c>
      <c r="T839" t="s">
        <v>124</v>
      </c>
      <c r="U839" t="s">
        <v>124</v>
      </c>
      <c r="X839" s="19">
        <f>J839</f>
        <v>0.94029850746268662</v>
      </c>
      <c r="Y839" s="19">
        <f>N839</f>
        <v>7.5877331647170587E-3</v>
      </c>
      <c r="Z839" s="26">
        <f>(L839+Q839)/(L839+Q839+H839+K839)</f>
        <v>1.2578616352201259E-2</v>
      </c>
    </row>
    <row r="840" spans="1:26" x14ac:dyDescent="0.35">
      <c r="A840" t="s">
        <v>122</v>
      </c>
      <c r="B840" t="s">
        <v>122</v>
      </c>
      <c r="C840" t="s">
        <v>123</v>
      </c>
      <c r="D840" t="s">
        <v>100</v>
      </c>
      <c r="E840" t="s">
        <v>99</v>
      </c>
      <c r="F840" t="s">
        <v>12</v>
      </c>
      <c r="G840">
        <v>1</v>
      </c>
      <c r="H840">
        <v>315</v>
      </c>
      <c r="I840">
        <v>0.94029850746268595</v>
      </c>
      <c r="J840" s="25">
        <f t="shared" si="40"/>
        <v>0.94029850746268662</v>
      </c>
      <c r="K840">
        <v>3139</v>
      </c>
      <c r="L840">
        <v>24</v>
      </c>
      <c r="M840">
        <v>7.5877331647170396E-3</v>
      </c>
      <c r="N840" s="25">
        <f t="shared" si="39"/>
        <v>7.5877331647170587E-3</v>
      </c>
      <c r="O840">
        <v>0.99241226683528205</v>
      </c>
      <c r="P840" s="25">
        <f t="shared" si="41"/>
        <v>0.99241226683528294</v>
      </c>
      <c r="Q840">
        <v>20</v>
      </c>
      <c r="R840" t="s">
        <v>124</v>
      </c>
      <c r="S840" t="s">
        <v>124</v>
      </c>
      <c r="T840" t="s">
        <v>124</v>
      </c>
      <c r="U840" t="s">
        <v>124</v>
      </c>
      <c r="X840" s="19">
        <f>J840</f>
        <v>0.94029850746268662</v>
      </c>
      <c r="Y840" s="19">
        <f>N840</f>
        <v>7.5877331647170587E-3</v>
      </c>
      <c r="Z840" s="26">
        <f>(L840+Q840)/(L840+Q840+H840+K840)</f>
        <v>1.2578616352201259E-2</v>
      </c>
    </row>
    <row r="841" spans="1:26" x14ac:dyDescent="0.35">
      <c r="A841" t="s">
        <v>122</v>
      </c>
      <c r="B841" t="s">
        <v>122</v>
      </c>
      <c r="C841" t="s">
        <v>123</v>
      </c>
      <c r="D841" t="s">
        <v>100</v>
      </c>
      <c r="E841" t="s">
        <v>99</v>
      </c>
      <c r="F841" t="s">
        <v>12</v>
      </c>
      <c r="G841">
        <v>1</v>
      </c>
      <c r="H841">
        <v>315</v>
      </c>
      <c r="I841">
        <v>0.94029850746268595</v>
      </c>
      <c r="J841" s="25">
        <f t="shared" si="40"/>
        <v>0.94029850746268662</v>
      </c>
      <c r="K841">
        <v>3139</v>
      </c>
      <c r="L841">
        <v>24</v>
      </c>
      <c r="M841">
        <v>7.5877331647170396E-3</v>
      </c>
      <c r="N841" s="25">
        <f t="shared" si="39"/>
        <v>7.5877331647170587E-3</v>
      </c>
      <c r="O841">
        <v>0.99241226683528205</v>
      </c>
      <c r="P841" s="25">
        <f t="shared" si="41"/>
        <v>0.99241226683528294</v>
      </c>
      <c r="Q841">
        <v>20</v>
      </c>
      <c r="R841" t="s">
        <v>124</v>
      </c>
      <c r="S841" t="s">
        <v>124</v>
      </c>
      <c r="T841" t="s">
        <v>124</v>
      </c>
      <c r="U841" t="s">
        <v>124</v>
      </c>
      <c r="X841" s="19">
        <f>J841</f>
        <v>0.94029850746268662</v>
      </c>
      <c r="Y841" s="19">
        <f>N841</f>
        <v>7.5877331647170587E-3</v>
      </c>
      <c r="Z841" s="26">
        <f>(L841+Q841)/(L841+Q841+H841+K841)</f>
        <v>1.2578616352201259E-2</v>
      </c>
    </row>
    <row r="842" spans="1:26" x14ac:dyDescent="0.35">
      <c r="A842" t="s">
        <v>122</v>
      </c>
      <c r="B842" t="s">
        <v>122</v>
      </c>
      <c r="C842" t="s">
        <v>123</v>
      </c>
      <c r="D842" t="s">
        <v>100</v>
      </c>
      <c r="E842" t="s">
        <v>99</v>
      </c>
      <c r="F842" t="s">
        <v>12</v>
      </c>
      <c r="G842">
        <v>1</v>
      </c>
      <c r="H842">
        <v>315</v>
      </c>
      <c r="I842">
        <v>0.94029850746268595</v>
      </c>
      <c r="J842" s="25">
        <f t="shared" si="40"/>
        <v>0.94029850746268662</v>
      </c>
      <c r="K842">
        <v>3139</v>
      </c>
      <c r="L842">
        <v>24</v>
      </c>
      <c r="M842">
        <v>7.5877331647170396E-3</v>
      </c>
      <c r="N842" s="25">
        <f t="shared" si="39"/>
        <v>7.5877331647170587E-3</v>
      </c>
      <c r="O842">
        <v>0.99241226683528205</v>
      </c>
      <c r="P842" s="25">
        <f t="shared" si="41"/>
        <v>0.99241226683528294</v>
      </c>
      <c r="Q842">
        <v>20</v>
      </c>
      <c r="R842" t="s">
        <v>124</v>
      </c>
      <c r="S842" t="s">
        <v>124</v>
      </c>
      <c r="T842" t="s">
        <v>124</v>
      </c>
      <c r="U842" t="s">
        <v>124</v>
      </c>
      <c r="X842" s="19">
        <f>J842</f>
        <v>0.94029850746268662</v>
      </c>
      <c r="Y842" s="19">
        <f>N842</f>
        <v>7.5877331647170587E-3</v>
      </c>
      <c r="Z842" s="26">
        <f>(L842+Q842)/(L842+Q842+H842+K842)</f>
        <v>1.2578616352201259E-2</v>
      </c>
    </row>
    <row r="843" spans="1:26" x14ac:dyDescent="0.35">
      <c r="A843" t="s">
        <v>122</v>
      </c>
      <c r="B843" t="s">
        <v>122</v>
      </c>
      <c r="C843" t="s">
        <v>123</v>
      </c>
      <c r="D843" t="s">
        <v>100</v>
      </c>
      <c r="E843" t="s">
        <v>99</v>
      </c>
      <c r="F843" t="s">
        <v>12</v>
      </c>
      <c r="G843">
        <v>1</v>
      </c>
      <c r="H843">
        <v>315</v>
      </c>
      <c r="I843">
        <v>0.94029850746268595</v>
      </c>
      <c r="J843" s="25">
        <f t="shared" si="40"/>
        <v>0.94029850746268662</v>
      </c>
      <c r="K843">
        <v>3139</v>
      </c>
      <c r="L843">
        <v>24</v>
      </c>
      <c r="M843">
        <v>7.5877331647170396E-3</v>
      </c>
      <c r="N843" s="25">
        <f t="shared" si="39"/>
        <v>7.5877331647170587E-3</v>
      </c>
      <c r="O843">
        <v>0.99241226683528205</v>
      </c>
      <c r="P843" s="25">
        <f t="shared" si="41"/>
        <v>0.99241226683528294</v>
      </c>
      <c r="Q843">
        <v>20</v>
      </c>
      <c r="R843" t="s">
        <v>124</v>
      </c>
      <c r="S843" t="s">
        <v>124</v>
      </c>
      <c r="T843" t="s">
        <v>124</v>
      </c>
      <c r="U843" t="s">
        <v>124</v>
      </c>
      <c r="X843" s="19">
        <f>J843</f>
        <v>0.94029850746268662</v>
      </c>
      <c r="Y843" s="19">
        <f>N843</f>
        <v>7.5877331647170587E-3</v>
      </c>
      <c r="Z843" s="26">
        <f>(L843+Q843)/(L843+Q843+H843+K843)</f>
        <v>1.2578616352201259E-2</v>
      </c>
    </row>
    <row r="844" spans="1:26" x14ac:dyDescent="0.35">
      <c r="A844" t="s">
        <v>122</v>
      </c>
      <c r="B844" t="s">
        <v>122</v>
      </c>
      <c r="C844" t="s">
        <v>123</v>
      </c>
      <c r="D844" t="s">
        <v>100</v>
      </c>
      <c r="E844" t="s">
        <v>99</v>
      </c>
      <c r="F844" t="s">
        <v>12</v>
      </c>
      <c r="G844">
        <v>1</v>
      </c>
      <c r="H844">
        <v>315</v>
      </c>
      <c r="I844">
        <v>0.94029850746268595</v>
      </c>
      <c r="J844" s="25">
        <f t="shared" si="40"/>
        <v>0.94029850746268662</v>
      </c>
      <c r="K844">
        <v>3139</v>
      </c>
      <c r="L844">
        <v>24</v>
      </c>
      <c r="M844">
        <v>7.5877331647170396E-3</v>
      </c>
      <c r="N844" s="25">
        <f t="shared" si="39"/>
        <v>7.5877331647170587E-3</v>
      </c>
      <c r="O844">
        <v>0.99241226683528205</v>
      </c>
      <c r="P844" s="25">
        <f t="shared" si="41"/>
        <v>0.99241226683528294</v>
      </c>
      <c r="Q844">
        <v>20</v>
      </c>
      <c r="R844" t="s">
        <v>124</v>
      </c>
      <c r="S844" t="s">
        <v>124</v>
      </c>
      <c r="T844" t="s">
        <v>124</v>
      </c>
      <c r="U844" t="s">
        <v>124</v>
      </c>
      <c r="X844" s="19">
        <f>J844</f>
        <v>0.94029850746268662</v>
      </c>
      <c r="Y844" s="19">
        <f>N844</f>
        <v>7.5877331647170587E-3</v>
      </c>
      <c r="Z844" s="26">
        <f>(L844+Q844)/(L844+Q844+H844+K844)</f>
        <v>1.2578616352201259E-2</v>
      </c>
    </row>
    <row r="845" spans="1:26" x14ac:dyDescent="0.35">
      <c r="A845" t="s">
        <v>122</v>
      </c>
      <c r="B845" t="s">
        <v>122</v>
      </c>
      <c r="C845" t="s">
        <v>123</v>
      </c>
      <c r="D845" t="s">
        <v>100</v>
      </c>
      <c r="E845" t="s">
        <v>99</v>
      </c>
      <c r="F845" t="s">
        <v>12</v>
      </c>
      <c r="G845">
        <v>1</v>
      </c>
      <c r="H845">
        <v>315</v>
      </c>
      <c r="I845">
        <v>0.94029850746268595</v>
      </c>
      <c r="J845" s="25">
        <f t="shared" si="40"/>
        <v>0.94029850746268662</v>
      </c>
      <c r="K845">
        <v>3139</v>
      </c>
      <c r="L845">
        <v>24</v>
      </c>
      <c r="M845">
        <v>7.5877331647170396E-3</v>
      </c>
      <c r="N845" s="25">
        <f t="shared" si="39"/>
        <v>7.5877331647170587E-3</v>
      </c>
      <c r="O845">
        <v>0.99241226683528205</v>
      </c>
      <c r="P845" s="25">
        <f t="shared" si="41"/>
        <v>0.99241226683528294</v>
      </c>
      <c r="Q845">
        <v>20</v>
      </c>
      <c r="R845" t="s">
        <v>124</v>
      </c>
      <c r="S845" t="s">
        <v>124</v>
      </c>
      <c r="T845" t="s">
        <v>124</v>
      </c>
      <c r="U845" t="s">
        <v>124</v>
      </c>
      <c r="X845" s="19">
        <f>J845</f>
        <v>0.94029850746268662</v>
      </c>
      <c r="Y845" s="19">
        <f>N845</f>
        <v>7.5877331647170587E-3</v>
      </c>
      <c r="Z845" s="26">
        <f>(L845+Q845)/(L845+Q845+H845+K845)</f>
        <v>1.2578616352201259E-2</v>
      </c>
    </row>
    <row r="846" spans="1:26" x14ac:dyDescent="0.35">
      <c r="A846" t="s">
        <v>122</v>
      </c>
      <c r="B846" t="s">
        <v>122</v>
      </c>
      <c r="C846" t="s">
        <v>123</v>
      </c>
      <c r="D846" t="s">
        <v>100</v>
      </c>
      <c r="E846" t="s">
        <v>99</v>
      </c>
      <c r="F846" t="s">
        <v>12</v>
      </c>
      <c r="G846">
        <v>1</v>
      </c>
      <c r="H846">
        <v>315</v>
      </c>
      <c r="I846">
        <v>0.94029850746268595</v>
      </c>
      <c r="J846" s="25">
        <f t="shared" si="40"/>
        <v>0.94029850746268662</v>
      </c>
      <c r="K846">
        <v>3139</v>
      </c>
      <c r="L846">
        <v>24</v>
      </c>
      <c r="M846">
        <v>7.5877331647170396E-3</v>
      </c>
      <c r="N846" s="25">
        <f t="shared" si="39"/>
        <v>7.5877331647170587E-3</v>
      </c>
      <c r="O846">
        <v>0.99241226683528205</v>
      </c>
      <c r="P846" s="25">
        <f t="shared" si="41"/>
        <v>0.99241226683528294</v>
      </c>
      <c r="Q846">
        <v>20</v>
      </c>
      <c r="R846" t="s">
        <v>124</v>
      </c>
      <c r="S846" t="s">
        <v>124</v>
      </c>
      <c r="T846" t="s">
        <v>124</v>
      </c>
      <c r="U846" t="s">
        <v>124</v>
      </c>
      <c r="X846" s="19">
        <f>J846</f>
        <v>0.94029850746268662</v>
      </c>
      <c r="Y846" s="19">
        <f>N846</f>
        <v>7.5877331647170587E-3</v>
      </c>
      <c r="Z846" s="26">
        <f>(L846+Q846)/(L846+Q846+H846+K846)</f>
        <v>1.2578616352201259E-2</v>
      </c>
    </row>
    <row r="847" spans="1:26" x14ac:dyDescent="0.35">
      <c r="A847" t="s">
        <v>122</v>
      </c>
      <c r="B847" t="s">
        <v>122</v>
      </c>
      <c r="C847" t="s">
        <v>123</v>
      </c>
      <c r="D847" t="s">
        <v>100</v>
      </c>
      <c r="E847" t="s">
        <v>99</v>
      </c>
      <c r="F847" t="s">
        <v>12</v>
      </c>
      <c r="G847">
        <v>1</v>
      </c>
      <c r="H847">
        <v>315</v>
      </c>
      <c r="I847">
        <v>0.94029850746268595</v>
      </c>
      <c r="J847" s="25">
        <f t="shared" si="40"/>
        <v>0.94029850746268662</v>
      </c>
      <c r="K847">
        <v>3139</v>
      </c>
      <c r="L847">
        <v>24</v>
      </c>
      <c r="M847">
        <v>7.5877331647170396E-3</v>
      </c>
      <c r="N847" s="25">
        <f t="shared" si="39"/>
        <v>7.5877331647170587E-3</v>
      </c>
      <c r="O847">
        <v>0.99241226683528205</v>
      </c>
      <c r="P847" s="25">
        <f t="shared" si="41"/>
        <v>0.99241226683528294</v>
      </c>
      <c r="Q847">
        <v>20</v>
      </c>
      <c r="R847" t="s">
        <v>124</v>
      </c>
      <c r="S847" t="s">
        <v>124</v>
      </c>
      <c r="T847" t="s">
        <v>124</v>
      </c>
      <c r="U847" t="s">
        <v>124</v>
      </c>
      <c r="X847" s="19">
        <f>J847</f>
        <v>0.94029850746268662</v>
      </c>
      <c r="Y847" s="19">
        <f>N847</f>
        <v>7.5877331647170587E-3</v>
      </c>
      <c r="Z847" s="26">
        <f>(L847+Q847)/(L847+Q847+H847+K847)</f>
        <v>1.2578616352201259E-2</v>
      </c>
    </row>
    <row r="848" spans="1:26" x14ac:dyDescent="0.35">
      <c r="A848" t="s">
        <v>122</v>
      </c>
      <c r="B848" t="s">
        <v>122</v>
      </c>
      <c r="C848" t="s">
        <v>123</v>
      </c>
      <c r="D848" t="s">
        <v>100</v>
      </c>
      <c r="E848" t="s">
        <v>99</v>
      </c>
      <c r="F848" t="s">
        <v>12</v>
      </c>
      <c r="G848">
        <v>1</v>
      </c>
      <c r="H848">
        <v>315</v>
      </c>
      <c r="I848">
        <v>0.94029850746268595</v>
      </c>
      <c r="J848" s="25">
        <f t="shared" si="40"/>
        <v>0.94029850746268662</v>
      </c>
      <c r="K848">
        <v>3139</v>
      </c>
      <c r="L848">
        <v>24</v>
      </c>
      <c r="M848">
        <v>7.5877331647170396E-3</v>
      </c>
      <c r="N848" s="25">
        <f t="shared" si="39"/>
        <v>7.5877331647170587E-3</v>
      </c>
      <c r="O848">
        <v>0.99241226683528205</v>
      </c>
      <c r="P848" s="25">
        <f t="shared" si="41"/>
        <v>0.99241226683528294</v>
      </c>
      <c r="Q848">
        <v>20</v>
      </c>
      <c r="R848" t="s">
        <v>124</v>
      </c>
      <c r="S848" t="s">
        <v>124</v>
      </c>
      <c r="T848" t="s">
        <v>124</v>
      </c>
      <c r="U848" t="s">
        <v>124</v>
      </c>
      <c r="X848" s="19">
        <f>J848</f>
        <v>0.94029850746268662</v>
      </c>
      <c r="Y848" s="19">
        <f>N848</f>
        <v>7.5877331647170587E-3</v>
      </c>
      <c r="Z848" s="26">
        <f>(L848+Q848)/(L848+Q848+H848+K848)</f>
        <v>1.2578616352201259E-2</v>
      </c>
    </row>
    <row r="849" spans="1:26" x14ac:dyDescent="0.35">
      <c r="A849" t="s">
        <v>122</v>
      </c>
      <c r="B849" t="s">
        <v>122</v>
      </c>
      <c r="C849" t="s">
        <v>123</v>
      </c>
      <c r="D849" t="s">
        <v>100</v>
      </c>
      <c r="E849" t="s">
        <v>99</v>
      </c>
      <c r="F849" t="s">
        <v>12</v>
      </c>
      <c r="G849">
        <v>1</v>
      </c>
      <c r="H849">
        <v>315</v>
      </c>
      <c r="I849">
        <v>0.94029850746268595</v>
      </c>
      <c r="J849" s="25">
        <f t="shared" si="40"/>
        <v>0.94029850746268662</v>
      </c>
      <c r="K849">
        <v>3139</v>
      </c>
      <c r="L849">
        <v>24</v>
      </c>
      <c r="M849">
        <v>7.5877331647170396E-3</v>
      </c>
      <c r="N849" s="25">
        <f t="shared" si="39"/>
        <v>7.5877331647170587E-3</v>
      </c>
      <c r="O849">
        <v>0.99241226683528205</v>
      </c>
      <c r="P849" s="25">
        <f t="shared" si="41"/>
        <v>0.99241226683528294</v>
      </c>
      <c r="Q849">
        <v>20</v>
      </c>
      <c r="R849" t="s">
        <v>124</v>
      </c>
      <c r="S849" t="s">
        <v>124</v>
      </c>
      <c r="T849" t="s">
        <v>124</v>
      </c>
      <c r="U849" t="s">
        <v>124</v>
      </c>
      <c r="X849" s="19">
        <f>J849</f>
        <v>0.94029850746268662</v>
      </c>
      <c r="Y849" s="19">
        <f>N849</f>
        <v>7.5877331647170587E-3</v>
      </c>
      <c r="Z849" s="26">
        <f>(L849+Q849)/(L849+Q849+H849+K849)</f>
        <v>1.2578616352201259E-2</v>
      </c>
    </row>
    <row r="850" spans="1:26" x14ac:dyDescent="0.35">
      <c r="A850" t="s">
        <v>122</v>
      </c>
      <c r="B850" t="s">
        <v>122</v>
      </c>
      <c r="C850" t="s">
        <v>123</v>
      </c>
      <c r="D850" t="s">
        <v>100</v>
      </c>
      <c r="E850" t="s">
        <v>99</v>
      </c>
      <c r="F850" t="s">
        <v>12</v>
      </c>
      <c r="G850">
        <v>1</v>
      </c>
      <c r="H850">
        <v>315</v>
      </c>
      <c r="I850">
        <v>0.94029850746268595</v>
      </c>
      <c r="J850" s="25">
        <f t="shared" si="40"/>
        <v>0.94029850746268662</v>
      </c>
      <c r="K850">
        <v>3139</v>
      </c>
      <c r="L850">
        <v>24</v>
      </c>
      <c r="M850">
        <v>7.5877331647170396E-3</v>
      </c>
      <c r="N850" s="25">
        <f t="shared" si="39"/>
        <v>7.5877331647170587E-3</v>
      </c>
      <c r="O850">
        <v>0.99241226683528205</v>
      </c>
      <c r="P850" s="25">
        <f t="shared" si="41"/>
        <v>0.99241226683528294</v>
      </c>
      <c r="Q850">
        <v>20</v>
      </c>
      <c r="R850" t="s">
        <v>124</v>
      </c>
      <c r="S850" t="s">
        <v>124</v>
      </c>
      <c r="T850" t="s">
        <v>124</v>
      </c>
      <c r="U850" t="s">
        <v>124</v>
      </c>
      <c r="X850" s="19">
        <f>J850</f>
        <v>0.94029850746268662</v>
      </c>
      <c r="Y850" s="19">
        <f>N850</f>
        <v>7.5877331647170587E-3</v>
      </c>
      <c r="Z850" s="26">
        <f>(L850+Q850)/(L850+Q850+H850+K850)</f>
        <v>1.2578616352201259E-2</v>
      </c>
    </row>
    <row r="851" spans="1:26" x14ac:dyDescent="0.35">
      <c r="A851" t="s">
        <v>122</v>
      </c>
      <c r="B851" t="s">
        <v>122</v>
      </c>
      <c r="C851" t="s">
        <v>123</v>
      </c>
      <c r="D851" t="s">
        <v>100</v>
      </c>
      <c r="E851" t="s">
        <v>99</v>
      </c>
      <c r="F851" t="s">
        <v>12</v>
      </c>
      <c r="G851">
        <v>1</v>
      </c>
      <c r="H851">
        <v>315</v>
      </c>
      <c r="I851">
        <v>0.94029850746268595</v>
      </c>
      <c r="J851" s="25">
        <f t="shared" si="40"/>
        <v>0.94029850746268662</v>
      </c>
      <c r="K851">
        <v>3139</v>
      </c>
      <c r="L851">
        <v>24</v>
      </c>
      <c r="M851">
        <v>7.5877331647170396E-3</v>
      </c>
      <c r="N851" s="25">
        <f t="shared" si="39"/>
        <v>7.5877331647170587E-3</v>
      </c>
      <c r="O851">
        <v>0.99241226683528205</v>
      </c>
      <c r="P851" s="25">
        <f t="shared" si="41"/>
        <v>0.99241226683528294</v>
      </c>
      <c r="Q851">
        <v>20</v>
      </c>
      <c r="R851" t="s">
        <v>124</v>
      </c>
      <c r="S851" t="s">
        <v>124</v>
      </c>
      <c r="T851" t="s">
        <v>124</v>
      </c>
      <c r="U851" t="s">
        <v>124</v>
      </c>
      <c r="X851" s="19">
        <f>J851</f>
        <v>0.94029850746268662</v>
      </c>
      <c r="Y851" s="19">
        <f>N851</f>
        <v>7.5877331647170587E-3</v>
      </c>
      <c r="Z851" s="26">
        <f>(L851+Q851)/(L851+Q851+H851+K851)</f>
        <v>1.2578616352201259E-2</v>
      </c>
    </row>
    <row r="852" spans="1:26" x14ac:dyDescent="0.35">
      <c r="A852" t="s">
        <v>122</v>
      </c>
      <c r="B852" t="s">
        <v>122</v>
      </c>
      <c r="C852" t="s">
        <v>123</v>
      </c>
      <c r="D852" t="s">
        <v>100</v>
      </c>
      <c r="E852" t="s">
        <v>99</v>
      </c>
      <c r="F852" t="s">
        <v>12</v>
      </c>
      <c r="G852">
        <v>1</v>
      </c>
      <c r="H852">
        <v>315</v>
      </c>
      <c r="I852">
        <v>0.94029850746268595</v>
      </c>
      <c r="J852" s="25">
        <f t="shared" si="40"/>
        <v>0.94029850746268662</v>
      </c>
      <c r="K852">
        <v>3139</v>
      </c>
      <c r="L852">
        <v>24</v>
      </c>
      <c r="M852">
        <v>7.5877331647170396E-3</v>
      </c>
      <c r="N852" s="25">
        <f t="shared" si="39"/>
        <v>7.5877331647170587E-3</v>
      </c>
      <c r="O852">
        <v>0.99241226683528205</v>
      </c>
      <c r="P852" s="25">
        <f t="shared" si="41"/>
        <v>0.99241226683528294</v>
      </c>
      <c r="Q852">
        <v>20</v>
      </c>
      <c r="R852" t="s">
        <v>124</v>
      </c>
      <c r="S852" t="s">
        <v>124</v>
      </c>
      <c r="T852" t="s">
        <v>124</v>
      </c>
      <c r="U852" t="s">
        <v>124</v>
      </c>
      <c r="X852" s="19">
        <f>J852</f>
        <v>0.94029850746268662</v>
      </c>
      <c r="Y852" s="19">
        <f>N852</f>
        <v>7.5877331647170587E-3</v>
      </c>
      <c r="Z852" s="26">
        <f>(L852+Q852)/(L852+Q852+H852+K852)</f>
        <v>1.2578616352201259E-2</v>
      </c>
    </row>
    <row r="853" spans="1:26" x14ac:dyDescent="0.35">
      <c r="A853" t="s">
        <v>122</v>
      </c>
      <c r="B853" t="s">
        <v>122</v>
      </c>
      <c r="C853" t="s">
        <v>123</v>
      </c>
      <c r="D853" t="s">
        <v>100</v>
      </c>
      <c r="E853" t="s">
        <v>99</v>
      </c>
      <c r="F853" t="s">
        <v>12</v>
      </c>
      <c r="G853">
        <v>1</v>
      </c>
      <c r="H853">
        <v>315</v>
      </c>
      <c r="I853">
        <v>0.94029850746268595</v>
      </c>
      <c r="J853" s="25">
        <f t="shared" si="40"/>
        <v>0.94029850746268662</v>
      </c>
      <c r="K853">
        <v>3139</v>
      </c>
      <c r="L853">
        <v>24</v>
      </c>
      <c r="M853">
        <v>7.5877331647170396E-3</v>
      </c>
      <c r="N853" s="25">
        <f t="shared" si="39"/>
        <v>7.5877331647170587E-3</v>
      </c>
      <c r="O853">
        <v>0.99241226683528205</v>
      </c>
      <c r="P853" s="25">
        <f t="shared" si="41"/>
        <v>0.99241226683528294</v>
      </c>
      <c r="Q853">
        <v>20</v>
      </c>
      <c r="R853" t="s">
        <v>124</v>
      </c>
      <c r="S853" t="s">
        <v>124</v>
      </c>
      <c r="T853" t="s">
        <v>124</v>
      </c>
      <c r="U853" t="s">
        <v>124</v>
      </c>
      <c r="X853" s="19">
        <f>J853</f>
        <v>0.94029850746268662</v>
      </c>
      <c r="Y853" s="19">
        <f>N853</f>
        <v>7.5877331647170587E-3</v>
      </c>
      <c r="Z853" s="26">
        <f>(L853+Q853)/(L853+Q853+H853+K853)</f>
        <v>1.2578616352201259E-2</v>
      </c>
    </row>
    <row r="854" spans="1:26" x14ac:dyDescent="0.35">
      <c r="A854" t="s">
        <v>122</v>
      </c>
      <c r="B854" t="s">
        <v>122</v>
      </c>
      <c r="C854" t="s">
        <v>123</v>
      </c>
      <c r="D854" t="s">
        <v>100</v>
      </c>
      <c r="E854" t="s">
        <v>99</v>
      </c>
      <c r="F854" t="s">
        <v>12</v>
      </c>
      <c r="G854">
        <v>1</v>
      </c>
      <c r="H854">
        <v>315</v>
      </c>
      <c r="I854">
        <v>0.94029850746268595</v>
      </c>
      <c r="J854" s="25">
        <f t="shared" si="40"/>
        <v>0.94029850746268662</v>
      </c>
      <c r="K854">
        <v>3139</v>
      </c>
      <c r="L854">
        <v>24</v>
      </c>
      <c r="M854">
        <v>7.5877331647170396E-3</v>
      </c>
      <c r="N854" s="25">
        <f t="shared" si="39"/>
        <v>7.5877331647170587E-3</v>
      </c>
      <c r="O854">
        <v>0.99241226683528205</v>
      </c>
      <c r="P854" s="25">
        <f t="shared" si="41"/>
        <v>0.99241226683528294</v>
      </c>
      <c r="Q854">
        <v>20</v>
      </c>
      <c r="R854" t="s">
        <v>124</v>
      </c>
      <c r="S854" t="s">
        <v>124</v>
      </c>
      <c r="T854" t="s">
        <v>124</v>
      </c>
      <c r="U854" t="s">
        <v>124</v>
      </c>
      <c r="X854" s="19">
        <f>J854</f>
        <v>0.94029850746268662</v>
      </c>
      <c r="Y854" s="19">
        <f>N854</f>
        <v>7.5877331647170587E-3</v>
      </c>
      <c r="Z854" s="26">
        <f>(L854+Q854)/(L854+Q854+H854+K854)</f>
        <v>1.2578616352201259E-2</v>
      </c>
    </row>
    <row r="855" spans="1:26" x14ac:dyDescent="0.35">
      <c r="A855" t="s">
        <v>122</v>
      </c>
      <c r="B855" t="s">
        <v>122</v>
      </c>
      <c r="C855" t="s">
        <v>123</v>
      </c>
      <c r="D855" t="s">
        <v>100</v>
      </c>
      <c r="E855" t="s">
        <v>99</v>
      </c>
      <c r="F855" t="s">
        <v>12</v>
      </c>
      <c r="G855">
        <v>1</v>
      </c>
      <c r="H855">
        <v>315</v>
      </c>
      <c r="I855">
        <v>0.94029850746268595</v>
      </c>
      <c r="J855" s="25">
        <f t="shared" si="40"/>
        <v>0.94029850746268662</v>
      </c>
      <c r="K855">
        <v>3139</v>
      </c>
      <c r="L855">
        <v>24</v>
      </c>
      <c r="M855">
        <v>7.5877331647170396E-3</v>
      </c>
      <c r="N855" s="25">
        <f t="shared" si="39"/>
        <v>7.5877331647170587E-3</v>
      </c>
      <c r="O855">
        <v>0.99241226683528205</v>
      </c>
      <c r="P855" s="25">
        <f t="shared" si="41"/>
        <v>0.99241226683528294</v>
      </c>
      <c r="Q855">
        <v>20</v>
      </c>
      <c r="R855" t="s">
        <v>124</v>
      </c>
      <c r="S855" t="s">
        <v>124</v>
      </c>
      <c r="T855" t="s">
        <v>124</v>
      </c>
      <c r="U855" t="s">
        <v>124</v>
      </c>
      <c r="X855" s="19">
        <f>J855</f>
        <v>0.94029850746268662</v>
      </c>
      <c r="Y855" s="19">
        <f>N855</f>
        <v>7.5877331647170587E-3</v>
      </c>
      <c r="Z855" s="26">
        <f>(L855+Q855)/(L855+Q855+H855+K855)</f>
        <v>1.2578616352201259E-2</v>
      </c>
    </row>
    <row r="856" spans="1:26" x14ac:dyDescent="0.35">
      <c r="A856" t="s">
        <v>122</v>
      </c>
      <c r="B856" t="s">
        <v>122</v>
      </c>
      <c r="C856" t="s">
        <v>123</v>
      </c>
      <c r="D856" t="s">
        <v>100</v>
      </c>
      <c r="E856" t="s">
        <v>99</v>
      </c>
      <c r="F856" t="s">
        <v>12</v>
      </c>
      <c r="G856">
        <v>1</v>
      </c>
      <c r="H856">
        <v>315</v>
      </c>
      <c r="I856">
        <v>0.94029850746268595</v>
      </c>
      <c r="J856" s="25">
        <f t="shared" si="40"/>
        <v>0.94029850746268662</v>
      </c>
      <c r="K856">
        <v>3139</v>
      </c>
      <c r="L856">
        <v>24</v>
      </c>
      <c r="M856">
        <v>7.5877331647170396E-3</v>
      </c>
      <c r="N856" s="25">
        <f t="shared" si="39"/>
        <v>7.5877331647170587E-3</v>
      </c>
      <c r="O856">
        <v>0.99241226683528205</v>
      </c>
      <c r="P856" s="25">
        <f t="shared" si="41"/>
        <v>0.99241226683528294</v>
      </c>
      <c r="Q856">
        <v>20</v>
      </c>
      <c r="R856" t="s">
        <v>124</v>
      </c>
      <c r="S856" t="s">
        <v>124</v>
      </c>
      <c r="T856" t="s">
        <v>124</v>
      </c>
      <c r="U856" t="s">
        <v>124</v>
      </c>
      <c r="X856" s="19">
        <f>J856</f>
        <v>0.94029850746268662</v>
      </c>
      <c r="Y856" s="19">
        <f>N856</f>
        <v>7.5877331647170587E-3</v>
      </c>
      <c r="Z856" s="26">
        <f>(L856+Q856)/(L856+Q856+H856+K856)</f>
        <v>1.2578616352201259E-2</v>
      </c>
    </row>
    <row r="857" spans="1:26" x14ac:dyDescent="0.35">
      <c r="A857" t="s">
        <v>122</v>
      </c>
      <c r="B857" t="s">
        <v>122</v>
      </c>
      <c r="C857" t="s">
        <v>123</v>
      </c>
      <c r="D857" t="s">
        <v>100</v>
      </c>
      <c r="E857" t="s">
        <v>99</v>
      </c>
      <c r="F857" t="s">
        <v>12</v>
      </c>
      <c r="G857">
        <v>1</v>
      </c>
      <c r="H857">
        <v>315</v>
      </c>
      <c r="I857">
        <v>0.94029850746268595</v>
      </c>
      <c r="J857" s="25">
        <f t="shared" si="40"/>
        <v>0.94029850746268662</v>
      </c>
      <c r="K857">
        <v>3139</v>
      </c>
      <c r="L857">
        <v>24</v>
      </c>
      <c r="M857">
        <v>7.5877331647170396E-3</v>
      </c>
      <c r="N857" s="25">
        <f t="shared" si="39"/>
        <v>7.5877331647170587E-3</v>
      </c>
      <c r="O857">
        <v>0.99241226683528205</v>
      </c>
      <c r="P857" s="25">
        <f t="shared" si="41"/>
        <v>0.99241226683528294</v>
      </c>
      <c r="Q857">
        <v>20</v>
      </c>
      <c r="R857" t="s">
        <v>124</v>
      </c>
      <c r="S857" t="s">
        <v>124</v>
      </c>
      <c r="T857" t="s">
        <v>124</v>
      </c>
      <c r="U857" t="s">
        <v>124</v>
      </c>
      <c r="X857" s="19">
        <f>J857</f>
        <v>0.94029850746268662</v>
      </c>
      <c r="Y857" s="19">
        <f>N857</f>
        <v>7.5877331647170587E-3</v>
      </c>
      <c r="Z857" s="26">
        <f>(L857+Q857)/(L857+Q857+H857+K857)</f>
        <v>1.2578616352201259E-2</v>
      </c>
    </row>
    <row r="858" spans="1:26" x14ac:dyDescent="0.35">
      <c r="A858" t="s">
        <v>122</v>
      </c>
      <c r="B858" t="s">
        <v>122</v>
      </c>
      <c r="C858" t="s">
        <v>123</v>
      </c>
      <c r="D858" t="s">
        <v>100</v>
      </c>
      <c r="E858" t="s">
        <v>99</v>
      </c>
      <c r="F858" t="s">
        <v>12</v>
      </c>
      <c r="G858">
        <v>1</v>
      </c>
      <c r="H858">
        <v>315</v>
      </c>
      <c r="I858">
        <v>0.94029850746268595</v>
      </c>
      <c r="J858" s="25">
        <f t="shared" si="40"/>
        <v>0.94029850746268662</v>
      </c>
      <c r="K858">
        <v>3139</v>
      </c>
      <c r="L858">
        <v>24</v>
      </c>
      <c r="M858">
        <v>7.5877331647170396E-3</v>
      </c>
      <c r="N858" s="25">
        <f t="shared" si="39"/>
        <v>7.5877331647170587E-3</v>
      </c>
      <c r="O858">
        <v>0.99241226683528205</v>
      </c>
      <c r="P858" s="25">
        <f t="shared" si="41"/>
        <v>0.99241226683528294</v>
      </c>
      <c r="Q858">
        <v>20</v>
      </c>
      <c r="R858" t="s">
        <v>124</v>
      </c>
      <c r="S858" t="s">
        <v>124</v>
      </c>
      <c r="T858" t="s">
        <v>124</v>
      </c>
      <c r="U858" t="s">
        <v>124</v>
      </c>
      <c r="X858" s="19">
        <f>J858</f>
        <v>0.94029850746268662</v>
      </c>
      <c r="Y858" s="19">
        <f>N858</f>
        <v>7.5877331647170587E-3</v>
      </c>
      <c r="Z858" s="26">
        <f>(L858+Q858)/(L858+Q858+H858+K858)</f>
        <v>1.2578616352201259E-2</v>
      </c>
    </row>
    <row r="859" spans="1:26" x14ac:dyDescent="0.35">
      <c r="A859" t="s">
        <v>122</v>
      </c>
      <c r="B859" t="s">
        <v>122</v>
      </c>
      <c r="C859" t="s">
        <v>123</v>
      </c>
      <c r="D859" t="s">
        <v>100</v>
      </c>
      <c r="E859" t="s">
        <v>99</v>
      </c>
      <c r="F859" t="s">
        <v>12</v>
      </c>
      <c r="G859">
        <v>1</v>
      </c>
      <c r="H859">
        <v>315</v>
      </c>
      <c r="I859">
        <v>0.94029850746268595</v>
      </c>
      <c r="J859" s="25">
        <f t="shared" si="40"/>
        <v>0.94029850746268662</v>
      </c>
      <c r="K859">
        <v>3139</v>
      </c>
      <c r="L859">
        <v>24</v>
      </c>
      <c r="M859">
        <v>7.5877331647170396E-3</v>
      </c>
      <c r="N859" s="25">
        <f t="shared" si="39"/>
        <v>7.5877331647170587E-3</v>
      </c>
      <c r="O859">
        <v>0.99241226683528205</v>
      </c>
      <c r="P859" s="25">
        <f t="shared" si="41"/>
        <v>0.99241226683528294</v>
      </c>
      <c r="Q859">
        <v>20</v>
      </c>
      <c r="R859" t="s">
        <v>124</v>
      </c>
      <c r="S859" t="s">
        <v>124</v>
      </c>
      <c r="T859" t="s">
        <v>124</v>
      </c>
      <c r="U859" t="s">
        <v>124</v>
      </c>
      <c r="X859" s="19">
        <f>J859</f>
        <v>0.94029850746268662</v>
      </c>
      <c r="Y859" s="19">
        <f>N859</f>
        <v>7.5877331647170587E-3</v>
      </c>
      <c r="Z859" s="26">
        <f>(L859+Q859)/(L859+Q859+H859+K859)</f>
        <v>1.2578616352201259E-2</v>
      </c>
    </row>
    <row r="860" spans="1:26" x14ac:dyDescent="0.35">
      <c r="A860" t="s">
        <v>122</v>
      </c>
      <c r="B860" t="s">
        <v>122</v>
      </c>
      <c r="C860" t="s">
        <v>123</v>
      </c>
      <c r="D860" t="s">
        <v>100</v>
      </c>
      <c r="E860" t="s">
        <v>99</v>
      </c>
      <c r="F860" t="s">
        <v>12</v>
      </c>
      <c r="G860">
        <v>1</v>
      </c>
      <c r="H860">
        <v>315</v>
      </c>
      <c r="I860">
        <v>0.94029850746268595</v>
      </c>
      <c r="J860" s="25">
        <f t="shared" si="40"/>
        <v>0.94029850746268662</v>
      </c>
      <c r="K860">
        <v>3139</v>
      </c>
      <c r="L860">
        <v>24</v>
      </c>
      <c r="M860">
        <v>7.5877331647170396E-3</v>
      </c>
      <c r="N860" s="25">
        <f t="shared" si="39"/>
        <v>7.5877331647170587E-3</v>
      </c>
      <c r="O860">
        <v>0.99241226683528205</v>
      </c>
      <c r="P860" s="25">
        <f t="shared" si="41"/>
        <v>0.99241226683528294</v>
      </c>
      <c r="Q860">
        <v>20</v>
      </c>
      <c r="R860" t="s">
        <v>124</v>
      </c>
      <c r="S860" t="s">
        <v>124</v>
      </c>
      <c r="T860" t="s">
        <v>124</v>
      </c>
      <c r="U860" t="s">
        <v>124</v>
      </c>
      <c r="X860" s="19">
        <f>J860</f>
        <v>0.94029850746268662</v>
      </c>
      <c r="Y860" s="19">
        <f>N860</f>
        <v>7.5877331647170587E-3</v>
      </c>
      <c r="Z860" s="26">
        <f>(L860+Q860)/(L860+Q860+H860+K860)</f>
        <v>1.2578616352201259E-2</v>
      </c>
    </row>
    <row r="861" spans="1:26" x14ac:dyDescent="0.35">
      <c r="A861" t="s">
        <v>122</v>
      </c>
      <c r="B861" t="s">
        <v>122</v>
      </c>
      <c r="C861" t="s">
        <v>123</v>
      </c>
      <c r="D861" t="s">
        <v>100</v>
      </c>
      <c r="E861" t="s">
        <v>99</v>
      </c>
      <c r="F861" t="s">
        <v>12</v>
      </c>
      <c r="G861">
        <v>1</v>
      </c>
      <c r="H861">
        <v>315</v>
      </c>
      <c r="I861">
        <v>0.94029850746268595</v>
      </c>
      <c r="J861" s="25">
        <f t="shared" si="40"/>
        <v>0.94029850746268662</v>
      </c>
      <c r="K861">
        <v>3139</v>
      </c>
      <c r="L861">
        <v>24</v>
      </c>
      <c r="M861">
        <v>7.5877331647170396E-3</v>
      </c>
      <c r="N861" s="25">
        <f t="shared" si="39"/>
        <v>7.5877331647170587E-3</v>
      </c>
      <c r="O861">
        <v>0.99241226683528205</v>
      </c>
      <c r="P861" s="25">
        <f t="shared" si="41"/>
        <v>0.99241226683528294</v>
      </c>
      <c r="Q861">
        <v>20</v>
      </c>
      <c r="R861" t="s">
        <v>124</v>
      </c>
      <c r="S861" t="s">
        <v>124</v>
      </c>
      <c r="T861" t="s">
        <v>124</v>
      </c>
      <c r="U861" t="s">
        <v>124</v>
      </c>
      <c r="X861" s="19">
        <f>J861</f>
        <v>0.94029850746268662</v>
      </c>
      <c r="Y861" s="19">
        <f>N861</f>
        <v>7.5877331647170587E-3</v>
      </c>
      <c r="Z861" s="26">
        <f>(L861+Q861)/(L861+Q861+H861+K861)</f>
        <v>1.2578616352201259E-2</v>
      </c>
    </row>
    <row r="862" spans="1:26" x14ac:dyDescent="0.35">
      <c r="A862" t="s">
        <v>122</v>
      </c>
      <c r="B862" t="s">
        <v>122</v>
      </c>
      <c r="C862" t="s">
        <v>123</v>
      </c>
      <c r="D862" t="s">
        <v>100</v>
      </c>
      <c r="E862" t="s">
        <v>99</v>
      </c>
      <c r="F862" t="s">
        <v>12</v>
      </c>
      <c r="G862">
        <v>1</v>
      </c>
      <c r="H862">
        <v>315</v>
      </c>
      <c r="I862">
        <v>0.94029850746268595</v>
      </c>
      <c r="J862" s="25">
        <f t="shared" si="40"/>
        <v>0.94029850746268662</v>
      </c>
      <c r="K862">
        <v>3139</v>
      </c>
      <c r="L862">
        <v>24</v>
      </c>
      <c r="M862">
        <v>7.5877331647170396E-3</v>
      </c>
      <c r="N862" s="25">
        <f t="shared" si="39"/>
        <v>7.5877331647170587E-3</v>
      </c>
      <c r="O862">
        <v>0.99241226683528205</v>
      </c>
      <c r="P862" s="25">
        <f t="shared" si="41"/>
        <v>0.99241226683528294</v>
      </c>
      <c r="Q862">
        <v>20</v>
      </c>
      <c r="R862" t="s">
        <v>124</v>
      </c>
      <c r="S862" t="s">
        <v>124</v>
      </c>
      <c r="T862" t="s">
        <v>124</v>
      </c>
      <c r="U862" t="s">
        <v>124</v>
      </c>
      <c r="X862" s="19">
        <f>J862</f>
        <v>0.94029850746268662</v>
      </c>
      <c r="Y862" s="19">
        <f>N862</f>
        <v>7.5877331647170587E-3</v>
      </c>
      <c r="Z862" s="26">
        <f>(L862+Q862)/(L862+Q862+H862+K862)</f>
        <v>1.2578616352201259E-2</v>
      </c>
    </row>
    <row r="863" spans="1:26" x14ac:dyDescent="0.35">
      <c r="A863" t="s">
        <v>122</v>
      </c>
      <c r="B863" t="s">
        <v>122</v>
      </c>
      <c r="C863" t="s">
        <v>123</v>
      </c>
      <c r="D863" t="s">
        <v>100</v>
      </c>
      <c r="E863" t="s">
        <v>99</v>
      </c>
      <c r="F863" t="s">
        <v>12</v>
      </c>
      <c r="G863">
        <v>1</v>
      </c>
      <c r="H863">
        <v>315</v>
      </c>
      <c r="I863">
        <v>0.94029850746268595</v>
      </c>
      <c r="J863" s="25">
        <f t="shared" si="40"/>
        <v>0.94029850746268662</v>
      </c>
      <c r="K863">
        <v>3139</v>
      </c>
      <c r="L863">
        <v>24</v>
      </c>
      <c r="M863">
        <v>7.5877331647170396E-3</v>
      </c>
      <c r="N863" s="25">
        <f t="shared" si="39"/>
        <v>7.5877331647170587E-3</v>
      </c>
      <c r="O863">
        <v>0.99241226683528205</v>
      </c>
      <c r="P863" s="25">
        <f t="shared" si="41"/>
        <v>0.99241226683528294</v>
      </c>
      <c r="Q863">
        <v>20</v>
      </c>
      <c r="R863" t="s">
        <v>124</v>
      </c>
      <c r="S863" t="s">
        <v>124</v>
      </c>
      <c r="T863" t="s">
        <v>124</v>
      </c>
      <c r="U863" t="s">
        <v>124</v>
      </c>
      <c r="X863" s="19">
        <f>J863</f>
        <v>0.94029850746268662</v>
      </c>
      <c r="Y863" s="19">
        <f>N863</f>
        <v>7.5877331647170587E-3</v>
      </c>
      <c r="Z863" s="26">
        <f>(L863+Q863)/(L863+Q863+H863+K863)</f>
        <v>1.2578616352201259E-2</v>
      </c>
    </row>
    <row r="864" spans="1:26" x14ac:dyDescent="0.35">
      <c r="A864" t="s">
        <v>122</v>
      </c>
      <c r="B864" t="s">
        <v>122</v>
      </c>
      <c r="C864" t="s">
        <v>123</v>
      </c>
      <c r="D864" t="s">
        <v>100</v>
      </c>
      <c r="E864" t="s">
        <v>99</v>
      </c>
      <c r="F864" t="s">
        <v>12</v>
      </c>
      <c r="G864">
        <v>1</v>
      </c>
      <c r="H864">
        <v>315</v>
      </c>
      <c r="I864">
        <v>0.94029850746268595</v>
      </c>
      <c r="J864" s="25">
        <f t="shared" si="40"/>
        <v>0.94029850746268662</v>
      </c>
      <c r="K864">
        <v>3139</v>
      </c>
      <c r="L864">
        <v>24</v>
      </c>
      <c r="M864">
        <v>7.5877331647170396E-3</v>
      </c>
      <c r="N864" s="25">
        <f t="shared" si="39"/>
        <v>7.5877331647170587E-3</v>
      </c>
      <c r="O864">
        <v>0.99241226683528205</v>
      </c>
      <c r="P864" s="25">
        <f t="shared" si="41"/>
        <v>0.99241226683528294</v>
      </c>
      <c r="Q864">
        <v>20</v>
      </c>
      <c r="R864" t="s">
        <v>124</v>
      </c>
      <c r="S864" t="s">
        <v>124</v>
      </c>
      <c r="T864" t="s">
        <v>124</v>
      </c>
      <c r="U864" t="s">
        <v>124</v>
      </c>
      <c r="X864" s="19">
        <f>J864</f>
        <v>0.94029850746268662</v>
      </c>
      <c r="Y864" s="19">
        <f>N864</f>
        <v>7.5877331647170587E-3</v>
      </c>
      <c r="Z864" s="26">
        <f>(L864+Q864)/(L864+Q864+H864+K864)</f>
        <v>1.2578616352201259E-2</v>
      </c>
    </row>
    <row r="865" spans="1:26" x14ac:dyDescent="0.35">
      <c r="A865" t="s">
        <v>122</v>
      </c>
      <c r="B865" t="s">
        <v>122</v>
      </c>
      <c r="C865" t="s">
        <v>123</v>
      </c>
      <c r="D865" t="s">
        <v>100</v>
      </c>
      <c r="E865" t="s">
        <v>99</v>
      </c>
      <c r="F865" t="s">
        <v>12</v>
      </c>
      <c r="G865">
        <v>1</v>
      </c>
      <c r="H865">
        <v>315</v>
      </c>
      <c r="I865">
        <v>0.94029850746268595</v>
      </c>
      <c r="J865" s="25">
        <f t="shared" si="40"/>
        <v>0.94029850746268662</v>
      </c>
      <c r="K865">
        <v>3139</v>
      </c>
      <c r="L865">
        <v>24</v>
      </c>
      <c r="M865">
        <v>7.5877331647170396E-3</v>
      </c>
      <c r="N865" s="25">
        <f t="shared" si="39"/>
        <v>7.5877331647170587E-3</v>
      </c>
      <c r="O865">
        <v>0.99241226683528205</v>
      </c>
      <c r="P865" s="25">
        <f t="shared" si="41"/>
        <v>0.99241226683528294</v>
      </c>
      <c r="Q865">
        <v>20</v>
      </c>
      <c r="R865" t="s">
        <v>124</v>
      </c>
      <c r="S865" t="s">
        <v>124</v>
      </c>
      <c r="T865" t="s">
        <v>124</v>
      </c>
      <c r="U865" t="s">
        <v>124</v>
      </c>
      <c r="X865" s="19">
        <f>J865</f>
        <v>0.94029850746268662</v>
      </c>
      <c r="Y865" s="19">
        <f>N865</f>
        <v>7.5877331647170587E-3</v>
      </c>
      <c r="Z865" s="26">
        <f>(L865+Q865)/(L865+Q865+H865+K865)</f>
        <v>1.2578616352201259E-2</v>
      </c>
    </row>
    <row r="866" spans="1:26" x14ac:dyDescent="0.35">
      <c r="A866" t="s">
        <v>122</v>
      </c>
      <c r="B866" t="s">
        <v>122</v>
      </c>
      <c r="C866" t="s">
        <v>123</v>
      </c>
      <c r="D866" t="s">
        <v>100</v>
      </c>
      <c r="E866" t="s">
        <v>99</v>
      </c>
      <c r="F866" t="s">
        <v>12</v>
      </c>
      <c r="G866">
        <v>1</v>
      </c>
      <c r="H866">
        <v>315</v>
      </c>
      <c r="I866">
        <v>0.94029850746268595</v>
      </c>
      <c r="J866" s="25">
        <f t="shared" si="40"/>
        <v>0.94029850746268662</v>
      </c>
      <c r="K866">
        <v>3139</v>
      </c>
      <c r="L866">
        <v>24</v>
      </c>
      <c r="M866">
        <v>7.5877331647170396E-3</v>
      </c>
      <c r="N866" s="25">
        <f t="shared" si="39"/>
        <v>7.5877331647170587E-3</v>
      </c>
      <c r="O866">
        <v>0.99241226683528205</v>
      </c>
      <c r="P866" s="25">
        <f t="shared" si="41"/>
        <v>0.99241226683528294</v>
      </c>
      <c r="Q866">
        <v>20</v>
      </c>
      <c r="R866" t="s">
        <v>124</v>
      </c>
      <c r="S866" t="s">
        <v>124</v>
      </c>
      <c r="T866" t="s">
        <v>124</v>
      </c>
      <c r="U866" t="s">
        <v>124</v>
      </c>
      <c r="X866" s="19">
        <f>J866</f>
        <v>0.94029850746268662</v>
      </c>
      <c r="Y866" s="19">
        <f>N866</f>
        <v>7.5877331647170587E-3</v>
      </c>
      <c r="Z866" s="26">
        <f>(L866+Q866)/(L866+Q866+H866+K866)</f>
        <v>1.2578616352201259E-2</v>
      </c>
    </row>
    <row r="867" spans="1:26" x14ac:dyDescent="0.35">
      <c r="A867" t="s">
        <v>122</v>
      </c>
      <c r="B867" t="s">
        <v>122</v>
      </c>
      <c r="C867" t="s">
        <v>123</v>
      </c>
      <c r="D867" t="s">
        <v>100</v>
      </c>
      <c r="E867" t="s">
        <v>99</v>
      </c>
      <c r="F867" t="s">
        <v>12</v>
      </c>
      <c r="G867">
        <v>1</v>
      </c>
      <c r="H867">
        <v>315</v>
      </c>
      <c r="I867">
        <v>0.94029850746268595</v>
      </c>
      <c r="J867" s="25">
        <f t="shared" si="40"/>
        <v>0.94029850746268662</v>
      </c>
      <c r="K867">
        <v>3139</v>
      </c>
      <c r="L867">
        <v>24</v>
      </c>
      <c r="M867">
        <v>7.5877331647170396E-3</v>
      </c>
      <c r="N867" s="25">
        <f t="shared" si="39"/>
        <v>7.5877331647170587E-3</v>
      </c>
      <c r="O867">
        <v>0.99241226683528205</v>
      </c>
      <c r="P867" s="25">
        <f t="shared" si="41"/>
        <v>0.99241226683528294</v>
      </c>
      <c r="Q867">
        <v>20</v>
      </c>
      <c r="R867" t="s">
        <v>124</v>
      </c>
      <c r="S867" t="s">
        <v>124</v>
      </c>
      <c r="T867" t="s">
        <v>124</v>
      </c>
      <c r="U867" t="s">
        <v>124</v>
      </c>
      <c r="X867" s="19">
        <f>J867</f>
        <v>0.94029850746268662</v>
      </c>
      <c r="Y867" s="19">
        <f>N867</f>
        <v>7.5877331647170587E-3</v>
      </c>
      <c r="Z867" s="26">
        <f>(L867+Q867)/(L867+Q867+H867+K867)</f>
        <v>1.2578616352201259E-2</v>
      </c>
    </row>
    <row r="868" spans="1:26" x14ac:dyDescent="0.35">
      <c r="A868" t="s">
        <v>122</v>
      </c>
      <c r="B868" t="s">
        <v>122</v>
      </c>
      <c r="C868" t="s">
        <v>123</v>
      </c>
      <c r="D868" t="s">
        <v>100</v>
      </c>
      <c r="E868" t="s">
        <v>99</v>
      </c>
      <c r="F868" t="s">
        <v>12</v>
      </c>
      <c r="G868">
        <v>1</v>
      </c>
      <c r="H868">
        <v>315</v>
      </c>
      <c r="I868">
        <v>0.94029850746268595</v>
      </c>
      <c r="J868" s="25">
        <f t="shared" si="40"/>
        <v>0.94029850746268662</v>
      </c>
      <c r="K868">
        <v>3139</v>
      </c>
      <c r="L868">
        <v>24</v>
      </c>
      <c r="M868">
        <v>7.5877331647170396E-3</v>
      </c>
      <c r="N868" s="25">
        <f t="shared" si="39"/>
        <v>7.5877331647170587E-3</v>
      </c>
      <c r="O868">
        <v>0.99241226683528205</v>
      </c>
      <c r="P868" s="25">
        <f t="shared" si="41"/>
        <v>0.99241226683528294</v>
      </c>
      <c r="Q868">
        <v>20</v>
      </c>
      <c r="R868" t="s">
        <v>124</v>
      </c>
      <c r="S868" t="s">
        <v>124</v>
      </c>
      <c r="T868" t="s">
        <v>124</v>
      </c>
      <c r="U868" t="s">
        <v>124</v>
      </c>
      <c r="X868" s="19">
        <f>J868</f>
        <v>0.94029850746268662</v>
      </c>
      <c r="Y868" s="19">
        <f>N868</f>
        <v>7.5877331647170587E-3</v>
      </c>
      <c r="Z868" s="26">
        <f>(L868+Q868)/(L868+Q868+H868+K868)</f>
        <v>1.2578616352201259E-2</v>
      </c>
    </row>
    <row r="869" spans="1:26" x14ac:dyDescent="0.35">
      <c r="A869" t="s">
        <v>122</v>
      </c>
      <c r="B869" t="s">
        <v>122</v>
      </c>
      <c r="C869" t="s">
        <v>123</v>
      </c>
      <c r="D869" t="s">
        <v>100</v>
      </c>
      <c r="E869" t="s">
        <v>99</v>
      </c>
      <c r="F869" t="s">
        <v>12</v>
      </c>
      <c r="G869">
        <v>1</v>
      </c>
      <c r="H869">
        <v>315</v>
      </c>
      <c r="I869">
        <v>0.94029850746268595</v>
      </c>
      <c r="J869" s="25">
        <f t="shared" si="40"/>
        <v>0.94029850746268662</v>
      </c>
      <c r="K869">
        <v>3139</v>
      </c>
      <c r="L869">
        <v>24</v>
      </c>
      <c r="M869">
        <v>7.5877331647170396E-3</v>
      </c>
      <c r="N869" s="25">
        <f t="shared" si="39"/>
        <v>7.5877331647170587E-3</v>
      </c>
      <c r="O869">
        <v>0.99241226683528205</v>
      </c>
      <c r="P869" s="25">
        <f t="shared" si="41"/>
        <v>0.99241226683528294</v>
      </c>
      <c r="Q869">
        <v>20</v>
      </c>
      <c r="R869" t="s">
        <v>124</v>
      </c>
      <c r="S869" t="s">
        <v>124</v>
      </c>
      <c r="T869" t="s">
        <v>124</v>
      </c>
      <c r="U869" t="s">
        <v>124</v>
      </c>
      <c r="X869" s="19">
        <f>J869</f>
        <v>0.94029850746268662</v>
      </c>
      <c r="Y869" s="19">
        <f>N869</f>
        <v>7.5877331647170587E-3</v>
      </c>
      <c r="Z869" s="26">
        <f>(L869+Q869)/(L869+Q869+H869+K869)</f>
        <v>1.2578616352201259E-2</v>
      </c>
    </row>
    <row r="870" spans="1:26" x14ac:dyDescent="0.35">
      <c r="A870" t="s">
        <v>122</v>
      </c>
      <c r="B870" t="s">
        <v>122</v>
      </c>
      <c r="C870" t="s">
        <v>123</v>
      </c>
      <c r="D870" t="s">
        <v>100</v>
      </c>
      <c r="E870" t="s">
        <v>99</v>
      </c>
      <c r="F870" t="s">
        <v>12</v>
      </c>
      <c r="G870">
        <v>1</v>
      </c>
      <c r="H870">
        <v>315</v>
      </c>
      <c r="I870">
        <v>0.94029850746268595</v>
      </c>
      <c r="J870" s="25">
        <f t="shared" si="40"/>
        <v>0.94029850746268662</v>
      </c>
      <c r="K870">
        <v>3139</v>
      </c>
      <c r="L870">
        <v>24</v>
      </c>
      <c r="M870">
        <v>7.5877331647170396E-3</v>
      </c>
      <c r="N870" s="25">
        <f t="shared" si="39"/>
        <v>7.5877331647170587E-3</v>
      </c>
      <c r="O870">
        <v>0.99241226683528205</v>
      </c>
      <c r="P870" s="25">
        <f t="shared" si="41"/>
        <v>0.99241226683528294</v>
      </c>
      <c r="Q870">
        <v>20</v>
      </c>
      <c r="R870" t="s">
        <v>124</v>
      </c>
      <c r="S870" t="s">
        <v>124</v>
      </c>
      <c r="T870" t="s">
        <v>124</v>
      </c>
      <c r="U870" t="s">
        <v>124</v>
      </c>
      <c r="X870" s="19">
        <f>J870</f>
        <v>0.94029850746268662</v>
      </c>
      <c r="Y870" s="19">
        <f>N870</f>
        <v>7.5877331647170587E-3</v>
      </c>
      <c r="Z870" s="26">
        <f>(L870+Q870)/(L870+Q870+H870+K870)</f>
        <v>1.2578616352201259E-2</v>
      </c>
    </row>
    <row r="871" spans="1:26" x14ac:dyDescent="0.35">
      <c r="A871" t="s">
        <v>122</v>
      </c>
      <c r="B871" t="s">
        <v>122</v>
      </c>
      <c r="C871" t="s">
        <v>123</v>
      </c>
      <c r="D871" t="s">
        <v>100</v>
      </c>
      <c r="E871" t="s">
        <v>99</v>
      </c>
      <c r="F871" t="s">
        <v>12</v>
      </c>
      <c r="G871">
        <v>1</v>
      </c>
      <c r="H871">
        <v>315</v>
      </c>
      <c r="I871">
        <v>0.94029850746268595</v>
      </c>
      <c r="J871" s="25">
        <f t="shared" si="40"/>
        <v>0.94029850746268662</v>
      </c>
      <c r="K871">
        <v>3139</v>
      </c>
      <c r="L871">
        <v>24</v>
      </c>
      <c r="M871">
        <v>7.5877331647170396E-3</v>
      </c>
      <c r="N871" s="25">
        <f t="shared" si="39"/>
        <v>7.5877331647170587E-3</v>
      </c>
      <c r="O871">
        <v>0.99241226683528205</v>
      </c>
      <c r="P871" s="25">
        <f t="shared" si="41"/>
        <v>0.99241226683528294</v>
      </c>
      <c r="Q871">
        <v>20</v>
      </c>
      <c r="R871" t="s">
        <v>124</v>
      </c>
      <c r="S871" t="s">
        <v>124</v>
      </c>
      <c r="T871" t="s">
        <v>124</v>
      </c>
      <c r="U871" t="s">
        <v>124</v>
      </c>
      <c r="X871" s="19">
        <f>J871</f>
        <v>0.94029850746268662</v>
      </c>
      <c r="Y871" s="19">
        <f>N871</f>
        <v>7.5877331647170587E-3</v>
      </c>
      <c r="Z871" s="26">
        <f>(L871+Q871)/(L871+Q871+H871+K871)</f>
        <v>1.2578616352201259E-2</v>
      </c>
    </row>
    <row r="872" spans="1:26" x14ac:dyDescent="0.35">
      <c r="A872" t="s">
        <v>122</v>
      </c>
      <c r="B872" t="s">
        <v>122</v>
      </c>
      <c r="C872" t="s">
        <v>123</v>
      </c>
      <c r="D872" t="s">
        <v>100</v>
      </c>
      <c r="E872" t="s">
        <v>99</v>
      </c>
      <c r="F872" t="s">
        <v>12</v>
      </c>
      <c r="G872">
        <v>1</v>
      </c>
      <c r="H872">
        <v>315</v>
      </c>
      <c r="I872">
        <v>0.94029850746268595</v>
      </c>
      <c r="J872" s="25">
        <f t="shared" si="40"/>
        <v>0.94029850746268662</v>
      </c>
      <c r="K872">
        <v>3139</v>
      </c>
      <c r="L872">
        <v>24</v>
      </c>
      <c r="M872">
        <v>7.5877331647170396E-3</v>
      </c>
      <c r="N872" s="25">
        <f t="shared" si="39"/>
        <v>7.5877331647170587E-3</v>
      </c>
      <c r="O872">
        <v>0.99241226683528205</v>
      </c>
      <c r="P872" s="25">
        <f t="shared" si="41"/>
        <v>0.99241226683528294</v>
      </c>
      <c r="Q872">
        <v>20</v>
      </c>
      <c r="R872" t="s">
        <v>124</v>
      </c>
      <c r="S872" t="s">
        <v>124</v>
      </c>
      <c r="T872" t="s">
        <v>124</v>
      </c>
      <c r="U872" t="s">
        <v>124</v>
      </c>
      <c r="X872" s="19">
        <f>J872</f>
        <v>0.94029850746268662</v>
      </c>
      <c r="Y872" s="19">
        <f>N872</f>
        <v>7.5877331647170587E-3</v>
      </c>
      <c r="Z872" s="26">
        <f>(L872+Q872)/(L872+Q872+H872+K872)</f>
        <v>1.2578616352201259E-2</v>
      </c>
    </row>
    <row r="873" spans="1:26" x14ac:dyDescent="0.35">
      <c r="A873" t="s">
        <v>122</v>
      </c>
      <c r="B873" t="s">
        <v>122</v>
      </c>
      <c r="C873" t="s">
        <v>123</v>
      </c>
      <c r="D873" t="s">
        <v>100</v>
      </c>
      <c r="E873" t="s">
        <v>99</v>
      </c>
      <c r="F873" t="s">
        <v>12</v>
      </c>
      <c r="G873">
        <v>1</v>
      </c>
      <c r="H873">
        <v>315</v>
      </c>
      <c r="I873">
        <v>0.94029850746268595</v>
      </c>
      <c r="J873" s="25">
        <f t="shared" si="40"/>
        <v>0.94029850746268662</v>
      </c>
      <c r="K873">
        <v>3139</v>
      </c>
      <c r="L873">
        <v>24</v>
      </c>
      <c r="M873">
        <v>7.5877331647170396E-3</v>
      </c>
      <c r="N873" s="25">
        <f t="shared" si="39"/>
        <v>7.5877331647170587E-3</v>
      </c>
      <c r="O873">
        <v>0.99241226683528205</v>
      </c>
      <c r="P873" s="25">
        <f t="shared" si="41"/>
        <v>0.99241226683528294</v>
      </c>
      <c r="Q873">
        <v>20</v>
      </c>
      <c r="R873" t="s">
        <v>124</v>
      </c>
      <c r="S873" t="s">
        <v>124</v>
      </c>
      <c r="T873" t="s">
        <v>124</v>
      </c>
      <c r="U873" t="s">
        <v>124</v>
      </c>
      <c r="X873" s="19">
        <f>J873</f>
        <v>0.94029850746268662</v>
      </c>
      <c r="Y873" s="19">
        <f>N873</f>
        <v>7.5877331647170587E-3</v>
      </c>
      <c r="Z873" s="26">
        <f>(L873+Q873)/(L873+Q873+H873+K873)</f>
        <v>1.2578616352201259E-2</v>
      </c>
    </row>
    <row r="874" spans="1:26" x14ac:dyDescent="0.35">
      <c r="A874" t="s">
        <v>122</v>
      </c>
      <c r="B874" t="s">
        <v>122</v>
      </c>
      <c r="C874" t="s">
        <v>123</v>
      </c>
      <c r="D874" t="s">
        <v>100</v>
      </c>
      <c r="E874" t="s">
        <v>99</v>
      </c>
      <c r="F874" t="s">
        <v>12</v>
      </c>
      <c r="G874">
        <v>1</v>
      </c>
      <c r="H874">
        <v>315</v>
      </c>
      <c r="I874">
        <v>0.94029850746268595</v>
      </c>
      <c r="J874" s="25">
        <f t="shared" si="40"/>
        <v>0.94029850746268662</v>
      </c>
      <c r="K874">
        <v>3139</v>
      </c>
      <c r="L874">
        <v>24</v>
      </c>
      <c r="M874">
        <v>7.5877331647170396E-3</v>
      </c>
      <c r="N874" s="25">
        <f t="shared" si="39"/>
        <v>7.5877331647170587E-3</v>
      </c>
      <c r="O874">
        <v>0.99241226683528205</v>
      </c>
      <c r="P874" s="25">
        <f t="shared" si="41"/>
        <v>0.99241226683528294</v>
      </c>
      <c r="Q874">
        <v>20</v>
      </c>
      <c r="R874" t="s">
        <v>124</v>
      </c>
      <c r="S874" t="s">
        <v>124</v>
      </c>
      <c r="T874" t="s">
        <v>124</v>
      </c>
      <c r="U874" t="s">
        <v>124</v>
      </c>
      <c r="X874" s="19">
        <f>J874</f>
        <v>0.94029850746268662</v>
      </c>
      <c r="Y874" s="19">
        <f>N874</f>
        <v>7.5877331647170587E-3</v>
      </c>
      <c r="Z874" s="26">
        <f>(L874+Q874)/(L874+Q874+H874+K874)</f>
        <v>1.2578616352201259E-2</v>
      </c>
    </row>
    <row r="875" spans="1:26" x14ac:dyDescent="0.35">
      <c r="A875" t="s">
        <v>122</v>
      </c>
      <c r="B875" t="s">
        <v>122</v>
      </c>
      <c r="C875" t="s">
        <v>123</v>
      </c>
      <c r="D875" t="s">
        <v>100</v>
      </c>
      <c r="E875" t="s">
        <v>99</v>
      </c>
      <c r="F875" t="s">
        <v>12</v>
      </c>
      <c r="G875">
        <v>1</v>
      </c>
      <c r="H875">
        <v>315</v>
      </c>
      <c r="I875">
        <v>0.94029850746268595</v>
      </c>
      <c r="J875" s="25">
        <f t="shared" si="40"/>
        <v>0.94029850746268662</v>
      </c>
      <c r="K875">
        <v>3139</v>
      </c>
      <c r="L875">
        <v>24</v>
      </c>
      <c r="M875">
        <v>7.5877331647170396E-3</v>
      </c>
      <c r="N875" s="25">
        <f t="shared" si="39"/>
        <v>7.5877331647170587E-3</v>
      </c>
      <c r="O875">
        <v>0.99241226683528205</v>
      </c>
      <c r="P875" s="25">
        <f t="shared" si="41"/>
        <v>0.99241226683528294</v>
      </c>
      <c r="Q875">
        <v>20</v>
      </c>
      <c r="R875" t="s">
        <v>124</v>
      </c>
      <c r="S875" t="s">
        <v>124</v>
      </c>
      <c r="T875" t="s">
        <v>124</v>
      </c>
      <c r="U875" t="s">
        <v>124</v>
      </c>
      <c r="X875" s="19">
        <f>J875</f>
        <v>0.94029850746268662</v>
      </c>
      <c r="Y875" s="19">
        <f>N875</f>
        <v>7.5877331647170587E-3</v>
      </c>
      <c r="Z875" s="26">
        <f>(L875+Q875)/(L875+Q875+H875+K875)</f>
        <v>1.2578616352201259E-2</v>
      </c>
    </row>
    <row r="876" spans="1:26" x14ac:dyDescent="0.35">
      <c r="A876" t="s">
        <v>122</v>
      </c>
      <c r="B876" t="s">
        <v>122</v>
      </c>
      <c r="C876" t="s">
        <v>123</v>
      </c>
      <c r="D876" t="s">
        <v>100</v>
      </c>
      <c r="E876" t="s">
        <v>99</v>
      </c>
      <c r="F876" t="s">
        <v>12</v>
      </c>
      <c r="G876">
        <v>1</v>
      </c>
      <c r="H876">
        <v>315</v>
      </c>
      <c r="I876">
        <v>0.94029850746268595</v>
      </c>
      <c r="J876" s="25">
        <f t="shared" si="40"/>
        <v>0.94029850746268662</v>
      </c>
      <c r="K876">
        <v>3139</v>
      </c>
      <c r="L876">
        <v>24</v>
      </c>
      <c r="M876">
        <v>7.5877331647170396E-3</v>
      </c>
      <c r="N876" s="25">
        <f t="shared" si="39"/>
        <v>7.5877331647170587E-3</v>
      </c>
      <c r="O876">
        <v>0.99241226683528205</v>
      </c>
      <c r="P876" s="25">
        <f t="shared" si="41"/>
        <v>0.99241226683528294</v>
      </c>
      <c r="Q876">
        <v>20</v>
      </c>
      <c r="R876" t="s">
        <v>124</v>
      </c>
      <c r="S876" t="s">
        <v>124</v>
      </c>
      <c r="T876" t="s">
        <v>124</v>
      </c>
      <c r="U876" t="s">
        <v>124</v>
      </c>
      <c r="X876" s="19">
        <f>J876</f>
        <v>0.94029850746268662</v>
      </c>
      <c r="Y876" s="19">
        <f>N876</f>
        <v>7.5877331647170587E-3</v>
      </c>
      <c r="Z876" s="26">
        <f>(L876+Q876)/(L876+Q876+H876+K876)</f>
        <v>1.2578616352201259E-2</v>
      </c>
    </row>
    <row r="877" spans="1:26" x14ac:dyDescent="0.35">
      <c r="A877" t="s">
        <v>122</v>
      </c>
      <c r="B877" t="s">
        <v>122</v>
      </c>
      <c r="C877" t="s">
        <v>123</v>
      </c>
      <c r="D877" t="s">
        <v>100</v>
      </c>
      <c r="E877" t="s">
        <v>99</v>
      </c>
      <c r="F877" t="s">
        <v>12</v>
      </c>
      <c r="G877">
        <v>1</v>
      </c>
      <c r="H877">
        <v>315</v>
      </c>
      <c r="I877">
        <v>0.94029850746268595</v>
      </c>
      <c r="J877" s="25">
        <f t="shared" si="40"/>
        <v>0.94029850746268662</v>
      </c>
      <c r="K877">
        <v>3139</v>
      </c>
      <c r="L877">
        <v>24</v>
      </c>
      <c r="M877">
        <v>7.5877331647170396E-3</v>
      </c>
      <c r="N877" s="25">
        <f t="shared" si="39"/>
        <v>7.5877331647170587E-3</v>
      </c>
      <c r="O877">
        <v>0.99241226683528205</v>
      </c>
      <c r="P877" s="25">
        <f t="shared" si="41"/>
        <v>0.99241226683528294</v>
      </c>
      <c r="Q877">
        <v>20</v>
      </c>
      <c r="R877" t="s">
        <v>124</v>
      </c>
      <c r="S877" t="s">
        <v>124</v>
      </c>
      <c r="T877" t="s">
        <v>124</v>
      </c>
      <c r="U877" t="s">
        <v>124</v>
      </c>
      <c r="X877" s="19">
        <f>J877</f>
        <v>0.94029850746268662</v>
      </c>
      <c r="Y877" s="19">
        <f>N877</f>
        <v>7.5877331647170587E-3</v>
      </c>
      <c r="Z877" s="26">
        <f>(L877+Q877)/(L877+Q877+H877+K877)</f>
        <v>1.2578616352201259E-2</v>
      </c>
    </row>
    <row r="878" spans="1:26" x14ac:dyDescent="0.35">
      <c r="A878" t="s">
        <v>122</v>
      </c>
      <c r="B878" t="s">
        <v>122</v>
      </c>
      <c r="C878" t="s">
        <v>123</v>
      </c>
      <c r="D878" t="s">
        <v>100</v>
      </c>
      <c r="E878" t="s">
        <v>99</v>
      </c>
      <c r="F878" t="s">
        <v>12</v>
      </c>
      <c r="G878">
        <v>1</v>
      </c>
      <c r="H878">
        <v>315</v>
      </c>
      <c r="I878">
        <v>0.94029850746268595</v>
      </c>
      <c r="J878" s="25">
        <f t="shared" si="40"/>
        <v>0.94029850746268662</v>
      </c>
      <c r="K878">
        <v>3139</v>
      </c>
      <c r="L878">
        <v>24</v>
      </c>
      <c r="M878">
        <v>7.5877331647170396E-3</v>
      </c>
      <c r="N878" s="25">
        <f t="shared" si="39"/>
        <v>7.5877331647170587E-3</v>
      </c>
      <c r="O878">
        <v>0.99241226683528205</v>
      </c>
      <c r="P878" s="25">
        <f t="shared" si="41"/>
        <v>0.99241226683528294</v>
      </c>
      <c r="Q878">
        <v>20</v>
      </c>
      <c r="R878" t="s">
        <v>124</v>
      </c>
      <c r="S878" t="s">
        <v>124</v>
      </c>
      <c r="T878" t="s">
        <v>124</v>
      </c>
      <c r="U878" t="s">
        <v>124</v>
      </c>
      <c r="X878" s="19">
        <f>J878</f>
        <v>0.94029850746268662</v>
      </c>
      <c r="Y878" s="19">
        <f>N878</f>
        <v>7.5877331647170587E-3</v>
      </c>
      <c r="Z878" s="26">
        <f>(L878+Q878)/(L878+Q878+H878+K878)</f>
        <v>1.2578616352201259E-2</v>
      </c>
    </row>
    <row r="879" spans="1:26" x14ac:dyDescent="0.35">
      <c r="A879" t="s">
        <v>122</v>
      </c>
      <c r="B879" t="s">
        <v>122</v>
      </c>
      <c r="C879" t="s">
        <v>123</v>
      </c>
      <c r="D879" t="s">
        <v>100</v>
      </c>
      <c r="E879" t="s">
        <v>99</v>
      </c>
      <c r="F879" t="s">
        <v>12</v>
      </c>
      <c r="G879">
        <v>1</v>
      </c>
      <c r="H879">
        <v>315</v>
      </c>
      <c r="I879">
        <v>0.94029850746268595</v>
      </c>
      <c r="J879" s="25">
        <f t="shared" si="40"/>
        <v>0.94029850746268662</v>
      </c>
      <c r="K879">
        <v>3139</v>
      </c>
      <c r="L879">
        <v>24</v>
      </c>
      <c r="M879">
        <v>7.5877331647170396E-3</v>
      </c>
      <c r="N879" s="25">
        <f t="shared" si="39"/>
        <v>7.5877331647170587E-3</v>
      </c>
      <c r="O879">
        <v>0.99241226683528205</v>
      </c>
      <c r="P879" s="25">
        <f t="shared" si="41"/>
        <v>0.99241226683528294</v>
      </c>
      <c r="Q879">
        <v>20</v>
      </c>
      <c r="R879" t="s">
        <v>124</v>
      </c>
      <c r="S879" t="s">
        <v>124</v>
      </c>
      <c r="T879" t="s">
        <v>124</v>
      </c>
      <c r="U879" t="s">
        <v>124</v>
      </c>
      <c r="X879" s="19">
        <f>J879</f>
        <v>0.94029850746268662</v>
      </c>
      <c r="Y879" s="19">
        <f>N879</f>
        <v>7.5877331647170587E-3</v>
      </c>
      <c r="Z879" s="26">
        <f>(L879+Q879)/(L879+Q879+H879+K879)</f>
        <v>1.2578616352201259E-2</v>
      </c>
    </row>
    <row r="880" spans="1:26" x14ac:dyDescent="0.35">
      <c r="A880" t="s">
        <v>122</v>
      </c>
      <c r="B880" t="s">
        <v>122</v>
      </c>
      <c r="C880" t="s">
        <v>123</v>
      </c>
      <c r="D880" t="s">
        <v>100</v>
      </c>
      <c r="E880" t="s">
        <v>99</v>
      </c>
      <c r="F880" t="s">
        <v>12</v>
      </c>
      <c r="G880">
        <v>1</v>
      </c>
      <c r="H880">
        <v>315</v>
      </c>
      <c r="I880">
        <v>0.94029850746268595</v>
      </c>
      <c r="J880" s="25">
        <f t="shared" si="40"/>
        <v>0.94029850746268662</v>
      </c>
      <c r="K880">
        <v>3139</v>
      </c>
      <c r="L880">
        <v>24</v>
      </c>
      <c r="M880">
        <v>7.5877331647170396E-3</v>
      </c>
      <c r="N880" s="25">
        <f t="shared" si="39"/>
        <v>7.5877331647170587E-3</v>
      </c>
      <c r="O880">
        <v>0.99241226683528205</v>
      </c>
      <c r="P880" s="25">
        <f t="shared" si="41"/>
        <v>0.99241226683528294</v>
      </c>
      <c r="Q880">
        <v>20</v>
      </c>
      <c r="R880" t="s">
        <v>124</v>
      </c>
      <c r="S880" t="s">
        <v>124</v>
      </c>
      <c r="T880" t="s">
        <v>124</v>
      </c>
      <c r="U880" t="s">
        <v>124</v>
      </c>
      <c r="X880" s="19">
        <f>J880</f>
        <v>0.94029850746268662</v>
      </c>
      <c r="Y880" s="19">
        <f>N880</f>
        <v>7.5877331647170587E-3</v>
      </c>
      <c r="Z880" s="26">
        <f>(L880+Q880)/(L880+Q880+H880+K880)</f>
        <v>1.2578616352201259E-2</v>
      </c>
    </row>
    <row r="881" spans="1:26" x14ac:dyDescent="0.35">
      <c r="A881" t="s">
        <v>122</v>
      </c>
      <c r="B881" t="s">
        <v>122</v>
      </c>
      <c r="C881" t="s">
        <v>123</v>
      </c>
      <c r="D881" t="s">
        <v>100</v>
      </c>
      <c r="E881" t="s">
        <v>99</v>
      </c>
      <c r="F881" t="s">
        <v>12</v>
      </c>
      <c r="G881">
        <v>1</v>
      </c>
      <c r="H881">
        <v>315</v>
      </c>
      <c r="I881">
        <v>0.94029850746268595</v>
      </c>
      <c r="J881" s="25">
        <f t="shared" si="40"/>
        <v>0.94029850746268662</v>
      </c>
      <c r="K881">
        <v>3139</v>
      </c>
      <c r="L881">
        <v>24</v>
      </c>
      <c r="M881">
        <v>7.5877331647170396E-3</v>
      </c>
      <c r="N881" s="25">
        <f t="shared" si="39"/>
        <v>7.5877331647170587E-3</v>
      </c>
      <c r="O881">
        <v>0.99241226683528205</v>
      </c>
      <c r="P881" s="25">
        <f t="shared" si="41"/>
        <v>0.99241226683528294</v>
      </c>
      <c r="Q881">
        <v>20</v>
      </c>
      <c r="R881" t="s">
        <v>124</v>
      </c>
      <c r="S881" t="s">
        <v>124</v>
      </c>
      <c r="T881" t="s">
        <v>124</v>
      </c>
      <c r="U881" t="s">
        <v>124</v>
      </c>
      <c r="X881" s="19">
        <f>J881</f>
        <v>0.94029850746268662</v>
      </c>
      <c r="Y881" s="19">
        <f>N881</f>
        <v>7.5877331647170587E-3</v>
      </c>
      <c r="Z881" s="26">
        <f>(L881+Q881)/(L881+Q881+H881+K881)</f>
        <v>1.2578616352201259E-2</v>
      </c>
    </row>
    <row r="882" spans="1:26" x14ac:dyDescent="0.35">
      <c r="A882" t="s">
        <v>122</v>
      </c>
      <c r="B882" t="s">
        <v>122</v>
      </c>
      <c r="C882" t="s">
        <v>123</v>
      </c>
      <c r="D882" t="s">
        <v>100</v>
      </c>
      <c r="E882" t="s">
        <v>99</v>
      </c>
      <c r="F882" t="s">
        <v>12</v>
      </c>
      <c r="G882">
        <v>1</v>
      </c>
      <c r="H882">
        <v>315</v>
      </c>
      <c r="I882">
        <v>0.94029850746268595</v>
      </c>
      <c r="J882" s="25">
        <f t="shared" si="40"/>
        <v>0.94029850746268662</v>
      </c>
      <c r="K882">
        <v>3139</v>
      </c>
      <c r="L882">
        <v>24</v>
      </c>
      <c r="M882">
        <v>7.5877331647170396E-3</v>
      </c>
      <c r="N882" s="25">
        <f t="shared" si="39"/>
        <v>7.5877331647170587E-3</v>
      </c>
      <c r="O882">
        <v>0.99241226683528205</v>
      </c>
      <c r="P882" s="25">
        <f t="shared" si="41"/>
        <v>0.99241226683528294</v>
      </c>
      <c r="Q882">
        <v>20</v>
      </c>
      <c r="R882" t="s">
        <v>124</v>
      </c>
      <c r="S882" t="s">
        <v>124</v>
      </c>
      <c r="T882" t="s">
        <v>124</v>
      </c>
      <c r="U882" t="s">
        <v>124</v>
      </c>
      <c r="X882" s="19">
        <f>J882</f>
        <v>0.94029850746268662</v>
      </c>
      <c r="Y882" s="19">
        <f>N882</f>
        <v>7.5877331647170587E-3</v>
      </c>
      <c r="Z882" s="26">
        <f>(L882+Q882)/(L882+Q882+H882+K882)</f>
        <v>1.2578616352201259E-2</v>
      </c>
    </row>
    <row r="883" spans="1:26" x14ac:dyDescent="0.35">
      <c r="A883" t="s">
        <v>122</v>
      </c>
      <c r="B883" t="s">
        <v>122</v>
      </c>
      <c r="C883" t="s">
        <v>123</v>
      </c>
      <c r="D883" t="s">
        <v>100</v>
      </c>
      <c r="E883" t="s">
        <v>99</v>
      </c>
      <c r="F883" t="s">
        <v>12</v>
      </c>
      <c r="G883">
        <v>1</v>
      </c>
      <c r="H883">
        <v>315</v>
      </c>
      <c r="I883">
        <v>0.94029850746268595</v>
      </c>
      <c r="J883" s="25">
        <f t="shared" si="40"/>
        <v>0.94029850746268662</v>
      </c>
      <c r="K883">
        <v>3139</v>
      </c>
      <c r="L883">
        <v>24</v>
      </c>
      <c r="M883">
        <v>7.5877331647170396E-3</v>
      </c>
      <c r="N883" s="25">
        <f t="shared" si="39"/>
        <v>7.5877331647170587E-3</v>
      </c>
      <c r="O883">
        <v>0.99241226683528205</v>
      </c>
      <c r="P883" s="25">
        <f t="shared" si="41"/>
        <v>0.99241226683528294</v>
      </c>
      <c r="Q883">
        <v>20</v>
      </c>
      <c r="R883" t="s">
        <v>124</v>
      </c>
      <c r="S883" t="s">
        <v>124</v>
      </c>
      <c r="T883" t="s">
        <v>124</v>
      </c>
      <c r="U883" t="s">
        <v>124</v>
      </c>
      <c r="X883" s="19">
        <f>J883</f>
        <v>0.94029850746268662</v>
      </c>
      <c r="Y883" s="19">
        <f>N883</f>
        <v>7.5877331647170587E-3</v>
      </c>
      <c r="Z883" s="26">
        <f>(L883+Q883)/(L883+Q883+H883+K883)</f>
        <v>1.2578616352201259E-2</v>
      </c>
    </row>
    <row r="884" spans="1:26" x14ac:dyDescent="0.35">
      <c r="A884" t="s">
        <v>122</v>
      </c>
      <c r="B884" t="s">
        <v>122</v>
      </c>
      <c r="C884" t="s">
        <v>123</v>
      </c>
      <c r="D884" t="s">
        <v>100</v>
      </c>
      <c r="E884" t="s">
        <v>99</v>
      </c>
      <c r="F884" t="s">
        <v>12</v>
      </c>
      <c r="G884">
        <v>1</v>
      </c>
      <c r="H884">
        <v>315</v>
      </c>
      <c r="I884">
        <v>0.94029850746268595</v>
      </c>
      <c r="J884" s="25">
        <f t="shared" si="40"/>
        <v>0.94029850746268662</v>
      </c>
      <c r="K884">
        <v>3139</v>
      </c>
      <c r="L884">
        <v>24</v>
      </c>
      <c r="M884">
        <v>7.5877331647170396E-3</v>
      </c>
      <c r="N884" s="25">
        <f t="shared" si="39"/>
        <v>7.5877331647170587E-3</v>
      </c>
      <c r="O884">
        <v>0.99241226683528205</v>
      </c>
      <c r="P884" s="25">
        <f t="shared" si="41"/>
        <v>0.99241226683528294</v>
      </c>
      <c r="Q884">
        <v>20</v>
      </c>
      <c r="R884" t="s">
        <v>124</v>
      </c>
      <c r="S884" t="s">
        <v>124</v>
      </c>
      <c r="T884" t="s">
        <v>124</v>
      </c>
      <c r="U884" t="s">
        <v>124</v>
      </c>
      <c r="X884" s="19">
        <f>J884</f>
        <v>0.94029850746268662</v>
      </c>
      <c r="Y884" s="19">
        <f>N884</f>
        <v>7.5877331647170587E-3</v>
      </c>
      <c r="Z884" s="26">
        <f>(L884+Q884)/(L884+Q884+H884+K884)</f>
        <v>1.2578616352201259E-2</v>
      </c>
    </row>
    <row r="885" spans="1:26" x14ac:dyDescent="0.35">
      <c r="A885" t="s">
        <v>122</v>
      </c>
      <c r="B885" t="s">
        <v>122</v>
      </c>
      <c r="C885" t="s">
        <v>123</v>
      </c>
      <c r="D885" t="s">
        <v>100</v>
      </c>
      <c r="E885" t="s">
        <v>99</v>
      </c>
      <c r="F885" t="s">
        <v>12</v>
      </c>
      <c r="G885">
        <v>1</v>
      </c>
      <c r="H885">
        <v>315</v>
      </c>
      <c r="I885">
        <v>0.94029850746268595</v>
      </c>
      <c r="J885" s="25">
        <f t="shared" si="40"/>
        <v>0.94029850746268662</v>
      </c>
      <c r="K885">
        <v>3139</v>
      </c>
      <c r="L885">
        <v>24</v>
      </c>
      <c r="M885">
        <v>7.5877331647170396E-3</v>
      </c>
      <c r="N885" s="25">
        <f t="shared" si="39"/>
        <v>7.5877331647170587E-3</v>
      </c>
      <c r="O885">
        <v>0.99241226683528205</v>
      </c>
      <c r="P885" s="25">
        <f t="shared" si="41"/>
        <v>0.99241226683528294</v>
      </c>
      <c r="Q885">
        <v>20</v>
      </c>
      <c r="R885" t="s">
        <v>124</v>
      </c>
      <c r="S885" t="s">
        <v>124</v>
      </c>
      <c r="T885" t="s">
        <v>124</v>
      </c>
      <c r="U885" t="s">
        <v>124</v>
      </c>
      <c r="X885" s="19">
        <f>J885</f>
        <v>0.94029850746268662</v>
      </c>
      <c r="Y885" s="19">
        <f>N885</f>
        <v>7.5877331647170587E-3</v>
      </c>
      <c r="Z885" s="26">
        <f>(L885+Q885)/(L885+Q885+H885+K885)</f>
        <v>1.2578616352201259E-2</v>
      </c>
    </row>
    <row r="886" spans="1:26" x14ac:dyDescent="0.35">
      <c r="A886" t="s">
        <v>122</v>
      </c>
      <c r="B886" t="s">
        <v>122</v>
      </c>
      <c r="C886" t="s">
        <v>123</v>
      </c>
      <c r="D886" t="s">
        <v>100</v>
      </c>
      <c r="E886" t="s">
        <v>99</v>
      </c>
      <c r="F886" t="s">
        <v>12</v>
      </c>
      <c r="G886">
        <v>1</v>
      </c>
      <c r="H886">
        <v>315</v>
      </c>
      <c r="I886">
        <v>0.94029850746268595</v>
      </c>
      <c r="J886" s="25">
        <f t="shared" si="40"/>
        <v>0.94029850746268662</v>
      </c>
      <c r="K886">
        <v>3139</v>
      </c>
      <c r="L886">
        <v>24</v>
      </c>
      <c r="M886">
        <v>7.5877331647170396E-3</v>
      </c>
      <c r="N886" s="25">
        <f t="shared" si="39"/>
        <v>7.5877331647170587E-3</v>
      </c>
      <c r="O886">
        <v>0.99241226683528205</v>
      </c>
      <c r="P886" s="25">
        <f t="shared" si="41"/>
        <v>0.99241226683528294</v>
      </c>
      <c r="Q886">
        <v>20</v>
      </c>
      <c r="R886" t="s">
        <v>124</v>
      </c>
      <c r="S886" t="s">
        <v>124</v>
      </c>
      <c r="T886" t="s">
        <v>124</v>
      </c>
      <c r="U886" t="s">
        <v>124</v>
      </c>
      <c r="X886" s="19">
        <f>J886</f>
        <v>0.94029850746268662</v>
      </c>
      <c r="Y886" s="19">
        <f>N886</f>
        <v>7.5877331647170587E-3</v>
      </c>
      <c r="Z886" s="26">
        <f>(L886+Q886)/(L886+Q886+H886+K886)</f>
        <v>1.2578616352201259E-2</v>
      </c>
    </row>
    <row r="887" spans="1:26" x14ac:dyDescent="0.35">
      <c r="A887" t="s">
        <v>122</v>
      </c>
      <c r="B887" t="s">
        <v>122</v>
      </c>
      <c r="C887" t="s">
        <v>123</v>
      </c>
      <c r="D887" t="s">
        <v>100</v>
      </c>
      <c r="E887" t="s">
        <v>99</v>
      </c>
      <c r="F887" t="s">
        <v>12</v>
      </c>
      <c r="G887">
        <v>1</v>
      </c>
      <c r="H887">
        <v>315</v>
      </c>
      <c r="I887">
        <v>0.94029850746268595</v>
      </c>
      <c r="J887" s="25">
        <f t="shared" si="40"/>
        <v>0.94029850746268662</v>
      </c>
      <c r="K887">
        <v>3139</v>
      </c>
      <c r="L887">
        <v>24</v>
      </c>
      <c r="M887">
        <v>7.5877331647170396E-3</v>
      </c>
      <c r="N887" s="25">
        <f t="shared" si="39"/>
        <v>7.5877331647170587E-3</v>
      </c>
      <c r="O887">
        <v>0.99241226683528205</v>
      </c>
      <c r="P887" s="25">
        <f t="shared" si="41"/>
        <v>0.99241226683528294</v>
      </c>
      <c r="Q887">
        <v>20</v>
      </c>
      <c r="R887" t="s">
        <v>124</v>
      </c>
      <c r="S887" t="s">
        <v>124</v>
      </c>
      <c r="T887" t="s">
        <v>124</v>
      </c>
      <c r="U887" t="s">
        <v>124</v>
      </c>
      <c r="X887" s="19">
        <f>J887</f>
        <v>0.94029850746268662</v>
      </c>
      <c r="Y887" s="19">
        <f>N887</f>
        <v>7.5877331647170587E-3</v>
      </c>
      <c r="Z887" s="26">
        <f>(L887+Q887)/(L887+Q887+H887+K887)</f>
        <v>1.2578616352201259E-2</v>
      </c>
    </row>
    <row r="888" spans="1:26" x14ac:dyDescent="0.35">
      <c r="A888" t="s">
        <v>122</v>
      </c>
      <c r="B888" t="s">
        <v>122</v>
      </c>
      <c r="C888" t="s">
        <v>123</v>
      </c>
      <c r="D888" t="s">
        <v>100</v>
      </c>
      <c r="E888" t="s">
        <v>99</v>
      </c>
      <c r="F888" t="s">
        <v>12</v>
      </c>
      <c r="G888">
        <v>1</v>
      </c>
      <c r="H888">
        <v>315</v>
      </c>
      <c r="I888">
        <v>0.94029850746268595</v>
      </c>
      <c r="J888" s="25">
        <f t="shared" si="40"/>
        <v>0.94029850746268662</v>
      </c>
      <c r="K888">
        <v>3139</v>
      </c>
      <c r="L888">
        <v>24</v>
      </c>
      <c r="M888">
        <v>7.5877331647170396E-3</v>
      </c>
      <c r="N888" s="25">
        <f t="shared" si="39"/>
        <v>7.5877331647170587E-3</v>
      </c>
      <c r="O888">
        <v>0.99241226683528205</v>
      </c>
      <c r="P888" s="25">
        <f t="shared" si="41"/>
        <v>0.99241226683528294</v>
      </c>
      <c r="Q888">
        <v>20</v>
      </c>
      <c r="R888" t="s">
        <v>124</v>
      </c>
      <c r="S888" t="s">
        <v>124</v>
      </c>
      <c r="T888" t="s">
        <v>124</v>
      </c>
      <c r="U888" t="s">
        <v>124</v>
      </c>
      <c r="X888" s="19">
        <f>J888</f>
        <v>0.94029850746268662</v>
      </c>
      <c r="Y888" s="19">
        <f>N888</f>
        <v>7.5877331647170587E-3</v>
      </c>
      <c r="Z888" s="26">
        <f>(L888+Q888)/(L888+Q888+H888+K888)</f>
        <v>1.2578616352201259E-2</v>
      </c>
    </row>
    <row r="889" spans="1:26" x14ac:dyDescent="0.35">
      <c r="A889" t="s">
        <v>122</v>
      </c>
      <c r="B889" t="s">
        <v>122</v>
      </c>
      <c r="C889" t="s">
        <v>123</v>
      </c>
      <c r="D889" t="s">
        <v>100</v>
      </c>
      <c r="E889" t="s">
        <v>99</v>
      </c>
      <c r="F889" t="s">
        <v>12</v>
      </c>
      <c r="G889">
        <v>1</v>
      </c>
      <c r="H889">
        <v>315</v>
      </c>
      <c r="I889">
        <v>0.94029850746268595</v>
      </c>
      <c r="J889" s="25">
        <f t="shared" si="40"/>
        <v>0.94029850746268662</v>
      </c>
      <c r="K889">
        <v>3139</v>
      </c>
      <c r="L889">
        <v>24</v>
      </c>
      <c r="M889">
        <v>7.5877331647170396E-3</v>
      </c>
      <c r="N889" s="25">
        <f t="shared" si="39"/>
        <v>7.5877331647170587E-3</v>
      </c>
      <c r="O889">
        <v>0.99241226683528205</v>
      </c>
      <c r="P889" s="25">
        <f t="shared" si="41"/>
        <v>0.99241226683528294</v>
      </c>
      <c r="Q889">
        <v>20</v>
      </c>
      <c r="R889" t="s">
        <v>124</v>
      </c>
      <c r="S889" t="s">
        <v>124</v>
      </c>
      <c r="T889" t="s">
        <v>124</v>
      </c>
      <c r="U889" t="s">
        <v>124</v>
      </c>
      <c r="X889" s="19">
        <f>J889</f>
        <v>0.94029850746268662</v>
      </c>
      <c r="Y889" s="19">
        <f>N889</f>
        <v>7.5877331647170587E-3</v>
      </c>
      <c r="Z889" s="26">
        <f>(L889+Q889)/(L889+Q889+H889+K889)</f>
        <v>1.2578616352201259E-2</v>
      </c>
    </row>
    <row r="890" spans="1:26" x14ac:dyDescent="0.35">
      <c r="A890" t="s">
        <v>122</v>
      </c>
      <c r="B890" t="s">
        <v>122</v>
      </c>
      <c r="C890" t="s">
        <v>123</v>
      </c>
      <c r="D890" t="s">
        <v>100</v>
      </c>
      <c r="E890" t="s">
        <v>99</v>
      </c>
      <c r="F890" t="s">
        <v>12</v>
      </c>
      <c r="G890">
        <v>1</v>
      </c>
      <c r="H890">
        <v>324</v>
      </c>
      <c r="I890">
        <v>0.96716417910447705</v>
      </c>
      <c r="J890" s="25">
        <f t="shared" si="40"/>
        <v>0.96716417910447761</v>
      </c>
      <c r="K890">
        <v>3069</v>
      </c>
      <c r="L890">
        <v>94</v>
      </c>
      <c r="M890">
        <v>2.9718621561808399E-2</v>
      </c>
      <c r="N890" s="25">
        <f t="shared" si="39"/>
        <v>2.9718621561808378E-2</v>
      </c>
      <c r="O890">
        <v>0.97028137843819096</v>
      </c>
      <c r="P890" s="25">
        <f t="shared" si="41"/>
        <v>0.97028137843819162</v>
      </c>
      <c r="Q890">
        <v>11</v>
      </c>
      <c r="R890" t="s">
        <v>124</v>
      </c>
      <c r="S890" t="s">
        <v>124</v>
      </c>
      <c r="T890" t="s">
        <v>124</v>
      </c>
      <c r="U890" t="s">
        <v>124</v>
      </c>
      <c r="X890" s="19">
        <f>J890</f>
        <v>0.96716417910447761</v>
      </c>
      <c r="Y890" s="19">
        <f>N890</f>
        <v>2.9718621561808378E-2</v>
      </c>
      <c r="Z890" s="26">
        <f>(L890+Q890)/(L890+Q890+H890+K890)</f>
        <v>3.0017152658662092E-2</v>
      </c>
    </row>
    <row r="891" spans="1:26" x14ac:dyDescent="0.35">
      <c r="A891" t="s">
        <v>122</v>
      </c>
      <c r="B891" t="s">
        <v>122</v>
      </c>
      <c r="C891" t="s">
        <v>123</v>
      </c>
      <c r="D891" t="s">
        <v>100</v>
      </c>
      <c r="E891" t="s">
        <v>99</v>
      </c>
      <c r="F891" t="s">
        <v>12</v>
      </c>
      <c r="G891">
        <v>1</v>
      </c>
      <c r="H891">
        <v>324</v>
      </c>
      <c r="I891">
        <v>0.96716417910447705</v>
      </c>
      <c r="J891" s="25">
        <f t="shared" si="40"/>
        <v>0.96716417910447761</v>
      </c>
      <c r="K891">
        <v>3069</v>
      </c>
      <c r="L891">
        <v>94</v>
      </c>
      <c r="M891">
        <v>2.9718621561808399E-2</v>
      </c>
      <c r="N891" s="25">
        <f t="shared" si="39"/>
        <v>2.9718621561808378E-2</v>
      </c>
      <c r="O891">
        <v>0.97028137843819096</v>
      </c>
      <c r="P891" s="25">
        <f t="shared" si="41"/>
        <v>0.97028137843819162</v>
      </c>
      <c r="Q891">
        <v>11</v>
      </c>
      <c r="R891" t="s">
        <v>124</v>
      </c>
      <c r="S891" t="s">
        <v>124</v>
      </c>
      <c r="T891" t="s">
        <v>124</v>
      </c>
      <c r="U891" t="s">
        <v>124</v>
      </c>
      <c r="X891" s="19">
        <f>J891</f>
        <v>0.96716417910447761</v>
      </c>
      <c r="Y891" s="19">
        <f>N891</f>
        <v>2.9718621561808378E-2</v>
      </c>
      <c r="Z891" s="26">
        <f>(L891+Q891)/(L891+Q891+H891+K891)</f>
        <v>3.0017152658662092E-2</v>
      </c>
    </row>
    <row r="892" spans="1:26" x14ac:dyDescent="0.35">
      <c r="A892" t="s">
        <v>122</v>
      </c>
      <c r="B892" t="s">
        <v>122</v>
      </c>
      <c r="C892" t="s">
        <v>123</v>
      </c>
      <c r="D892" t="s">
        <v>100</v>
      </c>
      <c r="E892" t="s">
        <v>99</v>
      </c>
      <c r="F892" t="s">
        <v>12</v>
      </c>
      <c r="G892">
        <v>1</v>
      </c>
      <c r="H892">
        <v>324</v>
      </c>
      <c r="I892">
        <v>0.96716417910447705</v>
      </c>
      <c r="J892" s="25">
        <f t="shared" si="40"/>
        <v>0.96716417910447761</v>
      </c>
      <c r="K892">
        <v>3069</v>
      </c>
      <c r="L892">
        <v>94</v>
      </c>
      <c r="M892">
        <v>2.9718621561808399E-2</v>
      </c>
      <c r="N892" s="25">
        <f t="shared" si="39"/>
        <v>2.9718621561808378E-2</v>
      </c>
      <c r="O892">
        <v>0.97028137843819096</v>
      </c>
      <c r="P892" s="25">
        <f t="shared" si="41"/>
        <v>0.97028137843819162</v>
      </c>
      <c r="Q892">
        <v>11</v>
      </c>
      <c r="R892" t="s">
        <v>124</v>
      </c>
      <c r="S892" t="s">
        <v>124</v>
      </c>
      <c r="T892" t="s">
        <v>124</v>
      </c>
      <c r="U892" t="s">
        <v>124</v>
      </c>
      <c r="X892" s="19">
        <f>J892</f>
        <v>0.96716417910447761</v>
      </c>
      <c r="Y892" s="19">
        <f>N892</f>
        <v>2.9718621561808378E-2</v>
      </c>
      <c r="Z892" s="26">
        <f>(L892+Q892)/(L892+Q892+H892+K892)</f>
        <v>3.0017152658662092E-2</v>
      </c>
    </row>
    <row r="893" spans="1:26" x14ac:dyDescent="0.35">
      <c r="A893" t="s">
        <v>122</v>
      </c>
      <c r="B893" t="s">
        <v>122</v>
      </c>
      <c r="C893" t="s">
        <v>123</v>
      </c>
      <c r="D893" t="s">
        <v>100</v>
      </c>
      <c r="E893" t="s">
        <v>99</v>
      </c>
      <c r="F893" t="s">
        <v>12</v>
      </c>
      <c r="G893">
        <v>1</v>
      </c>
      <c r="H893">
        <v>324</v>
      </c>
      <c r="I893">
        <v>0.96716417910447705</v>
      </c>
      <c r="J893" s="25">
        <f t="shared" si="40"/>
        <v>0.96716417910447761</v>
      </c>
      <c r="K893">
        <v>3069</v>
      </c>
      <c r="L893">
        <v>94</v>
      </c>
      <c r="M893">
        <v>2.9718621561808399E-2</v>
      </c>
      <c r="N893" s="25">
        <f t="shared" si="39"/>
        <v>2.9718621561808378E-2</v>
      </c>
      <c r="O893">
        <v>0.97028137843819096</v>
      </c>
      <c r="P893" s="25">
        <f t="shared" si="41"/>
        <v>0.97028137843819162</v>
      </c>
      <c r="Q893">
        <v>11</v>
      </c>
      <c r="R893">
        <v>0.83333333333333004</v>
      </c>
      <c r="S893">
        <v>0.83333333333333004</v>
      </c>
      <c r="T893">
        <v>0.83299999999999996</v>
      </c>
      <c r="U893">
        <v>0.84289999999999998</v>
      </c>
      <c r="X893" s="19">
        <f>J893</f>
        <v>0.96716417910447761</v>
      </c>
      <c r="Y893" s="19">
        <f>N893</f>
        <v>2.9718621561808378E-2</v>
      </c>
      <c r="Z893" s="26">
        <f>(L893+Q893)/(L893+Q893+H893+K893)</f>
        <v>3.0017152658662092E-2</v>
      </c>
    </row>
    <row r="894" spans="1:26" x14ac:dyDescent="0.35">
      <c r="A894" t="s">
        <v>122</v>
      </c>
      <c r="B894" t="s">
        <v>122</v>
      </c>
      <c r="C894" t="s">
        <v>123</v>
      </c>
      <c r="D894" t="s">
        <v>100</v>
      </c>
      <c r="E894" t="s">
        <v>99</v>
      </c>
      <c r="F894" t="s">
        <v>12</v>
      </c>
      <c r="G894">
        <v>1</v>
      </c>
      <c r="H894">
        <v>324</v>
      </c>
      <c r="I894">
        <v>0.96716417910447705</v>
      </c>
      <c r="J894" s="25">
        <f t="shared" si="40"/>
        <v>0.96716417910447761</v>
      </c>
      <c r="K894">
        <v>3069</v>
      </c>
      <c r="L894">
        <v>94</v>
      </c>
      <c r="M894">
        <v>2.9718621561808399E-2</v>
      </c>
      <c r="N894" s="25">
        <f t="shared" si="39"/>
        <v>2.9718621561808378E-2</v>
      </c>
      <c r="O894">
        <v>0.97028137843819096</v>
      </c>
      <c r="P894" s="25">
        <f t="shared" si="41"/>
        <v>0.97028137843819162</v>
      </c>
      <c r="Q894">
        <v>11</v>
      </c>
      <c r="R894" t="s">
        <v>124</v>
      </c>
      <c r="S894" t="s">
        <v>124</v>
      </c>
      <c r="T894" t="s">
        <v>124</v>
      </c>
      <c r="U894" t="s">
        <v>124</v>
      </c>
      <c r="X894" s="19">
        <f>J894</f>
        <v>0.96716417910447761</v>
      </c>
      <c r="Y894" s="19">
        <f>N894</f>
        <v>2.9718621561808378E-2</v>
      </c>
      <c r="Z894" s="26">
        <f>(L894+Q894)/(L894+Q894+H894+K894)</f>
        <v>3.0017152658662092E-2</v>
      </c>
    </row>
    <row r="895" spans="1:26" x14ac:dyDescent="0.35">
      <c r="A895" t="s">
        <v>122</v>
      </c>
      <c r="B895" t="s">
        <v>122</v>
      </c>
      <c r="C895" t="s">
        <v>123</v>
      </c>
      <c r="D895" t="s">
        <v>100</v>
      </c>
      <c r="E895" t="s">
        <v>99</v>
      </c>
      <c r="F895" t="s">
        <v>12</v>
      </c>
      <c r="G895">
        <v>1</v>
      </c>
      <c r="H895">
        <v>324</v>
      </c>
      <c r="I895">
        <v>0.96716417910447705</v>
      </c>
      <c r="J895" s="25">
        <f t="shared" si="40"/>
        <v>0.96716417910447761</v>
      </c>
      <c r="K895">
        <v>3069</v>
      </c>
      <c r="L895">
        <v>94</v>
      </c>
      <c r="M895">
        <v>2.9718621561808399E-2</v>
      </c>
      <c r="N895" s="25">
        <f t="shared" si="39"/>
        <v>2.9718621561808378E-2</v>
      </c>
      <c r="O895">
        <v>0.97028137843819096</v>
      </c>
      <c r="P895" s="25">
        <f t="shared" si="41"/>
        <v>0.97028137843819162</v>
      </c>
      <c r="Q895">
        <v>11</v>
      </c>
      <c r="R895" t="s">
        <v>124</v>
      </c>
      <c r="S895" t="s">
        <v>124</v>
      </c>
      <c r="T895" t="s">
        <v>124</v>
      </c>
      <c r="U895" t="s">
        <v>124</v>
      </c>
      <c r="X895" s="19">
        <f>J895</f>
        <v>0.96716417910447761</v>
      </c>
      <c r="Y895" s="19">
        <f>N895</f>
        <v>2.9718621561808378E-2</v>
      </c>
      <c r="Z895" s="26">
        <f>(L895+Q895)/(L895+Q895+H895+K895)</f>
        <v>3.0017152658662092E-2</v>
      </c>
    </row>
    <row r="896" spans="1:26" x14ac:dyDescent="0.35">
      <c r="A896" t="s">
        <v>122</v>
      </c>
      <c r="B896" t="s">
        <v>122</v>
      </c>
      <c r="C896" t="s">
        <v>123</v>
      </c>
      <c r="D896" t="s">
        <v>100</v>
      </c>
      <c r="E896" t="s">
        <v>99</v>
      </c>
      <c r="F896" t="s">
        <v>12</v>
      </c>
      <c r="G896">
        <v>1</v>
      </c>
      <c r="H896">
        <v>324</v>
      </c>
      <c r="I896">
        <v>0.96716417910447705</v>
      </c>
      <c r="J896" s="25">
        <f t="shared" si="40"/>
        <v>0.96716417910447761</v>
      </c>
      <c r="K896">
        <v>3069</v>
      </c>
      <c r="L896">
        <v>94</v>
      </c>
      <c r="M896">
        <v>2.9718621561808399E-2</v>
      </c>
      <c r="N896" s="25">
        <f t="shared" si="39"/>
        <v>2.9718621561808378E-2</v>
      </c>
      <c r="O896">
        <v>0.97028137843819096</v>
      </c>
      <c r="P896" s="25">
        <f t="shared" si="41"/>
        <v>0.97028137843819162</v>
      </c>
      <c r="Q896">
        <v>11</v>
      </c>
      <c r="R896" t="s">
        <v>124</v>
      </c>
      <c r="S896" t="s">
        <v>124</v>
      </c>
      <c r="T896" t="s">
        <v>124</v>
      </c>
      <c r="U896" t="s">
        <v>124</v>
      </c>
      <c r="X896" s="19">
        <f>J896</f>
        <v>0.96716417910447761</v>
      </c>
      <c r="Y896" s="19">
        <f>N896</f>
        <v>2.9718621561808378E-2</v>
      </c>
      <c r="Z896" s="26">
        <f>(L896+Q896)/(L896+Q896+H896+K896)</f>
        <v>3.0017152658662092E-2</v>
      </c>
    </row>
    <row r="897" spans="1:26" x14ac:dyDescent="0.35">
      <c r="A897" t="s">
        <v>122</v>
      </c>
      <c r="B897" t="s">
        <v>122</v>
      </c>
      <c r="C897" t="s">
        <v>123</v>
      </c>
      <c r="D897" t="s">
        <v>100</v>
      </c>
      <c r="E897" t="s">
        <v>99</v>
      </c>
      <c r="F897" t="s">
        <v>12</v>
      </c>
      <c r="G897">
        <v>1</v>
      </c>
      <c r="H897">
        <v>324</v>
      </c>
      <c r="I897">
        <v>0.96716417910447705</v>
      </c>
      <c r="J897" s="25">
        <f t="shared" si="40"/>
        <v>0.96716417910447761</v>
      </c>
      <c r="K897">
        <v>3069</v>
      </c>
      <c r="L897">
        <v>94</v>
      </c>
      <c r="M897">
        <v>2.9718621561808399E-2</v>
      </c>
      <c r="N897" s="25">
        <f t="shared" si="39"/>
        <v>2.9718621561808378E-2</v>
      </c>
      <c r="O897">
        <v>0.97028137843819096</v>
      </c>
      <c r="P897" s="25">
        <f t="shared" si="41"/>
        <v>0.97028137843819162</v>
      </c>
      <c r="Q897">
        <v>11</v>
      </c>
      <c r="R897" t="s">
        <v>124</v>
      </c>
      <c r="S897" t="s">
        <v>124</v>
      </c>
      <c r="T897" t="s">
        <v>124</v>
      </c>
      <c r="U897" t="s">
        <v>124</v>
      </c>
      <c r="X897" s="19">
        <f>J897</f>
        <v>0.96716417910447761</v>
      </c>
      <c r="Y897" s="19">
        <f>N897</f>
        <v>2.9718621561808378E-2</v>
      </c>
      <c r="Z897" s="26">
        <f>(L897+Q897)/(L897+Q897+H897+K897)</f>
        <v>3.0017152658662092E-2</v>
      </c>
    </row>
    <row r="898" spans="1:26" x14ac:dyDescent="0.35">
      <c r="A898" t="s">
        <v>122</v>
      </c>
      <c r="B898" t="s">
        <v>122</v>
      </c>
      <c r="C898" t="s">
        <v>123</v>
      </c>
      <c r="D898" t="s">
        <v>100</v>
      </c>
      <c r="E898" t="s">
        <v>99</v>
      </c>
      <c r="F898" t="s">
        <v>12</v>
      </c>
      <c r="G898">
        <v>1</v>
      </c>
      <c r="H898">
        <v>324</v>
      </c>
      <c r="I898">
        <v>0.96716417910447705</v>
      </c>
      <c r="J898" s="25">
        <f t="shared" si="40"/>
        <v>0.96716417910447761</v>
      </c>
      <c r="K898">
        <v>3069</v>
      </c>
      <c r="L898">
        <v>94</v>
      </c>
      <c r="M898">
        <v>2.9718621561808399E-2</v>
      </c>
      <c r="N898" s="25">
        <f t="shared" ref="N898:N961" si="42">1-P898</f>
        <v>2.9718621561808378E-2</v>
      </c>
      <c r="O898">
        <v>0.97028137843819096</v>
      </c>
      <c r="P898" s="25">
        <f t="shared" si="41"/>
        <v>0.97028137843819162</v>
      </c>
      <c r="Q898">
        <v>11</v>
      </c>
      <c r="R898" t="s">
        <v>124</v>
      </c>
      <c r="S898" t="s">
        <v>124</v>
      </c>
      <c r="T898" t="s">
        <v>124</v>
      </c>
      <c r="U898" t="s">
        <v>124</v>
      </c>
      <c r="X898" s="19">
        <f>J898</f>
        <v>0.96716417910447761</v>
      </c>
      <c r="Y898" s="19">
        <f>N898</f>
        <v>2.9718621561808378E-2</v>
      </c>
      <c r="Z898" s="26">
        <f>(L898+Q898)/(L898+Q898+H898+K898)</f>
        <v>3.0017152658662092E-2</v>
      </c>
    </row>
    <row r="899" spans="1:26" x14ac:dyDescent="0.35">
      <c r="A899" t="s">
        <v>122</v>
      </c>
      <c r="B899" t="s">
        <v>122</v>
      </c>
      <c r="C899" t="s">
        <v>123</v>
      </c>
      <c r="D899" t="s">
        <v>100</v>
      </c>
      <c r="E899" t="s">
        <v>99</v>
      </c>
      <c r="F899" t="s">
        <v>12</v>
      </c>
      <c r="G899">
        <v>1</v>
      </c>
      <c r="H899">
        <v>324</v>
      </c>
      <c r="I899">
        <v>0.96716417910447705</v>
      </c>
      <c r="J899" s="25">
        <f t="shared" ref="J899:J962" si="43">H899/(H899+Q899)</f>
        <v>0.96716417910447761</v>
      </c>
      <c r="K899">
        <v>3069</v>
      </c>
      <c r="L899">
        <v>94</v>
      </c>
      <c r="M899">
        <v>2.9718621561808399E-2</v>
      </c>
      <c r="N899" s="25">
        <f t="shared" si="42"/>
        <v>2.9718621561808378E-2</v>
      </c>
      <c r="O899">
        <v>0.97028137843819096</v>
      </c>
      <c r="P899" s="25">
        <f t="shared" ref="P899:P962" si="44">K899/(K899+L899)</f>
        <v>0.97028137843819162</v>
      </c>
      <c r="Q899">
        <v>11</v>
      </c>
      <c r="R899" t="s">
        <v>124</v>
      </c>
      <c r="S899" t="s">
        <v>124</v>
      </c>
      <c r="T899" t="s">
        <v>124</v>
      </c>
      <c r="U899" t="s">
        <v>124</v>
      </c>
      <c r="X899" s="19">
        <f>J899</f>
        <v>0.96716417910447761</v>
      </c>
      <c r="Y899" s="19">
        <f>N899</f>
        <v>2.9718621561808378E-2</v>
      </c>
      <c r="Z899" s="26">
        <f>(L899+Q899)/(L899+Q899+H899+K899)</f>
        <v>3.0017152658662092E-2</v>
      </c>
    </row>
    <row r="900" spans="1:26" x14ac:dyDescent="0.35">
      <c r="A900" t="s">
        <v>122</v>
      </c>
      <c r="B900" t="s">
        <v>122</v>
      </c>
      <c r="C900" t="s">
        <v>123</v>
      </c>
      <c r="D900" t="s">
        <v>100</v>
      </c>
      <c r="E900" t="s">
        <v>99</v>
      </c>
      <c r="F900" t="s">
        <v>12</v>
      </c>
      <c r="G900">
        <v>1</v>
      </c>
      <c r="H900">
        <v>324</v>
      </c>
      <c r="I900">
        <v>0.96716417910447705</v>
      </c>
      <c r="J900" s="25">
        <f t="shared" si="43"/>
        <v>0.96716417910447761</v>
      </c>
      <c r="K900">
        <v>3069</v>
      </c>
      <c r="L900">
        <v>94</v>
      </c>
      <c r="M900">
        <v>2.9718621561808399E-2</v>
      </c>
      <c r="N900" s="25">
        <f t="shared" si="42"/>
        <v>2.9718621561808378E-2</v>
      </c>
      <c r="O900">
        <v>0.97028137843819096</v>
      </c>
      <c r="P900" s="25">
        <f t="shared" si="44"/>
        <v>0.97028137843819162</v>
      </c>
      <c r="Q900">
        <v>11</v>
      </c>
      <c r="R900" t="s">
        <v>124</v>
      </c>
      <c r="S900" t="s">
        <v>124</v>
      </c>
      <c r="T900" t="s">
        <v>124</v>
      </c>
      <c r="U900" t="s">
        <v>124</v>
      </c>
      <c r="X900" s="19">
        <f>J900</f>
        <v>0.96716417910447761</v>
      </c>
      <c r="Y900" s="19">
        <f>N900</f>
        <v>2.9718621561808378E-2</v>
      </c>
      <c r="Z900" s="26">
        <f>(L900+Q900)/(L900+Q900+H900+K900)</f>
        <v>3.0017152658662092E-2</v>
      </c>
    </row>
    <row r="901" spans="1:26" x14ac:dyDescent="0.35">
      <c r="A901" t="s">
        <v>122</v>
      </c>
      <c r="B901" t="s">
        <v>122</v>
      </c>
      <c r="C901" t="s">
        <v>123</v>
      </c>
      <c r="D901" t="s">
        <v>100</v>
      </c>
      <c r="E901" t="s">
        <v>99</v>
      </c>
      <c r="F901" t="s">
        <v>12</v>
      </c>
      <c r="G901">
        <v>1</v>
      </c>
      <c r="H901">
        <v>324</v>
      </c>
      <c r="I901">
        <v>0.96716417910447705</v>
      </c>
      <c r="J901" s="25">
        <f t="shared" si="43"/>
        <v>0.96716417910447761</v>
      </c>
      <c r="K901">
        <v>3069</v>
      </c>
      <c r="L901">
        <v>94</v>
      </c>
      <c r="M901">
        <v>2.9718621561808399E-2</v>
      </c>
      <c r="N901" s="25">
        <f t="shared" si="42"/>
        <v>2.9718621561808378E-2</v>
      </c>
      <c r="O901">
        <v>0.97028137843819096</v>
      </c>
      <c r="P901" s="25">
        <f t="shared" si="44"/>
        <v>0.97028137843819162</v>
      </c>
      <c r="Q901">
        <v>11</v>
      </c>
      <c r="R901" t="s">
        <v>124</v>
      </c>
      <c r="S901" t="s">
        <v>124</v>
      </c>
      <c r="T901" t="s">
        <v>124</v>
      </c>
      <c r="U901" t="s">
        <v>124</v>
      </c>
      <c r="X901" s="19">
        <f>J901</f>
        <v>0.96716417910447761</v>
      </c>
      <c r="Y901" s="19">
        <f>N901</f>
        <v>2.9718621561808378E-2</v>
      </c>
      <c r="Z901" s="26">
        <f>(L901+Q901)/(L901+Q901+H901+K901)</f>
        <v>3.0017152658662092E-2</v>
      </c>
    </row>
    <row r="902" spans="1:26" x14ac:dyDescent="0.35">
      <c r="A902" t="s">
        <v>122</v>
      </c>
      <c r="B902" t="s">
        <v>122</v>
      </c>
      <c r="C902" t="s">
        <v>123</v>
      </c>
      <c r="D902" t="s">
        <v>100</v>
      </c>
      <c r="E902" t="s">
        <v>99</v>
      </c>
      <c r="F902" t="s">
        <v>12</v>
      </c>
      <c r="G902">
        <v>1</v>
      </c>
      <c r="H902">
        <v>324</v>
      </c>
      <c r="I902">
        <v>0.96716417910447705</v>
      </c>
      <c r="J902" s="25">
        <f t="shared" si="43"/>
        <v>0.96716417910447761</v>
      </c>
      <c r="K902">
        <v>3069</v>
      </c>
      <c r="L902">
        <v>94</v>
      </c>
      <c r="M902">
        <v>2.9718621561808399E-2</v>
      </c>
      <c r="N902" s="25">
        <f t="shared" si="42"/>
        <v>2.9718621561808378E-2</v>
      </c>
      <c r="O902">
        <v>0.97028137843819096</v>
      </c>
      <c r="P902" s="25">
        <f t="shared" si="44"/>
        <v>0.97028137843819162</v>
      </c>
      <c r="Q902">
        <v>11</v>
      </c>
      <c r="R902" t="s">
        <v>124</v>
      </c>
      <c r="S902" t="s">
        <v>124</v>
      </c>
      <c r="T902" t="s">
        <v>124</v>
      </c>
      <c r="U902" t="s">
        <v>124</v>
      </c>
      <c r="X902" s="19">
        <f>J902</f>
        <v>0.96716417910447761</v>
      </c>
      <c r="Y902" s="19">
        <f>N902</f>
        <v>2.9718621561808378E-2</v>
      </c>
      <c r="Z902" s="26">
        <f>(L902+Q902)/(L902+Q902+H902+K902)</f>
        <v>3.0017152658662092E-2</v>
      </c>
    </row>
    <row r="903" spans="1:26" x14ac:dyDescent="0.35">
      <c r="A903" t="s">
        <v>122</v>
      </c>
      <c r="B903" t="s">
        <v>122</v>
      </c>
      <c r="C903" t="s">
        <v>123</v>
      </c>
      <c r="D903" t="s">
        <v>100</v>
      </c>
      <c r="E903" t="s">
        <v>99</v>
      </c>
      <c r="F903" t="s">
        <v>12</v>
      </c>
      <c r="G903">
        <v>1</v>
      </c>
      <c r="H903">
        <v>324</v>
      </c>
      <c r="I903">
        <v>0.96716417910447705</v>
      </c>
      <c r="J903" s="25">
        <f t="shared" si="43"/>
        <v>0.96716417910447761</v>
      </c>
      <c r="K903">
        <v>3069</v>
      </c>
      <c r="L903">
        <v>94</v>
      </c>
      <c r="M903">
        <v>2.9718621561808399E-2</v>
      </c>
      <c r="N903" s="25">
        <f t="shared" si="42"/>
        <v>2.9718621561808378E-2</v>
      </c>
      <c r="O903">
        <v>0.97028137843819096</v>
      </c>
      <c r="P903" s="25">
        <f t="shared" si="44"/>
        <v>0.97028137843819162</v>
      </c>
      <c r="Q903">
        <v>11</v>
      </c>
      <c r="R903" t="s">
        <v>124</v>
      </c>
      <c r="S903" t="s">
        <v>124</v>
      </c>
      <c r="T903" t="s">
        <v>124</v>
      </c>
      <c r="U903" t="s">
        <v>124</v>
      </c>
      <c r="X903" s="19">
        <f>J903</f>
        <v>0.96716417910447761</v>
      </c>
      <c r="Y903" s="19">
        <f>N903</f>
        <v>2.9718621561808378E-2</v>
      </c>
      <c r="Z903" s="26">
        <f>(L903+Q903)/(L903+Q903+H903+K903)</f>
        <v>3.0017152658662092E-2</v>
      </c>
    </row>
    <row r="904" spans="1:26" x14ac:dyDescent="0.35">
      <c r="A904" t="s">
        <v>122</v>
      </c>
      <c r="B904" t="s">
        <v>122</v>
      </c>
      <c r="C904" t="s">
        <v>123</v>
      </c>
      <c r="D904" t="s">
        <v>100</v>
      </c>
      <c r="E904" t="s">
        <v>99</v>
      </c>
      <c r="F904" t="s">
        <v>12</v>
      </c>
      <c r="G904">
        <v>1</v>
      </c>
      <c r="H904">
        <v>324</v>
      </c>
      <c r="I904">
        <v>0.96716417910447705</v>
      </c>
      <c r="J904" s="25">
        <f t="shared" si="43"/>
        <v>0.96716417910447761</v>
      </c>
      <c r="K904">
        <v>3069</v>
      </c>
      <c r="L904">
        <v>94</v>
      </c>
      <c r="M904">
        <v>2.9718621561808399E-2</v>
      </c>
      <c r="N904" s="25">
        <f t="shared" si="42"/>
        <v>2.9718621561808378E-2</v>
      </c>
      <c r="O904">
        <v>0.97028137843819096</v>
      </c>
      <c r="P904" s="25">
        <f t="shared" si="44"/>
        <v>0.97028137843819162</v>
      </c>
      <c r="Q904">
        <v>11</v>
      </c>
      <c r="R904" t="s">
        <v>124</v>
      </c>
      <c r="S904" t="s">
        <v>124</v>
      </c>
      <c r="T904" t="s">
        <v>124</v>
      </c>
      <c r="U904" t="s">
        <v>124</v>
      </c>
      <c r="X904" s="19">
        <f>J904</f>
        <v>0.96716417910447761</v>
      </c>
      <c r="Y904" s="19">
        <f>N904</f>
        <v>2.9718621561808378E-2</v>
      </c>
      <c r="Z904" s="26">
        <f>(L904+Q904)/(L904+Q904+H904+K904)</f>
        <v>3.0017152658662092E-2</v>
      </c>
    </row>
    <row r="905" spans="1:26" x14ac:dyDescent="0.35">
      <c r="A905" t="s">
        <v>122</v>
      </c>
      <c r="B905" t="s">
        <v>122</v>
      </c>
      <c r="C905" t="s">
        <v>123</v>
      </c>
      <c r="D905" t="s">
        <v>100</v>
      </c>
      <c r="E905" t="s">
        <v>99</v>
      </c>
      <c r="F905" t="s">
        <v>12</v>
      </c>
      <c r="G905">
        <v>1</v>
      </c>
      <c r="H905">
        <v>324</v>
      </c>
      <c r="I905">
        <v>0.96716417910447705</v>
      </c>
      <c r="J905" s="25">
        <f t="shared" si="43"/>
        <v>0.96716417910447761</v>
      </c>
      <c r="K905">
        <v>3069</v>
      </c>
      <c r="L905">
        <v>94</v>
      </c>
      <c r="M905">
        <v>2.9718621561808399E-2</v>
      </c>
      <c r="N905" s="25">
        <f t="shared" si="42"/>
        <v>2.9718621561808378E-2</v>
      </c>
      <c r="O905">
        <v>0.97028137843819096</v>
      </c>
      <c r="P905" s="25">
        <f t="shared" si="44"/>
        <v>0.97028137843819162</v>
      </c>
      <c r="Q905">
        <v>11</v>
      </c>
      <c r="R905" t="s">
        <v>124</v>
      </c>
      <c r="S905" t="s">
        <v>124</v>
      </c>
      <c r="T905" t="s">
        <v>124</v>
      </c>
      <c r="U905" t="s">
        <v>124</v>
      </c>
      <c r="X905" s="19">
        <f>J905</f>
        <v>0.96716417910447761</v>
      </c>
      <c r="Y905" s="19">
        <f>N905</f>
        <v>2.9718621561808378E-2</v>
      </c>
      <c r="Z905" s="26">
        <f>(L905+Q905)/(L905+Q905+H905+K905)</f>
        <v>3.0017152658662092E-2</v>
      </c>
    </row>
    <row r="906" spans="1:26" x14ac:dyDescent="0.35">
      <c r="A906" t="s">
        <v>122</v>
      </c>
      <c r="B906" t="s">
        <v>122</v>
      </c>
      <c r="C906" t="s">
        <v>123</v>
      </c>
      <c r="D906" t="s">
        <v>100</v>
      </c>
      <c r="E906" t="s">
        <v>99</v>
      </c>
      <c r="F906" t="s">
        <v>12</v>
      </c>
      <c r="G906">
        <v>1</v>
      </c>
      <c r="H906">
        <v>324</v>
      </c>
      <c r="I906">
        <v>0.96716417910447705</v>
      </c>
      <c r="J906" s="25">
        <f t="shared" si="43"/>
        <v>0.96716417910447761</v>
      </c>
      <c r="K906">
        <v>3069</v>
      </c>
      <c r="L906">
        <v>94</v>
      </c>
      <c r="M906">
        <v>2.9718621561808399E-2</v>
      </c>
      <c r="N906" s="25">
        <f t="shared" si="42"/>
        <v>2.9718621561808378E-2</v>
      </c>
      <c r="O906">
        <v>0.97028137843819096</v>
      </c>
      <c r="P906" s="25">
        <f t="shared" si="44"/>
        <v>0.97028137843819162</v>
      </c>
      <c r="Q906">
        <v>11</v>
      </c>
      <c r="R906" t="s">
        <v>124</v>
      </c>
      <c r="S906" t="s">
        <v>124</v>
      </c>
      <c r="T906" t="s">
        <v>124</v>
      </c>
      <c r="U906" t="s">
        <v>124</v>
      </c>
      <c r="X906" s="19">
        <f>J906</f>
        <v>0.96716417910447761</v>
      </c>
      <c r="Y906" s="19">
        <f>N906</f>
        <v>2.9718621561808378E-2</v>
      </c>
      <c r="Z906" s="26">
        <f>(L906+Q906)/(L906+Q906+H906+K906)</f>
        <v>3.0017152658662092E-2</v>
      </c>
    </row>
    <row r="907" spans="1:26" x14ac:dyDescent="0.35">
      <c r="A907" t="s">
        <v>122</v>
      </c>
      <c r="B907" t="s">
        <v>122</v>
      </c>
      <c r="C907" t="s">
        <v>123</v>
      </c>
      <c r="D907" t="s">
        <v>100</v>
      </c>
      <c r="E907" t="s">
        <v>99</v>
      </c>
      <c r="F907" t="s">
        <v>12</v>
      </c>
      <c r="G907">
        <v>1</v>
      </c>
      <c r="H907">
        <v>324</v>
      </c>
      <c r="I907">
        <v>0.96716417910447705</v>
      </c>
      <c r="J907" s="25">
        <f t="shared" si="43"/>
        <v>0.96716417910447761</v>
      </c>
      <c r="K907">
        <v>3069</v>
      </c>
      <c r="L907">
        <v>94</v>
      </c>
      <c r="M907">
        <v>2.9718621561808399E-2</v>
      </c>
      <c r="N907" s="25">
        <f t="shared" si="42"/>
        <v>2.9718621561808378E-2</v>
      </c>
      <c r="O907">
        <v>0.97028137843819096</v>
      </c>
      <c r="P907" s="25">
        <f t="shared" si="44"/>
        <v>0.97028137843819162</v>
      </c>
      <c r="Q907">
        <v>11</v>
      </c>
      <c r="R907" t="s">
        <v>124</v>
      </c>
      <c r="S907" t="s">
        <v>124</v>
      </c>
      <c r="T907" t="s">
        <v>124</v>
      </c>
      <c r="U907" t="s">
        <v>124</v>
      </c>
      <c r="X907" s="19">
        <f>J907</f>
        <v>0.96716417910447761</v>
      </c>
      <c r="Y907" s="19">
        <f>N907</f>
        <v>2.9718621561808378E-2</v>
      </c>
      <c r="Z907" s="26">
        <f>(L907+Q907)/(L907+Q907+H907+K907)</f>
        <v>3.0017152658662092E-2</v>
      </c>
    </row>
    <row r="908" spans="1:26" x14ac:dyDescent="0.35">
      <c r="A908" t="s">
        <v>122</v>
      </c>
      <c r="B908" t="s">
        <v>122</v>
      </c>
      <c r="C908" t="s">
        <v>123</v>
      </c>
      <c r="D908" t="s">
        <v>100</v>
      </c>
      <c r="E908" t="s">
        <v>99</v>
      </c>
      <c r="F908" t="s">
        <v>12</v>
      </c>
      <c r="G908">
        <v>1</v>
      </c>
      <c r="H908">
        <v>324</v>
      </c>
      <c r="I908">
        <v>0.96716417910447705</v>
      </c>
      <c r="J908" s="25">
        <f t="shared" si="43"/>
        <v>0.96716417910447761</v>
      </c>
      <c r="K908">
        <v>3069</v>
      </c>
      <c r="L908">
        <v>94</v>
      </c>
      <c r="M908">
        <v>2.9718621561808399E-2</v>
      </c>
      <c r="N908" s="25">
        <f t="shared" si="42"/>
        <v>2.9718621561808378E-2</v>
      </c>
      <c r="O908">
        <v>0.97028137843819096</v>
      </c>
      <c r="P908" s="25">
        <f t="shared" si="44"/>
        <v>0.97028137843819162</v>
      </c>
      <c r="Q908">
        <v>11</v>
      </c>
      <c r="R908" t="s">
        <v>124</v>
      </c>
      <c r="S908" t="s">
        <v>124</v>
      </c>
      <c r="T908" t="s">
        <v>124</v>
      </c>
      <c r="U908" t="s">
        <v>124</v>
      </c>
      <c r="X908" s="19">
        <f>J908</f>
        <v>0.96716417910447761</v>
      </c>
      <c r="Y908" s="19">
        <f>N908</f>
        <v>2.9718621561808378E-2</v>
      </c>
      <c r="Z908" s="26">
        <f>(L908+Q908)/(L908+Q908+H908+K908)</f>
        <v>3.0017152658662092E-2</v>
      </c>
    </row>
    <row r="909" spans="1:26" x14ac:dyDescent="0.35">
      <c r="A909" t="s">
        <v>122</v>
      </c>
      <c r="B909" t="s">
        <v>122</v>
      </c>
      <c r="C909" t="s">
        <v>123</v>
      </c>
      <c r="D909" t="s">
        <v>100</v>
      </c>
      <c r="E909" t="s">
        <v>99</v>
      </c>
      <c r="F909" t="s">
        <v>12</v>
      </c>
      <c r="G909">
        <v>1</v>
      </c>
      <c r="H909">
        <v>324</v>
      </c>
      <c r="I909">
        <v>0.96716417910447705</v>
      </c>
      <c r="J909" s="25">
        <f t="shared" si="43"/>
        <v>0.96716417910447761</v>
      </c>
      <c r="K909">
        <v>3069</v>
      </c>
      <c r="L909">
        <v>94</v>
      </c>
      <c r="M909">
        <v>2.9718621561808399E-2</v>
      </c>
      <c r="N909" s="25">
        <f t="shared" si="42"/>
        <v>2.9718621561808378E-2</v>
      </c>
      <c r="O909">
        <v>0.97028137843819096</v>
      </c>
      <c r="P909" s="25">
        <f t="shared" si="44"/>
        <v>0.97028137843819162</v>
      </c>
      <c r="Q909">
        <v>11</v>
      </c>
      <c r="R909">
        <v>1</v>
      </c>
      <c r="S909">
        <v>1</v>
      </c>
      <c r="T909">
        <v>1</v>
      </c>
      <c r="U909">
        <v>1.0099</v>
      </c>
      <c r="X909" s="19">
        <f>J909</f>
        <v>0.96716417910447761</v>
      </c>
      <c r="Y909" s="19">
        <f>N909</f>
        <v>2.9718621561808378E-2</v>
      </c>
      <c r="Z909" s="26">
        <f>(L909+Q909)/(L909+Q909+H909+K909)</f>
        <v>3.0017152658662092E-2</v>
      </c>
    </row>
    <row r="910" spans="1:26" x14ac:dyDescent="0.35">
      <c r="A910" t="s">
        <v>122</v>
      </c>
      <c r="B910" t="s">
        <v>122</v>
      </c>
      <c r="C910" t="s">
        <v>123</v>
      </c>
      <c r="D910" t="s">
        <v>100</v>
      </c>
      <c r="E910" t="s">
        <v>99</v>
      </c>
      <c r="F910" t="s">
        <v>12</v>
      </c>
      <c r="G910">
        <v>1</v>
      </c>
      <c r="H910">
        <v>324</v>
      </c>
      <c r="I910">
        <v>0.96716417910447705</v>
      </c>
      <c r="J910" s="25">
        <f t="shared" si="43"/>
        <v>0.96716417910447761</v>
      </c>
      <c r="K910">
        <v>3069</v>
      </c>
      <c r="L910">
        <v>94</v>
      </c>
      <c r="M910">
        <v>2.9718621561808399E-2</v>
      </c>
      <c r="N910" s="25">
        <f t="shared" si="42"/>
        <v>2.9718621561808378E-2</v>
      </c>
      <c r="O910">
        <v>0.97028137843819096</v>
      </c>
      <c r="P910" s="25">
        <f t="shared" si="44"/>
        <v>0.97028137843819162</v>
      </c>
      <c r="Q910">
        <v>11</v>
      </c>
      <c r="R910" t="s">
        <v>124</v>
      </c>
      <c r="S910" t="s">
        <v>124</v>
      </c>
      <c r="T910" t="s">
        <v>124</v>
      </c>
      <c r="U910" t="s">
        <v>124</v>
      </c>
      <c r="X910" s="19">
        <f>J910</f>
        <v>0.96716417910447761</v>
      </c>
      <c r="Y910" s="19">
        <f>N910</f>
        <v>2.9718621561808378E-2</v>
      </c>
      <c r="Z910" s="26">
        <f>(L910+Q910)/(L910+Q910+H910+K910)</f>
        <v>3.0017152658662092E-2</v>
      </c>
    </row>
    <row r="911" spans="1:26" x14ac:dyDescent="0.35">
      <c r="A911" t="s">
        <v>122</v>
      </c>
      <c r="B911" t="s">
        <v>122</v>
      </c>
      <c r="C911" t="s">
        <v>123</v>
      </c>
      <c r="D911" t="s">
        <v>100</v>
      </c>
      <c r="E911" t="s">
        <v>99</v>
      </c>
      <c r="F911" t="s">
        <v>12</v>
      </c>
      <c r="G911">
        <v>1</v>
      </c>
      <c r="H911">
        <v>324</v>
      </c>
      <c r="I911">
        <v>0.96716417910447705</v>
      </c>
      <c r="J911" s="25">
        <f t="shared" si="43"/>
        <v>0.96716417910447761</v>
      </c>
      <c r="K911">
        <v>3069</v>
      </c>
      <c r="L911">
        <v>94</v>
      </c>
      <c r="M911">
        <v>2.9718621561808399E-2</v>
      </c>
      <c r="N911" s="25">
        <f t="shared" si="42"/>
        <v>2.9718621561808378E-2</v>
      </c>
      <c r="O911">
        <v>0.97028137843819096</v>
      </c>
      <c r="P911" s="25">
        <f t="shared" si="44"/>
        <v>0.97028137843819162</v>
      </c>
      <c r="Q911">
        <v>11</v>
      </c>
      <c r="R911" t="s">
        <v>124</v>
      </c>
      <c r="S911" t="s">
        <v>124</v>
      </c>
      <c r="T911" t="s">
        <v>124</v>
      </c>
      <c r="U911" t="s">
        <v>124</v>
      </c>
      <c r="X911" s="19">
        <f>J911</f>
        <v>0.96716417910447761</v>
      </c>
      <c r="Y911" s="19">
        <f>N911</f>
        <v>2.9718621561808378E-2</v>
      </c>
      <c r="Z911" s="26">
        <f>(L911+Q911)/(L911+Q911+H911+K911)</f>
        <v>3.0017152658662092E-2</v>
      </c>
    </row>
    <row r="912" spans="1:26" x14ac:dyDescent="0.35">
      <c r="A912" t="s">
        <v>122</v>
      </c>
      <c r="B912" t="s">
        <v>122</v>
      </c>
      <c r="C912" t="s">
        <v>123</v>
      </c>
      <c r="D912" t="s">
        <v>100</v>
      </c>
      <c r="E912" t="s">
        <v>99</v>
      </c>
      <c r="F912" t="s">
        <v>12</v>
      </c>
      <c r="G912">
        <v>1</v>
      </c>
      <c r="H912">
        <v>324</v>
      </c>
      <c r="I912">
        <v>0.96716417910447705</v>
      </c>
      <c r="J912" s="25">
        <f t="shared" si="43"/>
        <v>0.96716417910447761</v>
      </c>
      <c r="K912">
        <v>3069</v>
      </c>
      <c r="L912">
        <v>94</v>
      </c>
      <c r="M912">
        <v>2.9718621561808399E-2</v>
      </c>
      <c r="N912" s="25">
        <f t="shared" si="42"/>
        <v>2.9718621561808378E-2</v>
      </c>
      <c r="O912">
        <v>0.97028137843819096</v>
      </c>
      <c r="P912" s="25">
        <f t="shared" si="44"/>
        <v>0.97028137843819162</v>
      </c>
      <c r="Q912">
        <v>11</v>
      </c>
      <c r="R912" t="s">
        <v>124</v>
      </c>
      <c r="S912" t="s">
        <v>124</v>
      </c>
      <c r="T912" t="s">
        <v>124</v>
      </c>
      <c r="U912" t="s">
        <v>124</v>
      </c>
      <c r="X912" s="19">
        <f>J912</f>
        <v>0.96716417910447761</v>
      </c>
      <c r="Y912" s="19">
        <f>N912</f>
        <v>2.9718621561808378E-2</v>
      </c>
      <c r="Z912" s="26">
        <f>(L912+Q912)/(L912+Q912+H912+K912)</f>
        <v>3.0017152658662092E-2</v>
      </c>
    </row>
    <row r="913" spans="1:26" x14ac:dyDescent="0.35">
      <c r="A913" t="s">
        <v>122</v>
      </c>
      <c r="B913" t="s">
        <v>122</v>
      </c>
      <c r="C913" t="s">
        <v>123</v>
      </c>
      <c r="D913" t="s">
        <v>100</v>
      </c>
      <c r="E913" t="s">
        <v>99</v>
      </c>
      <c r="F913" t="s">
        <v>12</v>
      </c>
      <c r="G913">
        <v>1</v>
      </c>
      <c r="H913">
        <v>324</v>
      </c>
      <c r="I913">
        <v>0.96716417910447705</v>
      </c>
      <c r="J913" s="25">
        <f t="shared" si="43"/>
        <v>0.96716417910447761</v>
      </c>
      <c r="K913">
        <v>3069</v>
      </c>
      <c r="L913">
        <v>94</v>
      </c>
      <c r="M913">
        <v>2.9718621561808399E-2</v>
      </c>
      <c r="N913" s="25">
        <f t="shared" si="42"/>
        <v>2.9718621561808378E-2</v>
      </c>
      <c r="O913">
        <v>0.97028137843819096</v>
      </c>
      <c r="P913" s="25">
        <f t="shared" si="44"/>
        <v>0.97028137843819162</v>
      </c>
      <c r="Q913">
        <v>11</v>
      </c>
      <c r="R913" t="s">
        <v>124</v>
      </c>
      <c r="S913" t="s">
        <v>124</v>
      </c>
      <c r="T913" t="s">
        <v>124</v>
      </c>
      <c r="U913" t="s">
        <v>124</v>
      </c>
      <c r="X913" s="19">
        <f>J913</f>
        <v>0.96716417910447761</v>
      </c>
      <c r="Y913" s="19">
        <f>N913</f>
        <v>2.9718621561808378E-2</v>
      </c>
      <c r="Z913" s="26">
        <f>(L913+Q913)/(L913+Q913+H913+K913)</f>
        <v>3.0017152658662092E-2</v>
      </c>
    </row>
    <row r="914" spans="1:26" x14ac:dyDescent="0.35">
      <c r="A914" t="s">
        <v>122</v>
      </c>
      <c r="B914" t="s">
        <v>122</v>
      </c>
      <c r="C914" t="s">
        <v>123</v>
      </c>
      <c r="D914" t="s">
        <v>100</v>
      </c>
      <c r="E914" t="s">
        <v>99</v>
      </c>
      <c r="F914" t="s">
        <v>12</v>
      </c>
      <c r="G914">
        <v>1</v>
      </c>
      <c r="H914">
        <v>324</v>
      </c>
      <c r="I914">
        <v>0.96716417910447705</v>
      </c>
      <c r="J914" s="25">
        <f t="shared" si="43"/>
        <v>0.96716417910447761</v>
      </c>
      <c r="K914">
        <v>3069</v>
      </c>
      <c r="L914">
        <v>94</v>
      </c>
      <c r="M914">
        <v>2.9718621561808399E-2</v>
      </c>
      <c r="N914" s="25">
        <f t="shared" si="42"/>
        <v>2.9718621561808378E-2</v>
      </c>
      <c r="O914">
        <v>0.97028137843819096</v>
      </c>
      <c r="P914" s="25">
        <f t="shared" si="44"/>
        <v>0.97028137843819162</v>
      </c>
      <c r="Q914">
        <v>11</v>
      </c>
      <c r="R914" t="s">
        <v>124</v>
      </c>
      <c r="S914" t="s">
        <v>124</v>
      </c>
      <c r="T914" t="s">
        <v>124</v>
      </c>
      <c r="U914" t="s">
        <v>124</v>
      </c>
      <c r="X914" s="19">
        <f>J914</f>
        <v>0.96716417910447761</v>
      </c>
      <c r="Y914" s="19">
        <f>N914</f>
        <v>2.9718621561808378E-2</v>
      </c>
      <c r="Z914" s="26">
        <f>(L914+Q914)/(L914+Q914+H914+K914)</f>
        <v>3.0017152658662092E-2</v>
      </c>
    </row>
    <row r="915" spans="1:26" x14ac:dyDescent="0.35">
      <c r="A915" t="s">
        <v>122</v>
      </c>
      <c r="B915" t="s">
        <v>122</v>
      </c>
      <c r="C915" t="s">
        <v>123</v>
      </c>
      <c r="D915" t="s">
        <v>100</v>
      </c>
      <c r="E915" t="s">
        <v>99</v>
      </c>
      <c r="F915" t="s">
        <v>12</v>
      </c>
      <c r="G915">
        <v>1</v>
      </c>
      <c r="H915">
        <v>324</v>
      </c>
      <c r="I915">
        <v>0.96716417910447705</v>
      </c>
      <c r="J915" s="25">
        <f t="shared" si="43"/>
        <v>0.96716417910447761</v>
      </c>
      <c r="K915">
        <v>3069</v>
      </c>
      <c r="L915">
        <v>94</v>
      </c>
      <c r="M915">
        <v>2.9718621561808399E-2</v>
      </c>
      <c r="N915" s="25">
        <f t="shared" si="42"/>
        <v>2.9718621561808378E-2</v>
      </c>
      <c r="O915">
        <v>0.97028137843819096</v>
      </c>
      <c r="P915" s="25">
        <f t="shared" si="44"/>
        <v>0.97028137843819162</v>
      </c>
      <c r="Q915">
        <v>11</v>
      </c>
      <c r="R915" t="s">
        <v>124</v>
      </c>
      <c r="S915" t="s">
        <v>124</v>
      </c>
      <c r="T915" t="s">
        <v>124</v>
      </c>
      <c r="U915" t="s">
        <v>124</v>
      </c>
      <c r="X915" s="19">
        <f>J915</f>
        <v>0.96716417910447761</v>
      </c>
      <c r="Y915" s="19">
        <f>N915</f>
        <v>2.9718621561808378E-2</v>
      </c>
      <c r="Z915" s="26">
        <f>(L915+Q915)/(L915+Q915+H915+K915)</f>
        <v>3.0017152658662092E-2</v>
      </c>
    </row>
    <row r="916" spans="1:26" x14ac:dyDescent="0.35">
      <c r="A916" t="s">
        <v>122</v>
      </c>
      <c r="B916" t="s">
        <v>122</v>
      </c>
      <c r="C916" t="s">
        <v>123</v>
      </c>
      <c r="D916" t="s">
        <v>100</v>
      </c>
      <c r="E916" t="s">
        <v>99</v>
      </c>
      <c r="F916" t="s">
        <v>12</v>
      </c>
      <c r="G916">
        <v>1</v>
      </c>
      <c r="H916">
        <v>324</v>
      </c>
      <c r="I916">
        <v>0.96716417910447705</v>
      </c>
      <c r="J916" s="25">
        <f t="shared" si="43"/>
        <v>0.96716417910447761</v>
      </c>
      <c r="K916">
        <v>3069</v>
      </c>
      <c r="L916">
        <v>94</v>
      </c>
      <c r="M916">
        <v>2.9718621561808399E-2</v>
      </c>
      <c r="N916" s="25">
        <f t="shared" si="42"/>
        <v>2.9718621561808378E-2</v>
      </c>
      <c r="O916">
        <v>0.97028137843819096</v>
      </c>
      <c r="P916" s="25">
        <f t="shared" si="44"/>
        <v>0.97028137843819162</v>
      </c>
      <c r="Q916">
        <v>11</v>
      </c>
      <c r="R916" t="s">
        <v>124</v>
      </c>
      <c r="S916" t="s">
        <v>124</v>
      </c>
      <c r="T916" t="s">
        <v>124</v>
      </c>
      <c r="U916" t="s">
        <v>124</v>
      </c>
      <c r="X916" s="19">
        <f>J916</f>
        <v>0.96716417910447761</v>
      </c>
      <c r="Y916" s="19">
        <f>N916</f>
        <v>2.9718621561808378E-2</v>
      </c>
      <c r="Z916" s="26">
        <f>(L916+Q916)/(L916+Q916+H916+K916)</f>
        <v>3.0017152658662092E-2</v>
      </c>
    </row>
    <row r="917" spans="1:26" x14ac:dyDescent="0.35">
      <c r="A917" t="s">
        <v>122</v>
      </c>
      <c r="B917" t="s">
        <v>122</v>
      </c>
      <c r="C917" t="s">
        <v>123</v>
      </c>
      <c r="D917" t="s">
        <v>100</v>
      </c>
      <c r="E917" t="s">
        <v>99</v>
      </c>
      <c r="F917" t="s">
        <v>12</v>
      </c>
      <c r="G917">
        <v>1</v>
      </c>
      <c r="H917">
        <v>324</v>
      </c>
      <c r="I917">
        <v>0.96716417910447705</v>
      </c>
      <c r="J917" s="25">
        <f t="shared" si="43"/>
        <v>0.96716417910447761</v>
      </c>
      <c r="K917">
        <v>3069</v>
      </c>
      <c r="L917">
        <v>94</v>
      </c>
      <c r="M917">
        <v>2.9718621561808399E-2</v>
      </c>
      <c r="N917" s="25">
        <f t="shared" si="42"/>
        <v>2.9718621561808378E-2</v>
      </c>
      <c r="O917">
        <v>0.97028137843819096</v>
      </c>
      <c r="P917" s="25">
        <f t="shared" si="44"/>
        <v>0.97028137843819162</v>
      </c>
      <c r="Q917">
        <v>11</v>
      </c>
      <c r="R917" t="s">
        <v>124</v>
      </c>
      <c r="S917" t="s">
        <v>124</v>
      </c>
      <c r="T917" t="s">
        <v>124</v>
      </c>
      <c r="U917" t="s">
        <v>124</v>
      </c>
      <c r="X917" s="19">
        <f>J917</f>
        <v>0.96716417910447761</v>
      </c>
      <c r="Y917" s="19">
        <f>N917</f>
        <v>2.9718621561808378E-2</v>
      </c>
      <c r="Z917" s="26">
        <f>(L917+Q917)/(L917+Q917+H917+K917)</f>
        <v>3.0017152658662092E-2</v>
      </c>
    </row>
    <row r="918" spans="1:26" x14ac:dyDescent="0.35">
      <c r="A918" t="s">
        <v>122</v>
      </c>
      <c r="B918" t="s">
        <v>122</v>
      </c>
      <c r="C918" t="s">
        <v>123</v>
      </c>
      <c r="D918" t="s">
        <v>100</v>
      </c>
      <c r="E918" t="s">
        <v>99</v>
      </c>
      <c r="F918" t="s">
        <v>12</v>
      </c>
      <c r="G918">
        <v>1</v>
      </c>
      <c r="H918">
        <v>324</v>
      </c>
      <c r="I918">
        <v>0.96716417910447705</v>
      </c>
      <c r="J918" s="25">
        <f t="shared" si="43"/>
        <v>0.96716417910447761</v>
      </c>
      <c r="K918">
        <v>3069</v>
      </c>
      <c r="L918">
        <v>94</v>
      </c>
      <c r="M918">
        <v>2.9718621561808399E-2</v>
      </c>
      <c r="N918" s="25">
        <f t="shared" si="42"/>
        <v>2.9718621561808378E-2</v>
      </c>
      <c r="O918">
        <v>0.97028137843819096</v>
      </c>
      <c r="P918" s="25">
        <f t="shared" si="44"/>
        <v>0.97028137843819162</v>
      </c>
      <c r="Q918">
        <v>11</v>
      </c>
      <c r="R918" t="s">
        <v>124</v>
      </c>
      <c r="S918" t="s">
        <v>124</v>
      </c>
      <c r="T918" t="s">
        <v>124</v>
      </c>
      <c r="U918" t="s">
        <v>124</v>
      </c>
      <c r="X918" s="19">
        <f>J918</f>
        <v>0.96716417910447761</v>
      </c>
      <c r="Y918" s="19">
        <f>N918</f>
        <v>2.9718621561808378E-2</v>
      </c>
      <c r="Z918" s="26">
        <f>(L918+Q918)/(L918+Q918+H918+K918)</f>
        <v>3.0017152658662092E-2</v>
      </c>
    </row>
    <row r="919" spans="1:26" x14ac:dyDescent="0.35">
      <c r="A919" t="s">
        <v>122</v>
      </c>
      <c r="B919" t="s">
        <v>122</v>
      </c>
      <c r="C919" t="s">
        <v>123</v>
      </c>
      <c r="D919" t="s">
        <v>100</v>
      </c>
      <c r="E919" t="s">
        <v>99</v>
      </c>
      <c r="F919" t="s">
        <v>12</v>
      </c>
      <c r="G919">
        <v>1</v>
      </c>
      <c r="H919">
        <v>324</v>
      </c>
      <c r="I919">
        <v>0.96716417910447705</v>
      </c>
      <c r="J919" s="25">
        <f t="shared" si="43"/>
        <v>0.96716417910447761</v>
      </c>
      <c r="K919">
        <v>3069</v>
      </c>
      <c r="L919">
        <v>94</v>
      </c>
      <c r="M919">
        <v>2.9718621561808399E-2</v>
      </c>
      <c r="N919" s="25">
        <f t="shared" si="42"/>
        <v>2.9718621561808378E-2</v>
      </c>
      <c r="O919">
        <v>0.97028137843819096</v>
      </c>
      <c r="P919" s="25">
        <f t="shared" si="44"/>
        <v>0.97028137843819162</v>
      </c>
      <c r="Q919">
        <v>11</v>
      </c>
      <c r="R919" t="s">
        <v>124</v>
      </c>
      <c r="S919" t="s">
        <v>124</v>
      </c>
      <c r="T919" t="s">
        <v>124</v>
      </c>
      <c r="U919" t="s">
        <v>124</v>
      </c>
      <c r="X919" s="19">
        <f>J919</f>
        <v>0.96716417910447761</v>
      </c>
      <c r="Y919" s="19">
        <f>N919</f>
        <v>2.9718621561808378E-2</v>
      </c>
      <c r="Z919" s="26">
        <f>(L919+Q919)/(L919+Q919+H919+K919)</f>
        <v>3.0017152658662092E-2</v>
      </c>
    </row>
    <row r="920" spans="1:26" x14ac:dyDescent="0.35">
      <c r="A920" t="s">
        <v>122</v>
      </c>
      <c r="B920" t="s">
        <v>122</v>
      </c>
      <c r="C920" t="s">
        <v>123</v>
      </c>
      <c r="D920" t="s">
        <v>100</v>
      </c>
      <c r="E920" t="s">
        <v>99</v>
      </c>
      <c r="F920" t="s">
        <v>12</v>
      </c>
      <c r="G920">
        <v>1</v>
      </c>
      <c r="H920">
        <v>324</v>
      </c>
      <c r="I920">
        <v>0.96716417910447705</v>
      </c>
      <c r="J920" s="25">
        <f t="shared" si="43"/>
        <v>0.96716417910447761</v>
      </c>
      <c r="K920">
        <v>3069</v>
      </c>
      <c r="L920">
        <v>94</v>
      </c>
      <c r="M920">
        <v>2.9718621561808399E-2</v>
      </c>
      <c r="N920" s="25">
        <f t="shared" si="42"/>
        <v>2.9718621561808378E-2</v>
      </c>
      <c r="O920">
        <v>0.97028137843819096</v>
      </c>
      <c r="P920" s="25">
        <f t="shared" si="44"/>
        <v>0.97028137843819162</v>
      </c>
      <c r="Q920">
        <v>11</v>
      </c>
      <c r="R920" t="s">
        <v>124</v>
      </c>
      <c r="S920" t="s">
        <v>124</v>
      </c>
      <c r="T920" t="s">
        <v>124</v>
      </c>
      <c r="U920" t="s">
        <v>124</v>
      </c>
      <c r="X920" s="19">
        <f>J920</f>
        <v>0.96716417910447761</v>
      </c>
      <c r="Y920" s="19">
        <f>N920</f>
        <v>2.9718621561808378E-2</v>
      </c>
      <c r="Z920" s="26">
        <f>(L920+Q920)/(L920+Q920+H920+K920)</f>
        <v>3.0017152658662092E-2</v>
      </c>
    </row>
    <row r="921" spans="1:26" x14ac:dyDescent="0.35">
      <c r="A921" t="s">
        <v>122</v>
      </c>
      <c r="B921" t="s">
        <v>122</v>
      </c>
      <c r="C921" t="s">
        <v>123</v>
      </c>
      <c r="D921" t="s">
        <v>100</v>
      </c>
      <c r="E921" t="s">
        <v>99</v>
      </c>
      <c r="F921" t="s">
        <v>12</v>
      </c>
      <c r="G921">
        <v>1</v>
      </c>
      <c r="H921">
        <v>324</v>
      </c>
      <c r="I921">
        <v>0.96716417910447705</v>
      </c>
      <c r="J921" s="25">
        <f t="shared" si="43"/>
        <v>0.96716417910447761</v>
      </c>
      <c r="K921">
        <v>3069</v>
      </c>
      <c r="L921">
        <v>94</v>
      </c>
      <c r="M921">
        <v>2.9718621561808399E-2</v>
      </c>
      <c r="N921" s="25">
        <f t="shared" si="42"/>
        <v>2.9718621561808378E-2</v>
      </c>
      <c r="O921">
        <v>0.97028137843819096</v>
      </c>
      <c r="P921" s="25">
        <f t="shared" si="44"/>
        <v>0.97028137843819162</v>
      </c>
      <c r="Q921">
        <v>11</v>
      </c>
      <c r="R921" t="s">
        <v>124</v>
      </c>
      <c r="S921" t="s">
        <v>124</v>
      </c>
      <c r="T921" t="s">
        <v>124</v>
      </c>
      <c r="U921" t="s">
        <v>124</v>
      </c>
      <c r="X921" s="19">
        <f>J921</f>
        <v>0.96716417910447761</v>
      </c>
      <c r="Y921" s="19">
        <f>N921</f>
        <v>2.9718621561808378E-2</v>
      </c>
      <c r="Z921" s="26">
        <f>(L921+Q921)/(L921+Q921+H921+K921)</f>
        <v>3.0017152658662092E-2</v>
      </c>
    </row>
    <row r="922" spans="1:26" x14ac:dyDescent="0.35">
      <c r="A922" t="s">
        <v>122</v>
      </c>
      <c r="B922" t="s">
        <v>122</v>
      </c>
      <c r="C922" t="s">
        <v>123</v>
      </c>
      <c r="D922" t="s">
        <v>100</v>
      </c>
      <c r="E922" t="s">
        <v>99</v>
      </c>
      <c r="F922" t="s">
        <v>12</v>
      </c>
      <c r="G922">
        <v>1</v>
      </c>
      <c r="H922">
        <v>324</v>
      </c>
      <c r="I922">
        <v>0.96716417910447705</v>
      </c>
      <c r="J922" s="25">
        <f t="shared" si="43"/>
        <v>0.96716417910447761</v>
      </c>
      <c r="K922">
        <v>3069</v>
      </c>
      <c r="L922">
        <v>94</v>
      </c>
      <c r="M922">
        <v>2.9718621561808399E-2</v>
      </c>
      <c r="N922" s="25">
        <f t="shared" si="42"/>
        <v>2.9718621561808378E-2</v>
      </c>
      <c r="O922">
        <v>0.97028137843819096</v>
      </c>
      <c r="P922" s="25">
        <f t="shared" si="44"/>
        <v>0.97028137843819162</v>
      </c>
      <c r="Q922">
        <v>11</v>
      </c>
      <c r="R922" t="s">
        <v>124</v>
      </c>
      <c r="S922" t="s">
        <v>124</v>
      </c>
      <c r="T922" t="s">
        <v>124</v>
      </c>
      <c r="U922" t="s">
        <v>124</v>
      </c>
      <c r="X922" s="19">
        <f>J922</f>
        <v>0.96716417910447761</v>
      </c>
      <c r="Y922" s="19">
        <f>N922</f>
        <v>2.9718621561808378E-2</v>
      </c>
      <c r="Z922" s="26">
        <f>(L922+Q922)/(L922+Q922+H922+K922)</f>
        <v>3.0017152658662092E-2</v>
      </c>
    </row>
    <row r="923" spans="1:26" x14ac:dyDescent="0.35">
      <c r="A923" t="s">
        <v>122</v>
      </c>
      <c r="B923" t="s">
        <v>122</v>
      </c>
      <c r="C923" t="s">
        <v>123</v>
      </c>
      <c r="D923" t="s">
        <v>100</v>
      </c>
      <c r="E923" t="s">
        <v>99</v>
      </c>
      <c r="F923" t="s">
        <v>12</v>
      </c>
      <c r="G923">
        <v>1</v>
      </c>
      <c r="H923">
        <v>334</v>
      </c>
      <c r="I923">
        <v>0.99701492537313396</v>
      </c>
      <c r="J923" s="25">
        <f t="shared" si="43"/>
        <v>0.9970149253731343</v>
      </c>
      <c r="K923">
        <v>2955</v>
      </c>
      <c r="L923">
        <v>208</v>
      </c>
      <c r="M923">
        <v>6.5760354094214296E-2</v>
      </c>
      <c r="N923" s="25">
        <f t="shared" si="42"/>
        <v>6.5760354094214324E-2</v>
      </c>
      <c r="O923">
        <v>0.93423964590578501</v>
      </c>
      <c r="P923" s="25">
        <f t="shared" si="44"/>
        <v>0.93423964590578568</v>
      </c>
      <c r="Q923">
        <v>1</v>
      </c>
      <c r="R923" t="s">
        <v>124</v>
      </c>
      <c r="S923" t="s">
        <v>124</v>
      </c>
      <c r="T923" t="s">
        <v>124</v>
      </c>
      <c r="U923" t="s">
        <v>124</v>
      </c>
      <c r="X923" s="19">
        <f>J923</f>
        <v>0.9970149253731343</v>
      </c>
      <c r="Y923" s="19">
        <f>N923</f>
        <v>6.5760354094214324E-2</v>
      </c>
      <c r="Z923" s="26">
        <f>(L923+Q923)/(L923+Q923+H923+K923)</f>
        <v>5.9748427672955975E-2</v>
      </c>
    </row>
    <row r="924" spans="1:26" x14ac:dyDescent="0.35">
      <c r="A924" t="s">
        <v>122</v>
      </c>
      <c r="B924" t="s">
        <v>122</v>
      </c>
      <c r="C924" t="s">
        <v>123</v>
      </c>
      <c r="D924" t="s">
        <v>100</v>
      </c>
      <c r="E924" t="s">
        <v>99</v>
      </c>
      <c r="F924" t="s">
        <v>12</v>
      </c>
      <c r="G924">
        <v>1</v>
      </c>
      <c r="H924">
        <v>334</v>
      </c>
      <c r="I924">
        <v>0.99701492537313396</v>
      </c>
      <c r="J924" s="25">
        <f t="shared" si="43"/>
        <v>0.9970149253731343</v>
      </c>
      <c r="K924">
        <v>2955</v>
      </c>
      <c r="L924">
        <v>208</v>
      </c>
      <c r="M924">
        <v>6.5760354094214296E-2</v>
      </c>
      <c r="N924" s="25">
        <f t="shared" si="42"/>
        <v>6.5760354094214324E-2</v>
      </c>
      <c r="O924">
        <v>0.93423964590578501</v>
      </c>
      <c r="P924" s="25">
        <f t="shared" si="44"/>
        <v>0.93423964590578568</v>
      </c>
      <c r="Q924">
        <v>1</v>
      </c>
      <c r="R924">
        <v>0.72727272727271997</v>
      </c>
      <c r="S924">
        <v>0.72727272727271997</v>
      </c>
      <c r="T924">
        <v>0.72699999999999998</v>
      </c>
      <c r="U924">
        <v>0.7369</v>
      </c>
      <c r="X924" s="19">
        <f>J924</f>
        <v>0.9970149253731343</v>
      </c>
      <c r="Y924" s="19">
        <f>N924</f>
        <v>6.5760354094214324E-2</v>
      </c>
      <c r="Z924" s="26">
        <f>(L924+Q924)/(L924+Q924+H924+K924)</f>
        <v>5.9748427672955975E-2</v>
      </c>
    </row>
    <row r="925" spans="1:26" x14ac:dyDescent="0.35">
      <c r="A925" t="s">
        <v>122</v>
      </c>
      <c r="B925" t="s">
        <v>122</v>
      </c>
      <c r="C925" t="s">
        <v>123</v>
      </c>
      <c r="D925" t="s">
        <v>100</v>
      </c>
      <c r="E925" t="s">
        <v>99</v>
      </c>
      <c r="F925" t="s">
        <v>12</v>
      </c>
      <c r="G925">
        <v>1</v>
      </c>
      <c r="H925">
        <v>334</v>
      </c>
      <c r="I925">
        <v>0.99701492537313396</v>
      </c>
      <c r="J925" s="25">
        <f t="shared" si="43"/>
        <v>0.9970149253731343</v>
      </c>
      <c r="K925">
        <v>2955</v>
      </c>
      <c r="L925">
        <v>208</v>
      </c>
      <c r="M925">
        <v>6.5760354094214296E-2</v>
      </c>
      <c r="N925" s="25">
        <f t="shared" si="42"/>
        <v>6.5760354094214324E-2</v>
      </c>
      <c r="O925">
        <v>0.93423964590578501</v>
      </c>
      <c r="P925" s="25">
        <f t="shared" si="44"/>
        <v>0.93423964590578568</v>
      </c>
      <c r="Q925">
        <v>1</v>
      </c>
      <c r="R925" t="s">
        <v>124</v>
      </c>
      <c r="S925" t="s">
        <v>124</v>
      </c>
      <c r="T925" t="s">
        <v>124</v>
      </c>
      <c r="U925" t="s">
        <v>124</v>
      </c>
      <c r="X925" s="19">
        <f>J925</f>
        <v>0.9970149253731343</v>
      </c>
      <c r="Y925" s="19">
        <f>N925</f>
        <v>6.5760354094214324E-2</v>
      </c>
      <c r="Z925" s="26">
        <f>(L925+Q925)/(L925+Q925+H925+K925)</f>
        <v>5.9748427672955975E-2</v>
      </c>
    </row>
    <row r="926" spans="1:26" x14ac:dyDescent="0.35">
      <c r="A926" t="s">
        <v>122</v>
      </c>
      <c r="B926" t="s">
        <v>122</v>
      </c>
      <c r="C926" t="s">
        <v>123</v>
      </c>
      <c r="D926" t="s">
        <v>100</v>
      </c>
      <c r="E926" t="s">
        <v>99</v>
      </c>
      <c r="F926" t="s">
        <v>12</v>
      </c>
      <c r="G926">
        <v>1</v>
      </c>
      <c r="H926">
        <v>334</v>
      </c>
      <c r="I926">
        <v>0.99701492537313396</v>
      </c>
      <c r="J926" s="25">
        <f t="shared" si="43"/>
        <v>0.9970149253731343</v>
      </c>
      <c r="K926">
        <v>2955</v>
      </c>
      <c r="L926">
        <v>208</v>
      </c>
      <c r="M926">
        <v>6.5760354094214296E-2</v>
      </c>
      <c r="N926" s="25">
        <f t="shared" si="42"/>
        <v>6.5760354094214324E-2</v>
      </c>
      <c r="O926">
        <v>0.93423964590578501</v>
      </c>
      <c r="P926" s="25">
        <f t="shared" si="44"/>
        <v>0.93423964590578568</v>
      </c>
      <c r="Q926">
        <v>1</v>
      </c>
      <c r="R926" t="s">
        <v>124</v>
      </c>
      <c r="S926" t="s">
        <v>124</v>
      </c>
      <c r="T926" t="s">
        <v>124</v>
      </c>
      <c r="U926" t="s">
        <v>124</v>
      </c>
      <c r="X926" s="19">
        <f>J926</f>
        <v>0.9970149253731343</v>
      </c>
      <c r="Y926" s="19">
        <f>N926</f>
        <v>6.5760354094214324E-2</v>
      </c>
      <c r="Z926" s="26">
        <f>(L926+Q926)/(L926+Q926+H926+K926)</f>
        <v>5.9748427672955975E-2</v>
      </c>
    </row>
    <row r="927" spans="1:26" x14ac:dyDescent="0.35">
      <c r="A927" t="s">
        <v>122</v>
      </c>
      <c r="B927" t="s">
        <v>122</v>
      </c>
      <c r="C927" t="s">
        <v>123</v>
      </c>
      <c r="D927" t="s">
        <v>100</v>
      </c>
      <c r="E927" t="s">
        <v>99</v>
      </c>
      <c r="F927" t="s">
        <v>12</v>
      </c>
      <c r="G927">
        <v>1</v>
      </c>
      <c r="H927">
        <v>334</v>
      </c>
      <c r="I927">
        <v>0.99701492537313396</v>
      </c>
      <c r="J927" s="25">
        <f t="shared" si="43"/>
        <v>0.9970149253731343</v>
      </c>
      <c r="K927">
        <v>2955</v>
      </c>
      <c r="L927">
        <v>208</v>
      </c>
      <c r="M927">
        <v>6.5760354094214296E-2</v>
      </c>
      <c r="N927" s="25">
        <f t="shared" si="42"/>
        <v>6.5760354094214324E-2</v>
      </c>
      <c r="O927">
        <v>0.93423964590578501</v>
      </c>
      <c r="P927" s="25">
        <f t="shared" si="44"/>
        <v>0.93423964590578568</v>
      </c>
      <c r="Q927">
        <v>1</v>
      </c>
      <c r="R927">
        <v>0.75757575757575002</v>
      </c>
      <c r="S927">
        <v>0.75757575757575002</v>
      </c>
      <c r="T927">
        <v>0.75800000000000001</v>
      </c>
      <c r="U927">
        <v>0.76790000000000003</v>
      </c>
      <c r="X927" s="19">
        <f>J927</f>
        <v>0.9970149253731343</v>
      </c>
      <c r="Y927" s="19">
        <f>N927</f>
        <v>6.5760354094214324E-2</v>
      </c>
      <c r="Z927" s="26">
        <f>(L927+Q927)/(L927+Q927+H927+K927)</f>
        <v>5.9748427672955975E-2</v>
      </c>
    </row>
    <row r="928" spans="1:26" x14ac:dyDescent="0.35">
      <c r="A928" t="s">
        <v>122</v>
      </c>
      <c r="B928" t="s">
        <v>122</v>
      </c>
      <c r="C928" t="s">
        <v>123</v>
      </c>
      <c r="D928" t="s">
        <v>100</v>
      </c>
      <c r="E928" t="s">
        <v>99</v>
      </c>
      <c r="F928" t="s">
        <v>12</v>
      </c>
      <c r="G928">
        <v>1</v>
      </c>
      <c r="H928">
        <v>334</v>
      </c>
      <c r="I928">
        <v>0.99701492537313396</v>
      </c>
      <c r="J928" s="25">
        <f t="shared" si="43"/>
        <v>0.9970149253731343</v>
      </c>
      <c r="K928">
        <v>2955</v>
      </c>
      <c r="L928">
        <v>208</v>
      </c>
      <c r="M928">
        <v>6.5760354094214296E-2</v>
      </c>
      <c r="N928" s="25">
        <f t="shared" si="42"/>
        <v>6.5760354094214324E-2</v>
      </c>
      <c r="O928">
        <v>0.93423964590578501</v>
      </c>
      <c r="P928" s="25">
        <f t="shared" si="44"/>
        <v>0.93423964590578568</v>
      </c>
      <c r="Q928">
        <v>1</v>
      </c>
      <c r="R928" t="s">
        <v>124</v>
      </c>
      <c r="S928" t="s">
        <v>124</v>
      </c>
      <c r="T928" t="s">
        <v>124</v>
      </c>
      <c r="U928" t="s">
        <v>124</v>
      </c>
      <c r="X928" s="19">
        <f>J928</f>
        <v>0.9970149253731343</v>
      </c>
      <c r="Y928" s="19">
        <f>N928</f>
        <v>6.5760354094214324E-2</v>
      </c>
      <c r="Z928" s="26">
        <f>(L928+Q928)/(L928+Q928+H928+K928)</f>
        <v>5.9748427672955975E-2</v>
      </c>
    </row>
    <row r="929" spans="1:26" x14ac:dyDescent="0.35">
      <c r="A929" t="s">
        <v>122</v>
      </c>
      <c r="B929" t="s">
        <v>122</v>
      </c>
      <c r="C929" t="s">
        <v>123</v>
      </c>
      <c r="D929" t="s">
        <v>100</v>
      </c>
      <c r="E929" t="s">
        <v>99</v>
      </c>
      <c r="F929" t="s">
        <v>12</v>
      </c>
      <c r="G929">
        <v>1</v>
      </c>
      <c r="H929">
        <v>334</v>
      </c>
      <c r="I929">
        <v>0.99701492537313396</v>
      </c>
      <c r="J929" s="25">
        <f t="shared" si="43"/>
        <v>0.9970149253731343</v>
      </c>
      <c r="K929">
        <v>2955</v>
      </c>
      <c r="L929">
        <v>208</v>
      </c>
      <c r="M929">
        <v>6.5760354094214296E-2</v>
      </c>
      <c r="N929" s="25">
        <f t="shared" si="42"/>
        <v>6.5760354094214324E-2</v>
      </c>
      <c r="O929">
        <v>0.93423964590578501</v>
      </c>
      <c r="P929" s="25">
        <f t="shared" si="44"/>
        <v>0.93423964590578568</v>
      </c>
      <c r="Q929">
        <v>1</v>
      </c>
      <c r="R929" t="s">
        <v>124</v>
      </c>
      <c r="S929" t="s">
        <v>124</v>
      </c>
      <c r="T929" t="s">
        <v>124</v>
      </c>
      <c r="U929" t="s">
        <v>124</v>
      </c>
      <c r="X929" s="19">
        <f>J929</f>
        <v>0.9970149253731343</v>
      </c>
      <c r="Y929" s="19">
        <f>N929</f>
        <v>6.5760354094214324E-2</v>
      </c>
      <c r="Z929" s="26">
        <f>(L929+Q929)/(L929+Q929+H929+K929)</f>
        <v>5.9748427672955975E-2</v>
      </c>
    </row>
    <row r="930" spans="1:26" x14ac:dyDescent="0.35">
      <c r="A930" t="s">
        <v>122</v>
      </c>
      <c r="B930" t="s">
        <v>122</v>
      </c>
      <c r="C930" t="s">
        <v>123</v>
      </c>
      <c r="D930" t="s">
        <v>100</v>
      </c>
      <c r="E930" t="s">
        <v>99</v>
      </c>
      <c r="F930" t="s">
        <v>12</v>
      </c>
      <c r="G930">
        <v>1</v>
      </c>
      <c r="H930">
        <v>334</v>
      </c>
      <c r="I930">
        <v>0.99701492537313396</v>
      </c>
      <c r="J930" s="25">
        <f t="shared" si="43"/>
        <v>0.9970149253731343</v>
      </c>
      <c r="K930">
        <v>2955</v>
      </c>
      <c r="L930">
        <v>208</v>
      </c>
      <c r="M930">
        <v>6.5760354094214296E-2</v>
      </c>
      <c r="N930" s="25">
        <f t="shared" si="42"/>
        <v>6.5760354094214324E-2</v>
      </c>
      <c r="O930">
        <v>0.93423964590578501</v>
      </c>
      <c r="P930" s="25">
        <f t="shared" si="44"/>
        <v>0.93423964590578568</v>
      </c>
      <c r="Q930">
        <v>1</v>
      </c>
      <c r="R930" t="s">
        <v>124</v>
      </c>
      <c r="S930" t="s">
        <v>124</v>
      </c>
      <c r="T930" t="s">
        <v>124</v>
      </c>
      <c r="U930" t="s">
        <v>124</v>
      </c>
      <c r="X930" s="19">
        <f>J930</f>
        <v>0.9970149253731343</v>
      </c>
      <c r="Y930" s="19">
        <f>N930</f>
        <v>6.5760354094214324E-2</v>
      </c>
      <c r="Z930" s="26">
        <f>(L930+Q930)/(L930+Q930+H930+K930)</f>
        <v>5.9748427672955975E-2</v>
      </c>
    </row>
    <row r="931" spans="1:26" x14ac:dyDescent="0.35">
      <c r="A931" t="s">
        <v>122</v>
      </c>
      <c r="B931" t="s">
        <v>122</v>
      </c>
      <c r="C931" t="s">
        <v>123</v>
      </c>
      <c r="D931" t="s">
        <v>100</v>
      </c>
      <c r="E931" t="s">
        <v>99</v>
      </c>
      <c r="F931" t="s">
        <v>12</v>
      </c>
      <c r="G931">
        <v>1</v>
      </c>
      <c r="H931">
        <v>334</v>
      </c>
      <c r="I931">
        <v>0.99701492537313396</v>
      </c>
      <c r="J931" s="25">
        <f t="shared" si="43"/>
        <v>0.9970149253731343</v>
      </c>
      <c r="K931">
        <v>2955</v>
      </c>
      <c r="L931">
        <v>208</v>
      </c>
      <c r="M931">
        <v>6.5760354094214296E-2</v>
      </c>
      <c r="N931" s="25">
        <f t="shared" si="42"/>
        <v>6.5760354094214324E-2</v>
      </c>
      <c r="O931">
        <v>0.93423964590578501</v>
      </c>
      <c r="P931" s="25">
        <f t="shared" si="44"/>
        <v>0.93423964590578568</v>
      </c>
      <c r="Q931">
        <v>1</v>
      </c>
      <c r="R931" t="s">
        <v>124</v>
      </c>
      <c r="S931" t="s">
        <v>124</v>
      </c>
      <c r="T931" t="s">
        <v>124</v>
      </c>
      <c r="U931" t="s">
        <v>124</v>
      </c>
      <c r="X931" s="19">
        <f>J931</f>
        <v>0.9970149253731343</v>
      </c>
      <c r="Y931" s="19">
        <f>N931</f>
        <v>6.5760354094214324E-2</v>
      </c>
      <c r="Z931" s="26">
        <f>(L931+Q931)/(L931+Q931+H931+K931)</f>
        <v>5.9748427672955975E-2</v>
      </c>
    </row>
    <row r="932" spans="1:26" x14ac:dyDescent="0.35">
      <c r="A932" t="s">
        <v>122</v>
      </c>
      <c r="B932" t="s">
        <v>122</v>
      </c>
      <c r="C932" t="s">
        <v>123</v>
      </c>
      <c r="D932" t="s">
        <v>100</v>
      </c>
      <c r="E932" t="s">
        <v>99</v>
      </c>
      <c r="F932" t="s">
        <v>12</v>
      </c>
      <c r="G932">
        <v>1</v>
      </c>
      <c r="H932">
        <v>335</v>
      </c>
      <c r="I932">
        <v>1</v>
      </c>
      <c r="J932" s="25">
        <f t="shared" si="43"/>
        <v>1</v>
      </c>
      <c r="K932">
        <v>2942</v>
      </c>
      <c r="L932">
        <v>221</v>
      </c>
      <c r="M932">
        <v>6.9870376225102698E-2</v>
      </c>
      <c r="N932" s="25">
        <f t="shared" si="42"/>
        <v>6.9870376225102726E-2</v>
      </c>
      <c r="O932">
        <v>0.93012962377489705</v>
      </c>
      <c r="P932" s="25">
        <f t="shared" si="44"/>
        <v>0.93012962377489727</v>
      </c>
      <c r="Q932">
        <v>0</v>
      </c>
      <c r="R932">
        <v>0</v>
      </c>
      <c r="S932">
        <v>0</v>
      </c>
      <c r="T932">
        <v>0</v>
      </c>
      <c r="U932">
        <v>9.9000000000000008E-3</v>
      </c>
      <c r="X932" s="19">
        <f>J932</f>
        <v>1</v>
      </c>
      <c r="Y932" s="19">
        <f>N932</f>
        <v>6.9870376225102726E-2</v>
      </c>
      <c r="Z932" s="26">
        <f>(L932+Q932)/(L932+Q932+H932+K932)</f>
        <v>6.3178959405374505E-2</v>
      </c>
    </row>
    <row r="933" spans="1:26" x14ac:dyDescent="0.35">
      <c r="A933" t="s">
        <v>122</v>
      </c>
      <c r="B933" t="s">
        <v>122</v>
      </c>
      <c r="C933" t="s">
        <v>123</v>
      </c>
      <c r="D933" t="s">
        <v>100</v>
      </c>
      <c r="E933" t="s">
        <v>99</v>
      </c>
      <c r="F933" t="s">
        <v>12</v>
      </c>
      <c r="G933">
        <v>1</v>
      </c>
      <c r="H933">
        <v>335</v>
      </c>
      <c r="I933">
        <v>1</v>
      </c>
      <c r="J933" s="25">
        <f t="shared" si="43"/>
        <v>1</v>
      </c>
      <c r="K933">
        <v>2942</v>
      </c>
      <c r="L933">
        <v>221</v>
      </c>
      <c r="M933">
        <v>6.9870376225102698E-2</v>
      </c>
      <c r="N933" s="25">
        <f t="shared" si="42"/>
        <v>6.9870376225102726E-2</v>
      </c>
      <c r="O933">
        <v>0.93012962377489705</v>
      </c>
      <c r="P933" s="25">
        <f t="shared" si="44"/>
        <v>0.93012962377489727</v>
      </c>
      <c r="Q933">
        <v>0</v>
      </c>
      <c r="R933" t="s">
        <v>124</v>
      </c>
      <c r="S933" t="s">
        <v>124</v>
      </c>
      <c r="T933" t="s">
        <v>124</v>
      </c>
      <c r="U933" t="s">
        <v>124</v>
      </c>
      <c r="X933" s="19">
        <f>J933</f>
        <v>1</v>
      </c>
      <c r="Y933" s="19">
        <f>N933</f>
        <v>6.9870376225102726E-2</v>
      </c>
      <c r="Z933" s="26">
        <f>(L933+Q933)/(L933+Q933+H933+K933)</f>
        <v>6.3178959405374505E-2</v>
      </c>
    </row>
    <row r="934" spans="1:26" x14ac:dyDescent="0.35">
      <c r="A934" t="s">
        <v>122</v>
      </c>
      <c r="B934" t="s">
        <v>122</v>
      </c>
      <c r="C934" t="s">
        <v>123</v>
      </c>
      <c r="D934" t="s">
        <v>100</v>
      </c>
      <c r="E934" t="s">
        <v>99</v>
      </c>
      <c r="F934" t="s">
        <v>12</v>
      </c>
      <c r="G934">
        <v>1</v>
      </c>
      <c r="H934">
        <v>335</v>
      </c>
      <c r="I934">
        <v>1</v>
      </c>
      <c r="J934" s="25">
        <f t="shared" si="43"/>
        <v>1</v>
      </c>
      <c r="K934">
        <v>2942</v>
      </c>
      <c r="L934">
        <v>221</v>
      </c>
      <c r="M934">
        <v>6.9870376225102698E-2</v>
      </c>
      <c r="N934" s="25">
        <f t="shared" si="42"/>
        <v>6.9870376225102726E-2</v>
      </c>
      <c r="O934">
        <v>0.93012962377489705</v>
      </c>
      <c r="P934" s="25">
        <f t="shared" si="44"/>
        <v>0.93012962377489727</v>
      </c>
      <c r="Q934">
        <v>0</v>
      </c>
      <c r="R934" t="s">
        <v>124</v>
      </c>
      <c r="S934" t="s">
        <v>124</v>
      </c>
      <c r="T934" t="s">
        <v>124</v>
      </c>
      <c r="U934" t="s">
        <v>124</v>
      </c>
      <c r="X934" s="19">
        <f>J934</f>
        <v>1</v>
      </c>
      <c r="Y934" s="19">
        <f>N934</f>
        <v>6.9870376225102726E-2</v>
      </c>
      <c r="Z934" s="26">
        <f>(L934+Q934)/(L934+Q934+H934+K934)</f>
        <v>6.3178959405374505E-2</v>
      </c>
    </row>
    <row r="935" spans="1:26" x14ac:dyDescent="0.35">
      <c r="A935" t="s">
        <v>122</v>
      </c>
      <c r="B935" t="s">
        <v>122</v>
      </c>
      <c r="C935" t="s">
        <v>123</v>
      </c>
      <c r="D935" t="s">
        <v>100</v>
      </c>
      <c r="E935" t="s">
        <v>99</v>
      </c>
      <c r="F935" t="s">
        <v>12</v>
      </c>
      <c r="G935">
        <v>1</v>
      </c>
      <c r="H935">
        <v>335</v>
      </c>
      <c r="I935">
        <v>1</v>
      </c>
      <c r="J935" s="25">
        <f t="shared" si="43"/>
        <v>1</v>
      </c>
      <c r="K935">
        <v>2942</v>
      </c>
      <c r="L935">
        <v>221</v>
      </c>
      <c r="M935">
        <v>6.9870376225102698E-2</v>
      </c>
      <c r="N935" s="25">
        <f t="shared" si="42"/>
        <v>6.9870376225102726E-2</v>
      </c>
      <c r="O935">
        <v>0.93012962377489705</v>
      </c>
      <c r="P935" s="25">
        <f t="shared" si="44"/>
        <v>0.93012962377489727</v>
      </c>
      <c r="Q935">
        <v>0</v>
      </c>
      <c r="R935" t="s">
        <v>124</v>
      </c>
      <c r="S935" t="s">
        <v>124</v>
      </c>
      <c r="T935" t="s">
        <v>124</v>
      </c>
      <c r="U935" t="s">
        <v>124</v>
      </c>
      <c r="X935" s="19">
        <f>J935</f>
        <v>1</v>
      </c>
      <c r="Y935" s="19">
        <f>N935</f>
        <v>6.9870376225102726E-2</v>
      </c>
      <c r="Z935" s="26">
        <f>(L935+Q935)/(L935+Q935+H935+K935)</f>
        <v>6.3178959405374505E-2</v>
      </c>
    </row>
    <row r="936" spans="1:26" x14ac:dyDescent="0.35">
      <c r="A936" t="s">
        <v>122</v>
      </c>
      <c r="B936" t="s">
        <v>122</v>
      </c>
      <c r="C936" t="s">
        <v>123</v>
      </c>
      <c r="D936" t="s">
        <v>100</v>
      </c>
      <c r="E936" t="s">
        <v>99</v>
      </c>
      <c r="F936" t="s">
        <v>12</v>
      </c>
      <c r="G936">
        <v>1</v>
      </c>
      <c r="H936">
        <v>335</v>
      </c>
      <c r="I936">
        <v>1</v>
      </c>
      <c r="J936" s="25">
        <f t="shared" si="43"/>
        <v>1</v>
      </c>
      <c r="K936">
        <v>2942</v>
      </c>
      <c r="L936">
        <v>221</v>
      </c>
      <c r="M936">
        <v>6.9870376225102698E-2</v>
      </c>
      <c r="N936" s="25">
        <f t="shared" si="42"/>
        <v>6.9870376225102726E-2</v>
      </c>
      <c r="O936">
        <v>0.93012962377489705</v>
      </c>
      <c r="P936" s="25">
        <f t="shared" si="44"/>
        <v>0.93012962377489727</v>
      </c>
      <c r="Q936">
        <v>0</v>
      </c>
      <c r="R936" t="s">
        <v>124</v>
      </c>
      <c r="S936" t="s">
        <v>124</v>
      </c>
      <c r="T936" t="s">
        <v>124</v>
      </c>
      <c r="U936" t="s">
        <v>124</v>
      </c>
      <c r="X936" s="19">
        <f>J936</f>
        <v>1</v>
      </c>
      <c r="Y936" s="19">
        <f>N936</f>
        <v>6.9870376225102726E-2</v>
      </c>
      <c r="Z936" s="26">
        <f>(L936+Q936)/(L936+Q936+H936+K936)</f>
        <v>6.3178959405374505E-2</v>
      </c>
    </row>
    <row r="937" spans="1:26" x14ac:dyDescent="0.35">
      <c r="A937" t="s">
        <v>122</v>
      </c>
      <c r="B937" t="s">
        <v>122</v>
      </c>
      <c r="C937" t="s">
        <v>123</v>
      </c>
      <c r="D937" t="s">
        <v>100</v>
      </c>
      <c r="E937" t="s">
        <v>99</v>
      </c>
      <c r="F937" t="s">
        <v>12</v>
      </c>
      <c r="G937">
        <v>1</v>
      </c>
      <c r="H937">
        <v>335</v>
      </c>
      <c r="I937">
        <v>1</v>
      </c>
      <c r="J937" s="25">
        <f t="shared" si="43"/>
        <v>1</v>
      </c>
      <c r="K937">
        <v>2942</v>
      </c>
      <c r="L937">
        <v>221</v>
      </c>
      <c r="M937">
        <v>6.9870376225102698E-2</v>
      </c>
      <c r="N937" s="25">
        <f t="shared" si="42"/>
        <v>6.9870376225102726E-2</v>
      </c>
      <c r="O937">
        <v>0.93012962377489705</v>
      </c>
      <c r="P937" s="25">
        <f t="shared" si="44"/>
        <v>0.93012962377489727</v>
      </c>
      <c r="Q937">
        <v>0</v>
      </c>
      <c r="R937" t="s">
        <v>124</v>
      </c>
      <c r="S937" t="s">
        <v>124</v>
      </c>
      <c r="T937" t="s">
        <v>124</v>
      </c>
      <c r="U937" t="s">
        <v>124</v>
      </c>
      <c r="X937" s="19">
        <f>J937</f>
        <v>1</v>
      </c>
      <c r="Y937" s="19">
        <f>N937</f>
        <v>6.9870376225102726E-2</v>
      </c>
      <c r="Z937" s="26">
        <f>(L937+Q937)/(L937+Q937+H937+K937)</f>
        <v>6.3178959405374505E-2</v>
      </c>
    </row>
    <row r="938" spans="1:26" x14ac:dyDescent="0.35">
      <c r="A938" t="s">
        <v>122</v>
      </c>
      <c r="B938" t="s">
        <v>122</v>
      </c>
      <c r="C938" t="s">
        <v>123</v>
      </c>
      <c r="D938" t="s">
        <v>100</v>
      </c>
      <c r="E938" t="s">
        <v>99</v>
      </c>
      <c r="F938" t="s">
        <v>12</v>
      </c>
      <c r="G938">
        <v>1</v>
      </c>
      <c r="H938">
        <v>335</v>
      </c>
      <c r="I938">
        <v>1</v>
      </c>
      <c r="J938" s="25">
        <f t="shared" si="43"/>
        <v>1</v>
      </c>
      <c r="K938">
        <v>2942</v>
      </c>
      <c r="L938">
        <v>221</v>
      </c>
      <c r="M938">
        <v>6.9870376225102698E-2</v>
      </c>
      <c r="N938" s="25">
        <f t="shared" si="42"/>
        <v>6.9870376225102726E-2</v>
      </c>
      <c r="O938">
        <v>0.93012962377489705</v>
      </c>
      <c r="P938" s="25">
        <f t="shared" si="44"/>
        <v>0.93012962377489727</v>
      </c>
      <c r="Q938">
        <v>0</v>
      </c>
      <c r="R938" t="s">
        <v>124</v>
      </c>
      <c r="S938" t="s">
        <v>124</v>
      </c>
      <c r="T938" t="s">
        <v>124</v>
      </c>
      <c r="U938" t="s">
        <v>124</v>
      </c>
      <c r="X938" s="19">
        <f>J938</f>
        <v>1</v>
      </c>
      <c r="Y938" s="19">
        <f>N938</f>
        <v>6.9870376225102726E-2</v>
      </c>
      <c r="Z938" s="26">
        <f>(L938+Q938)/(L938+Q938+H938+K938)</f>
        <v>6.3178959405374505E-2</v>
      </c>
    </row>
    <row r="939" spans="1:26" x14ac:dyDescent="0.35">
      <c r="A939" t="s">
        <v>122</v>
      </c>
      <c r="B939" t="s">
        <v>122</v>
      </c>
      <c r="C939" t="s">
        <v>123</v>
      </c>
      <c r="D939" t="s">
        <v>100</v>
      </c>
      <c r="E939" t="s">
        <v>99</v>
      </c>
      <c r="F939" t="s">
        <v>12</v>
      </c>
      <c r="G939">
        <v>1</v>
      </c>
      <c r="H939">
        <v>335</v>
      </c>
      <c r="I939">
        <v>1</v>
      </c>
      <c r="J939" s="25">
        <f t="shared" si="43"/>
        <v>1</v>
      </c>
      <c r="K939">
        <v>2942</v>
      </c>
      <c r="L939">
        <v>221</v>
      </c>
      <c r="M939">
        <v>6.9870376225102698E-2</v>
      </c>
      <c r="N939" s="25">
        <f t="shared" si="42"/>
        <v>6.9870376225102726E-2</v>
      </c>
      <c r="O939">
        <v>0.93012962377489705</v>
      </c>
      <c r="P939" s="25">
        <f t="shared" si="44"/>
        <v>0.93012962377489727</v>
      </c>
      <c r="Q939">
        <v>0</v>
      </c>
      <c r="R939">
        <v>7.1428571428569995E-2</v>
      </c>
      <c r="S939">
        <v>7.1428571428569995E-2</v>
      </c>
      <c r="T939">
        <v>7.0999999999999994E-2</v>
      </c>
      <c r="U939">
        <v>8.09E-2</v>
      </c>
      <c r="X939" s="19">
        <f>J939</f>
        <v>1</v>
      </c>
      <c r="Y939" s="19">
        <f>N939</f>
        <v>6.9870376225102726E-2</v>
      </c>
      <c r="Z939" s="26">
        <f>(L939+Q939)/(L939+Q939+H939+K939)</f>
        <v>6.3178959405374505E-2</v>
      </c>
    </row>
    <row r="940" spans="1:26" x14ac:dyDescent="0.35">
      <c r="A940" t="s">
        <v>122</v>
      </c>
      <c r="B940" t="s">
        <v>122</v>
      </c>
      <c r="C940" t="s">
        <v>123</v>
      </c>
      <c r="D940" t="s">
        <v>100</v>
      </c>
      <c r="E940" t="s">
        <v>99</v>
      </c>
      <c r="F940" t="s">
        <v>12</v>
      </c>
      <c r="G940">
        <v>1</v>
      </c>
      <c r="H940">
        <v>335</v>
      </c>
      <c r="I940">
        <v>1</v>
      </c>
      <c r="J940" s="25">
        <f t="shared" si="43"/>
        <v>1</v>
      </c>
      <c r="K940">
        <v>2942</v>
      </c>
      <c r="L940">
        <v>221</v>
      </c>
      <c r="M940">
        <v>6.9870376225102698E-2</v>
      </c>
      <c r="N940" s="25">
        <f t="shared" si="42"/>
        <v>6.9870376225102726E-2</v>
      </c>
      <c r="O940">
        <v>0.93012962377489705</v>
      </c>
      <c r="P940" s="25">
        <f t="shared" si="44"/>
        <v>0.93012962377489727</v>
      </c>
      <c r="Q940">
        <v>0</v>
      </c>
      <c r="R940">
        <v>8.0645161290319997E-2</v>
      </c>
      <c r="S940">
        <v>8.0645161290319997E-2</v>
      </c>
      <c r="T940">
        <v>8.1000000000000003E-2</v>
      </c>
      <c r="U940">
        <v>9.0899999999999995E-2</v>
      </c>
      <c r="X940" s="19">
        <f>J940</f>
        <v>1</v>
      </c>
      <c r="Y940" s="19">
        <f>N940</f>
        <v>6.9870376225102726E-2</v>
      </c>
      <c r="Z940" s="26">
        <f>(L940+Q940)/(L940+Q940+H940+K940)</f>
        <v>6.3178959405374505E-2</v>
      </c>
    </row>
    <row r="941" spans="1:26" x14ac:dyDescent="0.35">
      <c r="A941" t="s">
        <v>122</v>
      </c>
      <c r="B941" t="s">
        <v>122</v>
      </c>
      <c r="C941" t="s">
        <v>123</v>
      </c>
      <c r="D941" t="s">
        <v>100</v>
      </c>
      <c r="E941" t="s">
        <v>99</v>
      </c>
      <c r="F941" t="s">
        <v>12</v>
      </c>
      <c r="G941">
        <v>1</v>
      </c>
      <c r="H941">
        <v>335</v>
      </c>
      <c r="I941">
        <v>1</v>
      </c>
      <c r="J941" s="25">
        <f t="shared" si="43"/>
        <v>1</v>
      </c>
      <c r="K941">
        <v>2942</v>
      </c>
      <c r="L941">
        <v>221</v>
      </c>
      <c r="M941">
        <v>6.9870376225102698E-2</v>
      </c>
      <c r="N941" s="25">
        <f t="shared" si="42"/>
        <v>6.9870376225102726E-2</v>
      </c>
      <c r="O941">
        <v>0.93012962377489705</v>
      </c>
      <c r="P941" s="25">
        <f t="shared" si="44"/>
        <v>0.93012962377489727</v>
      </c>
      <c r="Q941">
        <v>0</v>
      </c>
      <c r="R941" t="s">
        <v>124</v>
      </c>
      <c r="S941" t="s">
        <v>124</v>
      </c>
      <c r="T941" t="s">
        <v>124</v>
      </c>
      <c r="U941" t="s">
        <v>124</v>
      </c>
      <c r="X941" s="19">
        <f>J941</f>
        <v>1</v>
      </c>
      <c r="Y941" s="19">
        <f>N941</f>
        <v>6.9870376225102726E-2</v>
      </c>
      <c r="Z941" s="26">
        <f>(L941+Q941)/(L941+Q941+H941+K941)</f>
        <v>6.3178959405374505E-2</v>
      </c>
    </row>
    <row r="942" spans="1:26" x14ac:dyDescent="0.35">
      <c r="A942" t="s">
        <v>122</v>
      </c>
      <c r="B942" t="s">
        <v>122</v>
      </c>
      <c r="C942" t="s">
        <v>123</v>
      </c>
      <c r="D942" t="s">
        <v>100</v>
      </c>
      <c r="E942" t="s">
        <v>99</v>
      </c>
      <c r="F942" t="s">
        <v>12</v>
      </c>
      <c r="G942">
        <v>1</v>
      </c>
      <c r="H942">
        <v>335</v>
      </c>
      <c r="I942">
        <v>1</v>
      </c>
      <c r="J942" s="25">
        <f t="shared" si="43"/>
        <v>1</v>
      </c>
      <c r="K942">
        <v>2942</v>
      </c>
      <c r="L942">
        <v>221</v>
      </c>
      <c r="M942">
        <v>6.9870376225102698E-2</v>
      </c>
      <c r="N942" s="25">
        <f t="shared" si="42"/>
        <v>6.9870376225102726E-2</v>
      </c>
      <c r="O942">
        <v>0.93012962377489705</v>
      </c>
      <c r="P942" s="25">
        <f t="shared" si="44"/>
        <v>0.93012962377489727</v>
      </c>
      <c r="Q942">
        <v>0</v>
      </c>
      <c r="R942" t="s">
        <v>124</v>
      </c>
      <c r="S942" t="s">
        <v>124</v>
      </c>
      <c r="T942" t="s">
        <v>124</v>
      </c>
      <c r="U942" t="s">
        <v>124</v>
      </c>
      <c r="X942" s="19">
        <f>J942</f>
        <v>1</v>
      </c>
      <c r="Y942" s="19">
        <f>N942</f>
        <v>6.9870376225102726E-2</v>
      </c>
      <c r="Z942" s="26">
        <f>(L942+Q942)/(L942+Q942+H942+K942)</f>
        <v>6.3178959405374505E-2</v>
      </c>
    </row>
    <row r="943" spans="1:26" x14ac:dyDescent="0.35">
      <c r="A943" t="s">
        <v>122</v>
      </c>
      <c r="B943" t="s">
        <v>122</v>
      </c>
      <c r="C943" t="s">
        <v>123</v>
      </c>
      <c r="D943" t="s">
        <v>100</v>
      </c>
      <c r="E943" t="s">
        <v>99</v>
      </c>
      <c r="F943" t="s">
        <v>12</v>
      </c>
      <c r="G943">
        <v>1</v>
      </c>
      <c r="H943">
        <v>335</v>
      </c>
      <c r="I943">
        <v>1</v>
      </c>
      <c r="J943" s="25">
        <f t="shared" si="43"/>
        <v>1</v>
      </c>
      <c r="K943">
        <v>2942</v>
      </c>
      <c r="L943">
        <v>221</v>
      </c>
      <c r="M943">
        <v>6.9870376225102698E-2</v>
      </c>
      <c r="N943" s="25">
        <f t="shared" si="42"/>
        <v>6.9870376225102726E-2</v>
      </c>
      <c r="O943">
        <v>0.93012962377489705</v>
      </c>
      <c r="P943" s="25">
        <f t="shared" si="44"/>
        <v>0.93012962377489727</v>
      </c>
      <c r="Q943">
        <v>0</v>
      </c>
      <c r="R943">
        <v>0.11392405063291</v>
      </c>
      <c r="S943">
        <v>0.11392405063291</v>
      </c>
      <c r="T943">
        <v>0.114</v>
      </c>
      <c r="U943">
        <v>0.1239</v>
      </c>
      <c r="X943" s="19">
        <f>J943</f>
        <v>1</v>
      </c>
      <c r="Y943" s="19">
        <f>N943</f>
        <v>6.9870376225102726E-2</v>
      </c>
      <c r="Z943" s="26">
        <f>(L943+Q943)/(L943+Q943+H943+K943)</f>
        <v>6.3178959405374505E-2</v>
      </c>
    </row>
    <row r="944" spans="1:26" x14ac:dyDescent="0.35">
      <c r="A944" t="s">
        <v>122</v>
      </c>
      <c r="B944" t="s">
        <v>122</v>
      </c>
      <c r="C944" t="s">
        <v>123</v>
      </c>
      <c r="D944" t="s">
        <v>100</v>
      </c>
      <c r="E944" t="s">
        <v>99</v>
      </c>
      <c r="F944" t="s">
        <v>12</v>
      </c>
      <c r="G944">
        <v>1</v>
      </c>
      <c r="H944">
        <v>335</v>
      </c>
      <c r="I944">
        <v>1</v>
      </c>
      <c r="J944" s="25">
        <f t="shared" si="43"/>
        <v>1</v>
      </c>
      <c r="K944">
        <v>2942</v>
      </c>
      <c r="L944">
        <v>221</v>
      </c>
      <c r="M944">
        <v>6.9870376225102698E-2</v>
      </c>
      <c r="N944" s="25">
        <f t="shared" si="42"/>
        <v>6.9870376225102726E-2</v>
      </c>
      <c r="O944">
        <v>0.93012962377489705</v>
      </c>
      <c r="P944" s="25">
        <f t="shared" si="44"/>
        <v>0.93012962377489727</v>
      </c>
      <c r="Q944">
        <v>0</v>
      </c>
      <c r="R944" t="s">
        <v>124</v>
      </c>
      <c r="S944" t="s">
        <v>124</v>
      </c>
      <c r="T944" t="s">
        <v>124</v>
      </c>
      <c r="U944" t="s">
        <v>124</v>
      </c>
      <c r="X944" s="19">
        <f>J944</f>
        <v>1</v>
      </c>
      <c r="Y944" s="19">
        <f>N944</f>
        <v>6.9870376225102726E-2</v>
      </c>
      <c r="Z944" s="26">
        <f>(L944+Q944)/(L944+Q944+H944+K944)</f>
        <v>6.3178959405374505E-2</v>
      </c>
    </row>
    <row r="945" spans="1:26" x14ac:dyDescent="0.35">
      <c r="A945" t="s">
        <v>122</v>
      </c>
      <c r="B945" t="s">
        <v>122</v>
      </c>
      <c r="C945" t="s">
        <v>123</v>
      </c>
      <c r="D945" t="s">
        <v>100</v>
      </c>
      <c r="E945" t="s">
        <v>99</v>
      </c>
      <c r="F945" t="s">
        <v>12</v>
      </c>
      <c r="G945">
        <v>1</v>
      </c>
      <c r="H945">
        <v>335</v>
      </c>
      <c r="I945">
        <v>1</v>
      </c>
      <c r="J945" s="25">
        <f t="shared" si="43"/>
        <v>1</v>
      </c>
      <c r="K945">
        <v>2942</v>
      </c>
      <c r="L945">
        <v>221</v>
      </c>
      <c r="M945">
        <v>6.9870376225102698E-2</v>
      </c>
      <c r="N945" s="25">
        <f t="shared" si="42"/>
        <v>6.9870376225102726E-2</v>
      </c>
      <c r="O945">
        <v>0.93012962377489705</v>
      </c>
      <c r="P945" s="25">
        <f t="shared" si="44"/>
        <v>0.93012962377489727</v>
      </c>
      <c r="Q945">
        <v>0</v>
      </c>
      <c r="R945" t="s">
        <v>124</v>
      </c>
      <c r="S945" t="s">
        <v>124</v>
      </c>
      <c r="T945" t="s">
        <v>124</v>
      </c>
      <c r="U945" t="s">
        <v>124</v>
      </c>
      <c r="X945" s="19">
        <f>J945</f>
        <v>1</v>
      </c>
      <c r="Y945" s="19">
        <f>N945</f>
        <v>6.9870376225102726E-2</v>
      </c>
      <c r="Z945" s="26">
        <f>(L945+Q945)/(L945+Q945+H945+K945)</f>
        <v>6.3178959405374505E-2</v>
      </c>
    </row>
    <row r="946" spans="1:26" x14ac:dyDescent="0.35">
      <c r="A946" t="s">
        <v>122</v>
      </c>
      <c r="B946" t="s">
        <v>122</v>
      </c>
      <c r="C946" t="s">
        <v>123</v>
      </c>
      <c r="D946" t="s">
        <v>100</v>
      </c>
      <c r="E946" t="s">
        <v>99</v>
      </c>
      <c r="F946" t="s">
        <v>12</v>
      </c>
      <c r="G946">
        <v>1</v>
      </c>
      <c r="H946">
        <v>335</v>
      </c>
      <c r="I946">
        <v>1</v>
      </c>
      <c r="J946" s="25">
        <f t="shared" si="43"/>
        <v>1</v>
      </c>
      <c r="K946">
        <v>2942</v>
      </c>
      <c r="L946">
        <v>221</v>
      </c>
      <c r="M946">
        <v>6.9870376225102698E-2</v>
      </c>
      <c r="N946" s="25">
        <f t="shared" si="42"/>
        <v>6.9870376225102726E-2</v>
      </c>
      <c r="O946">
        <v>0.93012962377489705</v>
      </c>
      <c r="P946" s="25">
        <f t="shared" si="44"/>
        <v>0.93012962377489727</v>
      </c>
      <c r="Q946">
        <v>0</v>
      </c>
      <c r="R946" t="s">
        <v>124</v>
      </c>
      <c r="S946" t="s">
        <v>124</v>
      </c>
      <c r="T946" t="s">
        <v>124</v>
      </c>
      <c r="U946" t="s">
        <v>124</v>
      </c>
      <c r="X946" s="19">
        <f>J946</f>
        <v>1</v>
      </c>
      <c r="Y946" s="19">
        <f>N946</f>
        <v>6.9870376225102726E-2</v>
      </c>
      <c r="Z946" s="26">
        <f>(L946+Q946)/(L946+Q946+H946+K946)</f>
        <v>6.3178959405374505E-2</v>
      </c>
    </row>
    <row r="947" spans="1:26" x14ac:dyDescent="0.35">
      <c r="A947" t="s">
        <v>122</v>
      </c>
      <c r="B947" t="s">
        <v>122</v>
      </c>
      <c r="C947" t="s">
        <v>123</v>
      </c>
      <c r="D947" t="s">
        <v>100</v>
      </c>
      <c r="E947" t="s">
        <v>99</v>
      </c>
      <c r="F947" t="s">
        <v>12</v>
      </c>
      <c r="G947">
        <v>1</v>
      </c>
      <c r="H947">
        <v>335</v>
      </c>
      <c r="I947">
        <v>1</v>
      </c>
      <c r="J947" s="25">
        <f t="shared" si="43"/>
        <v>1</v>
      </c>
      <c r="K947">
        <v>2942</v>
      </c>
      <c r="L947">
        <v>221</v>
      </c>
      <c r="M947">
        <v>6.9870376225102698E-2</v>
      </c>
      <c r="N947" s="25">
        <f t="shared" si="42"/>
        <v>6.9870376225102726E-2</v>
      </c>
      <c r="O947">
        <v>0.93012962377489705</v>
      </c>
      <c r="P947" s="25">
        <f t="shared" si="44"/>
        <v>0.93012962377489727</v>
      </c>
      <c r="Q947">
        <v>0</v>
      </c>
      <c r="R947" t="s">
        <v>124</v>
      </c>
      <c r="S947" t="s">
        <v>124</v>
      </c>
      <c r="T947" t="s">
        <v>124</v>
      </c>
      <c r="U947" t="s">
        <v>124</v>
      </c>
      <c r="X947" s="19">
        <f>J947</f>
        <v>1</v>
      </c>
      <c r="Y947" s="19">
        <f>N947</f>
        <v>6.9870376225102726E-2</v>
      </c>
      <c r="Z947" s="26">
        <f>(L947+Q947)/(L947+Q947+H947+K947)</f>
        <v>6.3178959405374505E-2</v>
      </c>
    </row>
    <row r="948" spans="1:26" x14ac:dyDescent="0.35">
      <c r="A948" t="s">
        <v>122</v>
      </c>
      <c r="B948" t="s">
        <v>122</v>
      </c>
      <c r="C948" t="s">
        <v>123</v>
      </c>
      <c r="D948" t="s">
        <v>100</v>
      </c>
      <c r="E948" t="s">
        <v>99</v>
      </c>
      <c r="F948" t="s">
        <v>12</v>
      </c>
      <c r="G948">
        <v>1</v>
      </c>
      <c r="H948">
        <v>335</v>
      </c>
      <c r="I948">
        <v>1</v>
      </c>
      <c r="J948" s="25">
        <f t="shared" si="43"/>
        <v>1</v>
      </c>
      <c r="K948">
        <v>2942</v>
      </c>
      <c r="L948">
        <v>221</v>
      </c>
      <c r="M948">
        <v>6.9870376225102698E-2</v>
      </c>
      <c r="N948" s="25">
        <f t="shared" si="42"/>
        <v>6.9870376225102726E-2</v>
      </c>
      <c r="O948">
        <v>0.93012962377489705</v>
      </c>
      <c r="P948" s="25">
        <f t="shared" si="44"/>
        <v>0.93012962377489727</v>
      </c>
      <c r="Q948">
        <v>0</v>
      </c>
      <c r="R948" t="s">
        <v>124</v>
      </c>
      <c r="S948" t="s">
        <v>124</v>
      </c>
      <c r="T948" t="s">
        <v>124</v>
      </c>
      <c r="U948" t="s">
        <v>124</v>
      </c>
      <c r="X948" s="19">
        <f>J948</f>
        <v>1</v>
      </c>
      <c r="Y948" s="19">
        <f>N948</f>
        <v>6.9870376225102726E-2</v>
      </c>
      <c r="Z948" s="26">
        <f>(L948+Q948)/(L948+Q948+H948+K948)</f>
        <v>6.3178959405374505E-2</v>
      </c>
    </row>
    <row r="949" spans="1:26" x14ac:dyDescent="0.35">
      <c r="A949" t="s">
        <v>122</v>
      </c>
      <c r="B949" t="s">
        <v>122</v>
      </c>
      <c r="C949" t="s">
        <v>123</v>
      </c>
      <c r="D949" t="s">
        <v>100</v>
      </c>
      <c r="E949" t="s">
        <v>99</v>
      </c>
      <c r="F949" t="s">
        <v>12</v>
      </c>
      <c r="G949">
        <v>1</v>
      </c>
      <c r="H949">
        <v>335</v>
      </c>
      <c r="I949">
        <v>1</v>
      </c>
      <c r="J949" s="25">
        <f t="shared" si="43"/>
        <v>1</v>
      </c>
      <c r="K949">
        <v>2942</v>
      </c>
      <c r="L949">
        <v>221</v>
      </c>
      <c r="M949">
        <v>6.9870376225102698E-2</v>
      </c>
      <c r="N949" s="25">
        <f t="shared" si="42"/>
        <v>6.9870376225102726E-2</v>
      </c>
      <c r="O949">
        <v>0.93012962377489705</v>
      </c>
      <c r="P949" s="25">
        <f t="shared" si="44"/>
        <v>0.93012962377489727</v>
      </c>
      <c r="Q949">
        <v>0</v>
      </c>
      <c r="R949" t="s">
        <v>124</v>
      </c>
      <c r="S949" t="s">
        <v>124</v>
      </c>
      <c r="T949" t="s">
        <v>124</v>
      </c>
      <c r="U949" t="s">
        <v>124</v>
      </c>
      <c r="X949" s="19">
        <f>J949</f>
        <v>1</v>
      </c>
      <c r="Y949" s="19">
        <f>N949</f>
        <v>6.9870376225102726E-2</v>
      </c>
      <c r="Z949" s="26">
        <f>(L949+Q949)/(L949+Q949+H949+K949)</f>
        <v>6.3178959405374505E-2</v>
      </c>
    </row>
    <row r="950" spans="1:26" x14ac:dyDescent="0.35">
      <c r="A950" t="s">
        <v>122</v>
      </c>
      <c r="B950" t="s">
        <v>122</v>
      </c>
      <c r="C950" t="s">
        <v>123</v>
      </c>
      <c r="D950" t="s">
        <v>100</v>
      </c>
      <c r="E950" t="s">
        <v>99</v>
      </c>
      <c r="F950" t="s">
        <v>12</v>
      </c>
      <c r="G950">
        <v>1</v>
      </c>
      <c r="H950">
        <v>335</v>
      </c>
      <c r="I950">
        <v>1</v>
      </c>
      <c r="J950" s="25">
        <f t="shared" si="43"/>
        <v>1</v>
      </c>
      <c r="K950">
        <v>2942</v>
      </c>
      <c r="L950">
        <v>221</v>
      </c>
      <c r="M950">
        <v>6.9870376225102698E-2</v>
      </c>
      <c r="N950" s="25">
        <f t="shared" si="42"/>
        <v>6.9870376225102726E-2</v>
      </c>
      <c r="O950">
        <v>0.93012962377489705</v>
      </c>
      <c r="P950" s="25">
        <f t="shared" si="44"/>
        <v>0.93012962377489727</v>
      </c>
      <c r="Q950">
        <v>0</v>
      </c>
      <c r="R950" t="s">
        <v>124</v>
      </c>
      <c r="S950" t="s">
        <v>124</v>
      </c>
      <c r="T950" t="s">
        <v>124</v>
      </c>
      <c r="U950" t="s">
        <v>124</v>
      </c>
      <c r="X950" s="19">
        <f>J950</f>
        <v>1</v>
      </c>
      <c r="Y950" s="19">
        <f>N950</f>
        <v>6.9870376225102726E-2</v>
      </c>
      <c r="Z950" s="26">
        <f>(L950+Q950)/(L950+Q950+H950+K950)</f>
        <v>6.3178959405374505E-2</v>
      </c>
    </row>
    <row r="951" spans="1:26" x14ac:dyDescent="0.35">
      <c r="A951" t="s">
        <v>122</v>
      </c>
      <c r="B951" t="s">
        <v>122</v>
      </c>
      <c r="C951" t="s">
        <v>123</v>
      </c>
      <c r="D951" t="s">
        <v>100</v>
      </c>
      <c r="E951" t="s">
        <v>99</v>
      </c>
      <c r="F951" t="s">
        <v>12</v>
      </c>
      <c r="G951">
        <v>1</v>
      </c>
      <c r="H951">
        <v>335</v>
      </c>
      <c r="I951">
        <v>1</v>
      </c>
      <c r="J951" s="25">
        <f t="shared" si="43"/>
        <v>1</v>
      </c>
      <c r="K951">
        <v>2942</v>
      </c>
      <c r="L951">
        <v>221</v>
      </c>
      <c r="M951">
        <v>6.9870376225102698E-2</v>
      </c>
      <c r="N951" s="25">
        <f t="shared" si="42"/>
        <v>6.9870376225102726E-2</v>
      </c>
      <c r="O951">
        <v>0.93012962377489705</v>
      </c>
      <c r="P951" s="25">
        <f t="shared" si="44"/>
        <v>0.93012962377489727</v>
      </c>
      <c r="Q951">
        <v>0</v>
      </c>
      <c r="R951" t="s">
        <v>124</v>
      </c>
      <c r="S951" t="s">
        <v>124</v>
      </c>
      <c r="T951" t="s">
        <v>124</v>
      </c>
      <c r="U951" t="s">
        <v>124</v>
      </c>
      <c r="X951" s="19">
        <f>J951</f>
        <v>1</v>
      </c>
      <c r="Y951" s="19">
        <f>N951</f>
        <v>6.9870376225102726E-2</v>
      </c>
      <c r="Z951" s="26">
        <f>(L951+Q951)/(L951+Q951+H951+K951)</f>
        <v>6.3178959405374505E-2</v>
      </c>
    </row>
    <row r="952" spans="1:26" x14ac:dyDescent="0.35">
      <c r="A952" t="s">
        <v>122</v>
      </c>
      <c r="B952" t="s">
        <v>122</v>
      </c>
      <c r="C952" t="s">
        <v>123</v>
      </c>
      <c r="D952" t="s">
        <v>100</v>
      </c>
      <c r="E952" t="s">
        <v>99</v>
      </c>
      <c r="F952" t="s">
        <v>12</v>
      </c>
      <c r="G952">
        <v>1</v>
      </c>
      <c r="H952">
        <v>335</v>
      </c>
      <c r="I952">
        <v>1</v>
      </c>
      <c r="J952" s="25">
        <f t="shared" si="43"/>
        <v>1</v>
      </c>
      <c r="K952">
        <v>2942</v>
      </c>
      <c r="L952">
        <v>221</v>
      </c>
      <c r="M952">
        <v>6.9870376225102698E-2</v>
      </c>
      <c r="N952" s="25">
        <f t="shared" si="42"/>
        <v>6.9870376225102726E-2</v>
      </c>
      <c r="O952">
        <v>0.93012962377489705</v>
      </c>
      <c r="P952" s="25">
        <f t="shared" si="44"/>
        <v>0.93012962377489727</v>
      </c>
      <c r="Q952">
        <v>0</v>
      </c>
      <c r="R952" t="s">
        <v>124</v>
      </c>
      <c r="S952" t="s">
        <v>124</v>
      </c>
      <c r="T952" t="s">
        <v>124</v>
      </c>
      <c r="U952" t="s">
        <v>124</v>
      </c>
      <c r="X952" s="19">
        <f>J952</f>
        <v>1</v>
      </c>
      <c r="Y952" s="19">
        <f>N952</f>
        <v>6.9870376225102726E-2</v>
      </c>
      <c r="Z952" s="26">
        <f>(L952+Q952)/(L952+Q952+H952+K952)</f>
        <v>6.3178959405374505E-2</v>
      </c>
    </row>
    <row r="953" spans="1:26" x14ac:dyDescent="0.35">
      <c r="A953" t="s">
        <v>122</v>
      </c>
      <c r="B953" t="s">
        <v>122</v>
      </c>
      <c r="C953" t="s">
        <v>123</v>
      </c>
      <c r="D953" t="s">
        <v>100</v>
      </c>
      <c r="E953" t="s">
        <v>99</v>
      </c>
      <c r="F953" t="s">
        <v>12</v>
      </c>
      <c r="G953">
        <v>1</v>
      </c>
      <c r="H953">
        <v>335</v>
      </c>
      <c r="I953">
        <v>1</v>
      </c>
      <c r="J953" s="25">
        <f t="shared" si="43"/>
        <v>1</v>
      </c>
      <c r="K953">
        <v>2942</v>
      </c>
      <c r="L953">
        <v>221</v>
      </c>
      <c r="M953">
        <v>6.9870376225102698E-2</v>
      </c>
      <c r="N953" s="25">
        <f t="shared" si="42"/>
        <v>6.9870376225102726E-2</v>
      </c>
      <c r="O953">
        <v>0.93012962377489705</v>
      </c>
      <c r="P953" s="25">
        <f t="shared" si="44"/>
        <v>0.93012962377489727</v>
      </c>
      <c r="Q953">
        <v>0</v>
      </c>
      <c r="R953" t="s">
        <v>124</v>
      </c>
      <c r="S953" t="s">
        <v>124</v>
      </c>
      <c r="T953" t="s">
        <v>124</v>
      </c>
      <c r="U953" t="s">
        <v>124</v>
      </c>
      <c r="X953" s="19">
        <f>J953</f>
        <v>1</v>
      </c>
      <c r="Y953" s="19">
        <f>N953</f>
        <v>6.9870376225102726E-2</v>
      </c>
      <c r="Z953" s="26">
        <f>(L953+Q953)/(L953+Q953+H953+K953)</f>
        <v>6.3178959405374505E-2</v>
      </c>
    </row>
    <row r="954" spans="1:26" x14ac:dyDescent="0.35">
      <c r="A954" t="s">
        <v>122</v>
      </c>
      <c r="B954" t="s">
        <v>122</v>
      </c>
      <c r="C954" t="s">
        <v>123</v>
      </c>
      <c r="D954" t="s">
        <v>100</v>
      </c>
      <c r="E954" t="s">
        <v>99</v>
      </c>
      <c r="F954" t="s">
        <v>12</v>
      </c>
      <c r="G954">
        <v>1</v>
      </c>
      <c r="H954">
        <v>335</v>
      </c>
      <c r="I954">
        <v>1</v>
      </c>
      <c r="J954" s="25">
        <f t="shared" si="43"/>
        <v>1</v>
      </c>
      <c r="K954">
        <v>2942</v>
      </c>
      <c r="L954">
        <v>221</v>
      </c>
      <c r="M954">
        <v>6.9870376225102698E-2</v>
      </c>
      <c r="N954" s="25">
        <f t="shared" si="42"/>
        <v>6.9870376225102726E-2</v>
      </c>
      <c r="O954">
        <v>0.93012962377489705</v>
      </c>
      <c r="P954" s="25">
        <f t="shared" si="44"/>
        <v>0.93012962377489727</v>
      </c>
      <c r="Q954">
        <v>0</v>
      </c>
      <c r="R954" t="s">
        <v>124</v>
      </c>
      <c r="S954" t="s">
        <v>124</v>
      </c>
      <c r="T954" t="s">
        <v>124</v>
      </c>
      <c r="U954" t="s">
        <v>124</v>
      </c>
      <c r="X954" s="19">
        <f>J954</f>
        <v>1</v>
      </c>
      <c r="Y954" s="19">
        <f>N954</f>
        <v>6.9870376225102726E-2</v>
      </c>
      <c r="Z954" s="26">
        <f>(L954+Q954)/(L954+Q954+H954+K954)</f>
        <v>6.3178959405374505E-2</v>
      </c>
    </row>
    <row r="955" spans="1:26" x14ac:dyDescent="0.35">
      <c r="A955" t="s">
        <v>122</v>
      </c>
      <c r="B955" t="s">
        <v>122</v>
      </c>
      <c r="C955" t="s">
        <v>123</v>
      </c>
      <c r="D955" t="s">
        <v>100</v>
      </c>
      <c r="E955" t="s">
        <v>99</v>
      </c>
      <c r="F955" t="s">
        <v>12</v>
      </c>
      <c r="G955">
        <v>1</v>
      </c>
      <c r="H955">
        <v>335</v>
      </c>
      <c r="I955">
        <v>1</v>
      </c>
      <c r="J955" s="25">
        <f t="shared" si="43"/>
        <v>1</v>
      </c>
      <c r="K955">
        <v>2942</v>
      </c>
      <c r="L955">
        <v>221</v>
      </c>
      <c r="M955">
        <v>6.9870376225102698E-2</v>
      </c>
      <c r="N955" s="25">
        <f t="shared" si="42"/>
        <v>6.9870376225102726E-2</v>
      </c>
      <c r="O955">
        <v>0.93012962377489705</v>
      </c>
      <c r="P955" s="25">
        <f t="shared" si="44"/>
        <v>0.93012962377489727</v>
      </c>
      <c r="Q955">
        <v>0</v>
      </c>
      <c r="R955" t="s">
        <v>124</v>
      </c>
      <c r="S955" t="s">
        <v>124</v>
      </c>
      <c r="T955" t="s">
        <v>124</v>
      </c>
      <c r="U955" t="s">
        <v>124</v>
      </c>
      <c r="X955" s="19">
        <f>J955</f>
        <v>1</v>
      </c>
      <c r="Y955" s="19">
        <f>N955</f>
        <v>6.9870376225102726E-2</v>
      </c>
      <c r="Z955" s="26">
        <f>(L955+Q955)/(L955+Q955+H955+K955)</f>
        <v>6.3178959405374505E-2</v>
      </c>
    </row>
    <row r="956" spans="1:26" x14ac:dyDescent="0.35">
      <c r="A956" t="s">
        <v>122</v>
      </c>
      <c r="B956" t="s">
        <v>122</v>
      </c>
      <c r="C956" t="s">
        <v>123</v>
      </c>
      <c r="D956" t="s">
        <v>100</v>
      </c>
      <c r="E956" t="s">
        <v>99</v>
      </c>
      <c r="F956" t="s">
        <v>12</v>
      </c>
      <c r="G956">
        <v>1</v>
      </c>
      <c r="H956">
        <v>335</v>
      </c>
      <c r="I956">
        <v>1</v>
      </c>
      <c r="J956" s="25">
        <f t="shared" si="43"/>
        <v>1</v>
      </c>
      <c r="K956">
        <v>2942</v>
      </c>
      <c r="L956">
        <v>221</v>
      </c>
      <c r="M956">
        <v>6.9870376225102698E-2</v>
      </c>
      <c r="N956" s="25">
        <f t="shared" si="42"/>
        <v>6.9870376225102726E-2</v>
      </c>
      <c r="O956">
        <v>0.93012962377489705</v>
      </c>
      <c r="P956" s="25">
        <f t="shared" si="44"/>
        <v>0.93012962377489727</v>
      </c>
      <c r="Q956">
        <v>0</v>
      </c>
      <c r="R956" t="s">
        <v>124</v>
      </c>
      <c r="S956" t="s">
        <v>124</v>
      </c>
      <c r="T956" t="s">
        <v>124</v>
      </c>
      <c r="U956" t="s">
        <v>124</v>
      </c>
      <c r="X956" s="19">
        <f>J956</f>
        <v>1</v>
      </c>
      <c r="Y956" s="19">
        <f>N956</f>
        <v>6.9870376225102726E-2</v>
      </c>
      <c r="Z956" s="26">
        <f>(L956+Q956)/(L956+Q956+H956+K956)</f>
        <v>6.3178959405374505E-2</v>
      </c>
    </row>
    <row r="957" spans="1:26" x14ac:dyDescent="0.35">
      <c r="A957" t="s">
        <v>122</v>
      </c>
      <c r="B957" t="s">
        <v>122</v>
      </c>
      <c r="C957" t="s">
        <v>123</v>
      </c>
      <c r="D957" t="s">
        <v>100</v>
      </c>
      <c r="E957" t="s">
        <v>99</v>
      </c>
      <c r="F957" t="s">
        <v>12</v>
      </c>
      <c r="G957">
        <v>1</v>
      </c>
      <c r="H957">
        <v>335</v>
      </c>
      <c r="I957">
        <v>1</v>
      </c>
      <c r="J957" s="25">
        <f t="shared" si="43"/>
        <v>1</v>
      </c>
      <c r="K957">
        <v>2942</v>
      </c>
      <c r="L957">
        <v>221</v>
      </c>
      <c r="M957">
        <v>6.9870376225102698E-2</v>
      </c>
      <c r="N957" s="25">
        <f t="shared" si="42"/>
        <v>6.9870376225102726E-2</v>
      </c>
      <c r="O957">
        <v>0.93012962377489705</v>
      </c>
      <c r="P957" s="25">
        <f t="shared" si="44"/>
        <v>0.93012962377489727</v>
      </c>
      <c r="Q957">
        <v>0</v>
      </c>
      <c r="R957" t="s">
        <v>124</v>
      </c>
      <c r="S957" t="s">
        <v>124</v>
      </c>
      <c r="T957" t="s">
        <v>124</v>
      </c>
      <c r="U957" t="s">
        <v>124</v>
      </c>
      <c r="X957" s="19">
        <f>J957</f>
        <v>1</v>
      </c>
      <c r="Y957" s="19">
        <f>N957</f>
        <v>6.9870376225102726E-2</v>
      </c>
      <c r="Z957" s="26">
        <f>(L957+Q957)/(L957+Q957+H957+K957)</f>
        <v>6.3178959405374505E-2</v>
      </c>
    </row>
    <row r="958" spans="1:26" x14ac:dyDescent="0.35">
      <c r="A958" t="s">
        <v>122</v>
      </c>
      <c r="B958" t="s">
        <v>122</v>
      </c>
      <c r="C958" t="s">
        <v>123</v>
      </c>
      <c r="D958" t="s">
        <v>100</v>
      </c>
      <c r="E958" t="s">
        <v>99</v>
      </c>
      <c r="F958" t="s">
        <v>12</v>
      </c>
      <c r="G958">
        <v>1</v>
      </c>
      <c r="H958">
        <v>335</v>
      </c>
      <c r="I958">
        <v>1</v>
      </c>
      <c r="J958" s="25">
        <f t="shared" si="43"/>
        <v>1</v>
      </c>
      <c r="K958">
        <v>2942</v>
      </c>
      <c r="L958">
        <v>221</v>
      </c>
      <c r="M958">
        <v>6.9870376225102698E-2</v>
      </c>
      <c r="N958" s="25">
        <f t="shared" si="42"/>
        <v>6.9870376225102726E-2</v>
      </c>
      <c r="O958">
        <v>0.93012962377489705</v>
      </c>
      <c r="P958" s="25">
        <f t="shared" si="44"/>
        <v>0.93012962377489727</v>
      </c>
      <c r="Q958">
        <v>0</v>
      </c>
      <c r="R958" t="s">
        <v>124</v>
      </c>
      <c r="S958" t="s">
        <v>124</v>
      </c>
      <c r="T958" t="s">
        <v>124</v>
      </c>
      <c r="U958" t="s">
        <v>124</v>
      </c>
      <c r="X958" s="19">
        <f>J958</f>
        <v>1</v>
      </c>
      <c r="Y958" s="19">
        <f>N958</f>
        <v>6.9870376225102726E-2</v>
      </c>
      <c r="Z958" s="26">
        <f>(L958+Q958)/(L958+Q958+H958+K958)</f>
        <v>6.3178959405374505E-2</v>
      </c>
    </row>
    <row r="959" spans="1:26" x14ac:dyDescent="0.35">
      <c r="A959" t="s">
        <v>122</v>
      </c>
      <c r="B959" t="s">
        <v>122</v>
      </c>
      <c r="C959" t="s">
        <v>123</v>
      </c>
      <c r="D959" t="s">
        <v>100</v>
      </c>
      <c r="E959" t="s">
        <v>99</v>
      </c>
      <c r="F959" t="s">
        <v>12</v>
      </c>
      <c r="G959">
        <v>1</v>
      </c>
      <c r="H959">
        <v>335</v>
      </c>
      <c r="I959">
        <v>1</v>
      </c>
      <c r="J959" s="25">
        <f t="shared" si="43"/>
        <v>1</v>
      </c>
      <c r="K959">
        <v>2942</v>
      </c>
      <c r="L959">
        <v>221</v>
      </c>
      <c r="M959">
        <v>6.9870376225102698E-2</v>
      </c>
      <c r="N959" s="25">
        <f t="shared" si="42"/>
        <v>6.9870376225102726E-2</v>
      </c>
      <c r="O959">
        <v>0.93012962377489705</v>
      </c>
      <c r="P959" s="25">
        <f t="shared" si="44"/>
        <v>0.93012962377489727</v>
      </c>
      <c r="Q959">
        <v>0</v>
      </c>
      <c r="R959" t="s">
        <v>124</v>
      </c>
      <c r="S959" t="s">
        <v>124</v>
      </c>
      <c r="T959" t="s">
        <v>124</v>
      </c>
      <c r="U959" t="s">
        <v>124</v>
      </c>
      <c r="X959" s="19">
        <f>J959</f>
        <v>1</v>
      </c>
      <c r="Y959" s="19">
        <f>N959</f>
        <v>6.9870376225102726E-2</v>
      </c>
      <c r="Z959" s="26">
        <f>(L959+Q959)/(L959+Q959+H959+K959)</f>
        <v>6.3178959405374505E-2</v>
      </c>
    </row>
    <row r="960" spans="1:26" x14ac:dyDescent="0.35">
      <c r="A960" t="s">
        <v>122</v>
      </c>
      <c r="B960" t="s">
        <v>122</v>
      </c>
      <c r="C960" t="s">
        <v>123</v>
      </c>
      <c r="D960" t="s">
        <v>100</v>
      </c>
      <c r="E960" t="s">
        <v>99</v>
      </c>
      <c r="F960" t="s">
        <v>12</v>
      </c>
      <c r="G960">
        <v>1</v>
      </c>
      <c r="H960">
        <v>335</v>
      </c>
      <c r="I960">
        <v>1</v>
      </c>
      <c r="J960" s="25">
        <f t="shared" si="43"/>
        <v>1</v>
      </c>
      <c r="K960">
        <v>2942</v>
      </c>
      <c r="L960">
        <v>221</v>
      </c>
      <c r="M960">
        <v>6.9870376225102698E-2</v>
      </c>
      <c r="N960" s="25">
        <f t="shared" si="42"/>
        <v>6.9870376225102726E-2</v>
      </c>
      <c r="O960">
        <v>0.93012962377489705</v>
      </c>
      <c r="P960" s="25">
        <f t="shared" si="44"/>
        <v>0.93012962377489727</v>
      </c>
      <c r="Q960">
        <v>0</v>
      </c>
      <c r="R960" t="s">
        <v>124</v>
      </c>
      <c r="S960" t="s">
        <v>124</v>
      </c>
      <c r="T960" t="s">
        <v>124</v>
      </c>
      <c r="U960" t="s">
        <v>124</v>
      </c>
      <c r="X960" s="19">
        <f>J960</f>
        <v>1</v>
      </c>
      <c r="Y960" s="19">
        <f>N960</f>
        <v>6.9870376225102726E-2</v>
      </c>
      <c r="Z960" s="26">
        <f>(L960+Q960)/(L960+Q960+H960+K960)</f>
        <v>6.3178959405374505E-2</v>
      </c>
    </row>
    <row r="961" spans="1:26" x14ac:dyDescent="0.35">
      <c r="A961" t="s">
        <v>122</v>
      </c>
      <c r="B961" t="s">
        <v>122</v>
      </c>
      <c r="C961" t="s">
        <v>123</v>
      </c>
      <c r="D961" t="s">
        <v>100</v>
      </c>
      <c r="E961" t="s">
        <v>99</v>
      </c>
      <c r="F961" t="s">
        <v>12</v>
      </c>
      <c r="G961">
        <v>1</v>
      </c>
      <c r="H961">
        <v>335</v>
      </c>
      <c r="I961">
        <v>1</v>
      </c>
      <c r="J961" s="25">
        <f t="shared" si="43"/>
        <v>1</v>
      </c>
      <c r="K961">
        <v>2942</v>
      </c>
      <c r="L961">
        <v>221</v>
      </c>
      <c r="M961">
        <v>6.9870376225102698E-2</v>
      </c>
      <c r="N961" s="25">
        <f t="shared" si="42"/>
        <v>6.9870376225102726E-2</v>
      </c>
      <c r="O961">
        <v>0.93012962377489705</v>
      </c>
      <c r="P961" s="25">
        <f t="shared" si="44"/>
        <v>0.93012962377489727</v>
      </c>
      <c r="Q961">
        <v>0</v>
      </c>
      <c r="R961" t="s">
        <v>124</v>
      </c>
      <c r="S961" t="s">
        <v>124</v>
      </c>
      <c r="T961" t="s">
        <v>124</v>
      </c>
      <c r="U961" t="s">
        <v>124</v>
      </c>
      <c r="X961" s="19">
        <f>J961</f>
        <v>1</v>
      </c>
      <c r="Y961" s="19">
        <f>N961</f>
        <v>6.9870376225102726E-2</v>
      </c>
      <c r="Z961" s="26">
        <f>(L961+Q961)/(L961+Q961+H961+K961)</f>
        <v>6.3178959405374505E-2</v>
      </c>
    </row>
    <row r="962" spans="1:26" x14ac:dyDescent="0.35">
      <c r="A962" t="s">
        <v>122</v>
      </c>
      <c r="B962" t="s">
        <v>122</v>
      </c>
      <c r="C962" t="s">
        <v>123</v>
      </c>
      <c r="D962" t="s">
        <v>100</v>
      </c>
      <c r="E962" t="s">
        <v>99</v>
      </c>
      <c r="F962" t="s">
        <v>12</v>
      </c>
      <c r="G962">
        <v>1</v>
      </c>
      <c r="H962">
        <v>335</v>
      </c>
      <c r="I962">
        <v>1</v>
      </c>
      <c r="J962" s="25">
        <f t="shared" si="43"/>
        <v>1</v>
      </c>
      <c r="K962">
        <v>2942</v>
      </c>
      <c r="L962">
        <v>221</v>
      </c>
      <c r="M962">
        <v>6.9870376225102698E-2</v>
      </c>
      <c r="N962" s="25">
        <f t="shared" ref="N962:N1025" si="45">1-P962</f>
        <v>6.9870376225102726E-2</v>
      </c>
      <c r="O962">
        <v>0.93012962377489705</v>
      </c>
      <c r="P962" s="25">
        <f t="shared" si="44"/>
        <v>0.93012962377489727</v>
      </c>
      <c r="Q962">
        <v>0</v>
      </c>
      <c r="R962" t="s">
        <v>124</v>
      </c>
      <c r="S962" t="s">
        <v>124</v>
      </c>
      <c r="T962" t="s">
        <v>124</v>
      </c>
      <c r="U962" t="s">
        <v>124</v>
      </c>
      <c r="X962" s="19">
        <f>J962</f>
        <v>1</v>
      </c>
      <c r="Y962" s="19">
        <f>N962</f>
        <v>6.9870376225102726E-2</v>
      </c>
      <c r="Z962" s="26">
        <f>(L962+Q962)/(L962+Q962+H962+K962)</f>
        <v>6.3178959405374505E-2</v>
      </c>
    </row>
    <row r="963" spans="1:26" x14ac:dyDescent="0.35">
      <c r="A963" t="s">
        <v>122</v>
      </c>
      <c r="B963" t="s">
        <v>122</v>
      </c>
      <c r="C963" t="s">
        <v>123</v>
      </c>
      <c r="D963" t="s">
        <v>100</v>
      </c>
      <c r="E963" t="s">
        <v>99</v>
      </c>
      <c r="F963" t="s">
        <v>12</v>
      </c>
      <c r="G963">
        <v>1</v>
      </c>
      <c r="H963">
        <v>335</v>
      </c>
      <c r="I963">
        <v>1</v>
      </c>
      <c r="J963" s="25">
        <f t="shared" ref="J963:J1026" si="46">H963/(H963+Q963)</f>
        <v>1</v>
      </c>
      <c r="K963">
        <v>2942</v>
      </c>
      <c r="L963">
        <v>221</v>
      </c>
      <c r="M963">
        <v>6.9870376225102698E-2</v>
      </c>
      <c r="N963" s="25">
        <f t="shared" si="45"/>
        <v>6.9870376225102726E-2</v>
      </c>
      <c r="O963">
        <v>0.93012962377489705</v>
      </c>
      <c r="P963" s="25">
        <f t="shared" ref="P963:P1026" si="47">K963/(K963+L963)</f>
        <v>0.93012962377489727</v>
      </c>
      <c r="Q963">
        <v>0</v>
      </c>
      <c r="R963" t="s">
        <v>124</v>
      </c>
      <c r="S963" t="s">
        <v>124</v>
      </c>
      <c r="T963" t="s">
        <v>124</v>
      </c>
      <c r="U963" t="s">
        <v>124</v>
      </c>
      <c r="X963" s="19">
        <f>J963</f>
        <v>1</v>
      </c>
      <c r="Y963" s="19">
        <f>N963</f>
        <v>6.9870376225102726E-2</v>
      </c>
      <c r="Z963" s="26">
        <f>(L963+Q963)/(L963+Q963+H963+K963)</f>
        <v>6.3178959405374505E-2</v>
      </c>
    </row>
    <row r="964" spans="1:26" x14ac:dyDescent="0.35">
      <c r="A964" t="s">
        <v>122</v>
      </c>
      <c r="B964" t="s">
        <v>122</v>
      </c>
      <c r="C964" t="s">
        <v>123</v>
      </c>
      <c r="D964" t="s">
        <v>100</v>
      </c>
      <c r="E964" t="s">
        <v>99</v>
      </c>
      <c r="F964" t="s">
        <v>12</v>
      </c>
      <c r="G964">
        <v>1</v>
      </c>
      <c r="H964">
        <v>335</v>
      </c>
      <c r="I964">
        <v>1</v>
      </c>
      <c r="J964" s="25">
        <f t="shared" si="46"/>
        <v>1</v>
      </c>
      <c r="K964">
        <v>2942</v>
      </c>
      <c r="L964">
        <v>221</v>
      </c>
      <c r="M964">
        <v>6.9870376225102698E-2</v>
      </c>
      <c r="N964" s="25">
        <f t="shared" si="45"/>
        <v>6.9870376225102726E-2</v>
      </c>
      <c r="O964">
        <v>0.93012962377489705</v>
      </c>
      <c r="P964" s="25">
        <f t="shared" si="47"/>
        <v>0.93012962377489727</v>
      </c>
      <c r="Q964">
        <v>0</v>
      </c>
      <c r="R964" t="s">
        <v>124</v>
      </c>
      <c r="S964" t="s">
        <v>124</v>
      </c>
      <c r="T964" t="s">
        <v>124</v>
      </c>
      <c r="U964" t="s">
        <v>124</v>
      </c>
      <c r="X964" s="19">
        <f>J964</f>
        <v>1</v>
      </c>
      <c r="Y964" s="19">
        <f>N964</f>
        <v>6.9870376225102726E-2</v>
      </c>
      <c r="Z964" s="26">
        <f>(L964+Q964)/(L964+Q964+H964+K964)</f>
        <v>6.3178959405374505E-2</v>
      </c>
    </row>
    <row r="965" spans="1:26" x14ac:dyDescent="0.35">
      <c r="A965" t="s">
        <v>122</v>
      </c>
      <c r="B965" t="s">
        <v>122</v>
      </c>
      <c r="C965" t="s">
        <v>123</v>
      </c>
      <c r="D965" t="s">
        <v>100</v>
      </c>
      <c r="E965" t="s">
        <v>99</v>
      </c>
      <c r="F965" t="s">
        <v>12</v>
      </c>
      <c r="G965">
        <v>1</v>
      </c>
      <c r="H965">
        <v>335</v>
      </c>
      <c r="I965">
        <v>1</v>
      </c>
      <c r="J965" s="25">
        <f t="shared" si="46"/>
        <v>1</v>
      </c>
      <c r="K965">
        <v>2942</v>
      </c>
      <c r="L965">
        <v>221</v>
      </c>
      <c r="M965">
        <v>6.9870376225102698E-2</v>
      </c>
      <c r="N965" s="25">
        <f t="shared" si="45"/>
        <v>6.9870376225102726E-2</v>
      </c>
      <c r="O965">
        <v>0.93012962377489705</v>
      </c>
      <c r="P965" s="25">
        <f t="shared" si="47"/>
        <v>0.93012962377489727</v>
      </c>
      <c r="Q965">
        <v>0</v>
      </c>
      <c r="R965" t="s">
        <v>124</v>
      </c>
      <c r="S965" t="s">
        <v>124</v>
      </c>
      <c r="T965" t="s">
        <v>124</v>
      </c>
      <c r="U965" t="s">
        <v>124</v>
      </c>
      <c r="X965" s="19">
        <f>J965</f>
        <v>1</v>
      </c>
      <c r="Y965" s="19">
        <f>N965</f>
        <v>6.9870376225102726E-2</v>
      </c>
      <c r="Z965" s="26">
        <f>(L965+Q965)/(L965+Q965+H965+K965)</f>
        <v>6.3178959405374505E-2</v>
      </c>
    </row>
    <row r="966" spans="1:26" x14ac:dyDescent="0.35">
      <c r="A966" t="s">
        <v>122</v>
      </c>
      <c r="B966" t="s">
        <v>122</v>
      </c>
      <c r="C966" t="s">
        <v>123</v>
      </c>
      <c r="D966" t="s">
        <v>100</v>
      </c>
      <c r="E966" t="s">
        <v>99</v>
      </c>
      <c r="F966" t="s">
        <v>12</v>
      </c>
      <c r="G966">
        <v>1</v>
      </c>
      <c r="H966">
        <v>335</v>
      </c>
      <c r="I966">
        <v>1</v>
      </c>
      <c r="J966" s="25">
        <f t="shared" si="46"/>
        <v>1</v>
      </c>
      <c r="K966">
        <v>2942</v>
      </c>
      <c r="L966">
        <v>221</v>
      </c>
      <c r="M966">
        <v>6.9870376225102698E-2</v>
      </c>
      <c r="N966" s="25">
        <f t="shared" si="45"/>
        <v>6.9870376225102726E-2</v>
      </c>
      <c r="O966">
        <v>0.93012962377489705</v>
      </c>
      <c r="P966" s="25">
        <f t="shared" si="47"/>
        <v>0.93012962377489727</v>
      </c>
      <c r="Q966">
        <v>0</v>
      </c>
      <c r="R966" t="s">
        <v>124</v>
      </c>
      <c r="S966" t="s">
        <v>124</v>
      </c>
      <c r="T966" t="s">
        <v>124</v>
      </c>
      <c r="U966" t="s">
        <v>124</v>
      </c>
      <c r="X966" s="19">
        <f>J966</f>
        <v>1</v>
      </c>
      <c r="Y966" s="19">
        <f>N966</f>
        <v>6.9870376225102726E-2</v>
      </c>
      <c r="Z966" s="26">
        <f>(L966+Q966)/(L966+Q966+H966+K966)</f>
        <v>6.3178959405374505E-2</v>
      </c>
    </row>
    <row r="967" spans="1:26" x14ac:dyDescent="0.35">
      <c r="A967" t="s">
        <v>122</v>
      </c>
      <c r="B967" t="s">
        <v>122</v>
      </c>
      <c r="C967" t="s">
        <v>123</v>
      </c>
      <c r="D967" t="s">
        <v>100</v>
      </c>
      <c r="E967" t="s">
        <v>99</v>
      </c>
      <c r="F967" t="s">
        <v>12</v>
      </c>
      <c r="G967">
        <v>1</v>
      </c>
      <c r="H967">
        <v>335</v>
      </c>
      <c r="I967">
        <v>1</v>
      </c>
      <c r="J967" s="25">
        <f t="shared" si="46"/>
        <v>1</v>
      </c>
      <c r="K967">
        <v>2942</v>
      </c>
      <c r="L967">
        <v>221</v>
      </c>
      <c r="M967">
        <v>6.9870376225102698E-2</v>
      </c>
      <c r="N967" s="25">
        <f t="shared" si="45"/>
        <v>6.9870376225102726E-2</v>
      </c>
      <c r="O967">
        <v>0.93012962377489705</v>
      </c>
      <c r="P967" s="25">
        <f t="shared" si="47"/>
        <v>0.93012962377489727</v>
      </c>
      <c r="Q967">
        <v>0</v>
      </c>
      <c r="R967" t="s">
        <v>124</v>
      </c>
      <c r="S967" t="s">
        <v>124</v>
      </c>
      <c r="T967" t="s">
        <v>124</v>
      </c>
      <c r="U967" t="s">
        <v>124</v>
      </c>
      <c r="X967" s="19">
        <f>J967</f>
        <v>1</v>
      </c>
      <c r="Y967" s="19">
        <f>N967</f>
        <v>6.9870376225102726E-2</v>
      </c>
      <c r="Z967" s="26">
        <f>(L967+Q967)/(L967+Q967+H967+K967)</f>
        <v>6.3178959405374505E-2</v>
      </c>
    </row>
    <row r="968" spans="1:26" x14ac:dyDescent="0.35">
      <c r="A968" t="s">
        <v>122</v>
      </c>
      <c r="B968" t="s">
        <v>122</v>
      </c>
      <c r="C968" t="s">
        <v>123</v>
      </c>
      <c r="D968" t="s">
        <v>100</v>
      </c>
      <c r="E968" t="s">
        <v>99</v>
      </c>
      <c r="F968" t="s">
        <v>12</v>
      </c>
      <c r="G968">
        <v>1</v>
      </c>
      <c r="H968">
        <v>335</v>
      </c>
      <c r="I968">
        <v>1</v>
      </c>
      <c r="J968" s="25">
        <f t="shared" si="46"/>
        <v>1</v>
      </c>
      <c r="K968">
        <v>2942</v>
      </c>
      <c r="L968">
        <v>221</v>
      </c>
      <c r="M968">
        <v>6.9870376225102698E-2</v>
      </c>
      <c r="N968" s="25">
        <f t="shared" si="45"/>
        <v>6.9870376225102726E-2</v>
      </c>
      <c r="O968">
        <v>0.93012962377489705</v>
      </c>
      <c r="P968" s="25">
        <f t="shared" si="47"/>
        <v>0.93012962377489727</v>
      </c>
      <c r="Q968">
        <v>0</v>
      </c>
      <c r="R968" t="s">
        <v>124</v>
      </c>
      <c r="S968" t="s">
        <v>124</v>
      </c>
      <c r="T968" t="s">
        <v>124</v>
      </c>
      <c r="U968" t="s">
        <v>124</v>
      </c>
      <c r="X968" s="19">
        <f>J968</f>
        <v>1</v>
      </c>
      <c r="Y968" s="19">
        <f>N968</f>
        <v>6.9870376225102726E-2</v>
      </c>
      <c r="Z968" s="26">
        <f>(L968+Q968)/(L968+Q968+H968+K968)</f>
        <v>6.3178959405374505E-2</v>
      </c>
    </row>
    <row r="969" spans="1:26" x14ac:dyDescent="0.35">
      <c r="A969" t="s">
        <v>122</v>
      </c>
      <c r="B969" t="s">
        <v>122</v>
      </c>
      <c r="C969" t="s">
        <v>123</v>
      </c>
      <c r="D969" t="s">
        <v>100</v>
      </c>
      <c r="E969" t="s">
        <v>99</v>
      </c>
      <c r="F969" t="s">
        <v>12</v>
      </c>
      <c r="G969">
        <v>1</v>
      </c>
      <c r="H969">
        <v>335</v>
      </c>
      <c r="I969">
        <v>1</v>
      </c>
      <c r="J969" s="25">
        <f t="shared" si="46"/>
        <v>1</v>
      </c>
      <c r="K969">
        <v>2942</v>
      </c>
      <c r="L969">
        <v>221</v>
      </c>
      <c r="M969">
        <v>6.9870376225102698E-2</v>
      </c>
      <c r="N969" s="25">
        <f t="shared" si="45"/>
        <v>6.9870376225102726E-2</v>
      </c>
      <c r="O969">
        <v>0.93012962377489705</v>
      </c>
      <c r="P969" s="25">
        <f t="shared" si="47"/>
        <v>0.93012962377489727</v>
      </c>
      <c r="Q969">
        <v>0</v>
      </c>
      <c r="R969" t="s">
        <v>124</v>
      </c>
      <c r="S969" t="s">
        <v>124</v>
      </c>
      <c r="T969" t="s">
        <v>124</v>
      </c>
      <c r="U969" t="s">
        <v>124</v>
      </c>
      <c r="X969" s="19">
        <f>J969</f>
        <v>1</v>
      </c>
      <c r="Y969" s="19">
        <f>N969</f>
        <v>6.9870376225102726E-2</v>
      </c>
      <c r="Z969" s="26">
        <f>(L969+Q969)/(L969+Q969+H969+K969)</f>
        <v>6.3178959405374505E-2</v>
      </c>
    </row>
    <row r="970" spans="1:26" x14ac:dyDescent="0.35">
      <c r="A970" t="s">
        <v>122</v>
      </c>
      <c r="B970" t="s">
        <v>122</v>
      </c>
      <c r="C970" t="s">
        <v>123</v>
      </c>
      <c r="D970" t="s">
        <v>100</v>
      </c>
      <c r="E970" t="s">
        <v>99</v>
      </c>
      <c r="F970" t="s">
        <v>12</v>
      </c>
      <c r="G970">
        <v>1</v>
      </c>
      <c r="H970">
        <v>335</v>
      </c>
      <c r="I970">
        <v>1</v>
      </c>
      <c r="J970" s="25">
        <f t="shared" si="46"/>
        <v>1</v>
      </c>
      <c r="K970">
        <v>2942</v>
      </c>
      <c r="L970">
        <v>221</v>
      </c>
      <c r="M970">
        <v>6.9870376225102698E-2</v>
      </c>
      <c r="N970" s="25">
        <f t="shared" si="45"/>
        <v>6.9870376225102726E-2</v>
      </c>
      <c r="O970">
        <v>0.93012962377489705</v>
      </c>
      <c r="P970" s="25">
        <f t="shared" si="47"/>
        <v>0.93012962377489727</v>
      </c>
      <c r="Q970">
        <v>0</v>
      </c>
      <c r="R970" t="s">
        <v>124</v>
      </c>
      <c r="S970" t="s">
        <v>124</v>
      </c>
      <c r="T970" t="s">
        <v>124</v>
      </c>
      <c r="U970" t="s">
        <v>124</v>
      </c>
      <c r="X970" s="19">
        <f>J970</f>
        <v>1</v>
      </c>
      <c r="Y970" s="19">
        <f>N970</f>
        <v>6.9870376225102726E-2</v>
      </c>
      <c r="Z970" s="26">
        <f>(L970+Q970)/(L970+Q970+H970+K970)</f>
        <v>6.3178959405374505E-2</v>
      </c>
    </row>
    <row r="971" spans="1:26" x14ac:dyDescent="0.35">
      <c r="A971" t="s">
        <v>122</v>
      </c>
      <c r="B971" t="s">
        <v>122</v>
      </c>
      <c r="C971" t="s">
        <v>123</v>
      </c>
      <c r="D971" t="s">
        <v>100</v>
      </c>
      <c r="E971" t="s">
        <v>99</v>
      </c>
      <c r="F971" t="s">
        <v>12</v>
      </c>
      <c r="G971">
        <v>1</v>
      </c>
      <c r="H971">
        <v>335</v>
      </c>
      <c r="I971">
        <v>1</v>
      </c>
      <c r="J971" s="25">
        <f t="shared" si="46"/>
        <v>1</v>
      </c>
      <c r="K971">
        <v>2942</v>
      </c>
      <c r="L971">
        <v>221</v>
      </c>
      <c r="M971">
        <v>6.9870376225102698E-2</v>
      </c>
      <c r="N971" s="25">
        <f t="shared" si="45"/>
        <v>6.9870376225102726E-2</v>
      </c>
      <c r="O971">
        <v>0.93012962377489705</v>
      </c>
      <c r="P971" s="25">
        <f t="shared" si="47"/>
        <v>0.93012962377489727</v>
      </c>
      <c r="Q971">
        <v>0</v>
      </c>
      <c r="R971" t="s">
        <v>124</v>
      </c>
      <c r="S971" t="s">
        <v>124</v>
      </c>
      <c r="T971" t="s">
        <v>124</v>
      </c>
      <c r="U971" t="s">
        <v>124</v>
      </c>
      <c r="X971" s="19">
        <f>J971</f>
        <v>1</v>
      </c>
      <c r="Y971" s="19">
        <f>N971</f>
        <v>6.9870376225102726E-2</v>
      </c>
      <c r="Z971" s="26">
        <f>(L971+Q971)/(L971+Q971+H971+K971)</f>
        <v>6.3178959405374505E-2</v>
      </c>
    </row>
    <row r="972" spans="1:26" x14ac:dyDescent="0.35">
      <c r="A972" t="s">
        <v>122</v>
      </c>
      <c r="B972" t="s">
        <v>122</v>
      </c>
      <c r="C972" t="s">
        <v>123</v>
      </c>
      <c r="D972" t="s">
        <v>100</v>
      </c>
      <c r="E972" t="s">
        <v>99</v>
      </c>
      <c r="F972" t="s">
        <v>12</v>
      </c>
      <c r="G972">
        <v>1</v>
      </c>
      <c r="H972">
        <v>335</v>
      </c>
      <c r="I972">
        <v>1</v>
      </c>
      <c r="J972" s="25">
        <f t="shared" si="46"/>
        <v>1</v>
      </c>
      <c r="K972">
        <v>2942</v>
      </c>
      <c r="L972">
        <v>221</v>
      </c>
      <c r="M972">
        <v>6.9870376225102698E-2</v>
      </c>
      <c r="N972" s="25">
        <f t="shared" si="45"/>
        <v>6.9870376225102726E-2</v>
      </c>
      <c r="O972">
        <v>0.93012962377489705</v>
      </c>
      <c r="P972" s="25">
        <f t="shared" si="47"/>
        <v>0.93012962377489727</v>
      </c>
      <c r="Q972">
        <v>0</v>
      </c>
      <c r="R972" t="s">
        <v>124</v>
      </c>
      <c r="S972" t="s">
        <v>124</v>
      </c>
      <c r="T972" t="s">
        <v>124</v>
      </c>
      <c r="U972" t="s">
        <v>124</v>
      </c>
      <c r="X972" s="19">
        <f>J972</f>
        <v>1</v>
      </c>
      <c r="Y972" s="19">
        <f>N972</f>
        <v>6.9870376225102726E-2</v>
      </c>
      <c r="Z972" s="26">
        <f>(L972+Q972)/(L972+Q972+H972+K972)</f>
        <v>6.3178959405374505E-2</v>
      </c>
    </row>
    <row r="973" spans="1:26" x14ac:dyDescent="0.35">
      <c r="A973" t="s">
        <v>122</v>
      </c>
      <c r="B973" t="s">
        <v>122</v>
      </c>
      <c r="C973" t="s">
        <v>123</v>
      </c>
      <c r="D973" t="s">
        <v>100</v>
      </c>
      <c r="E973" t="s">
        <v>99</v>
      </c>
      <c r="F973" t="s">
        <v>12</v>
      </c>
      <c r="G973">
        <v>1</v>
      </c>
      <c r="H973">
        <v>335</v>
      </c>
      <c r="I973">
        <v>1</v>
      </c>
      <c r="J973" s="25">
        <f t="shared" si="46"/>
        <v>1</v>
      </c>
      <c r="K973">
        <v>2942</v>
      </c>
      <c r="L973">
        <v>221</v>
      </c>
      <c r="M973">
        <v>6.9870376225102698E-2</v>
      </c>
      <c r="N973" s="25">
        <f t="shared" si="45"/>
        <v>6.9870376225102726E-2</v>
      </c>
      <c r="O973">
        <v>0.93012962377489705</v>
      </c>
      <c r="P973" s="25">
        <f t="shared" si="47"/>
        <v>0.93012962377489727</v>
      </c>
      <c r="Q973">
        <v>0</v>
      </c>
      <c r="R973">
        <v>0.41666666666666002</v>
      </c>
      <c r="S973">
        <v>0.41666666666666002</v>
      </c>
      <c r="T973">
        <v>0.41699999999999998</v>
      </c>
      <c r="U973">
        <v>0.4269</v>
      </c>
      <c r="X973" s="19">
        <f>J973</f>
        <v>1</v>
      </c>
      <c r="Y973" s="19">
        <f>N973</f>
        <v>6.9870376225102726E-2</v>
      </c>
      <c r="Z973" s="26">
        <f>(L973+Q973)/(L973+Q973+H973+K973)</f>
        <v>6.3178959405374505E-2</v>
      </c>
    </row>
    <row r="974" spans="1:26" x14ac:dyDescent="0.35">
      <c r="A974" t="s">
        <v>122</v>
      </c>
      <c r="B974" t="s">
        <v>122</v>
      </c>
      <c r="C974" t="s">
        <v>123</v>
      </c>
      <c r="D974" t="s">
        <v>100</v>
      </c>
      <c r="E974" t="s">
        <v>99</v>
      </c>
      <c r="F974" t="s">
        <v>12</v>
      </c>
      <c r="G974">
        <v>1</v>
      </c>
      <c r="H974">
        <v>335</v>
      </c>
      <c r="I974">
        <v>1</v>
      </c>
      <c r="J974" s="25">
        <f t="shared" si="46"/>
        <v>1</v>
      </c>
      <c r="K974">
        <v>2942</v>
      </c>
      <c r="L974">
        <v>221</v>
      </c>
      <c r="M974">
        <v>6.9870376225102698E-2</v>
      </c>
      <c r="N974" s="25">
        <f t="shared" si="45"/>
        <v>6.9870376225102726E-2</v>
      </c>
      <c r="O974">
        <v>0.93012962377489705</v>
      </c>
      <c r="P974" s="25">
        <f t="shared" si="47"/>
        <v>0.93012962377489727</v>
      </c>
      <c r="Q974">
        <v>0</v>
      </c>
      <c r="R974" t="s">
        <v>124</v>
      </c>
      <c r="S974" t="s">
        <v>124</v>
      </c>
      <c r="T974" t="s">
        <v>124</v>
      </c>
      <c r="U974" t="s">
        <v>124</v>
      </c>
      <c r="X974" s="19">
        <f>J974</f>
        <v>1</v>
      </c>
      <c r="Y974" s="19">
        <f>N974</f>
        <v>6.9870376225102726E-2</v>
      </c>
      <c r="Z974" s="26">
        <f>(L974+Q974)/(L974+Q974+H974+K974)</f>
        <v>6.3178959405374505E-2</v>
      </c>
    </row>
    <row r="975" spans="1:26" x14ac:dyDescent="0.35">
      <c r="A975" t="s">
        <v>122</v>
      </c>
      <c r="B975" t="s">
        <v>122</v>
      </c>
      <c r="C975" t="s">
        <v>123</v>
      </c>
      <c r="D975" t="s">
        <v>100</v>
      </c>
      <c r="E975" t="s">
        <v>99</v>
      </c>
      <c r="F975" t="s">
        <v>12</v>
      </c>
      <c r="G975">
        <v>1</v>
      </c>
      <c r="H975">
        <v>335</v>
      </c>
      <c r="I975">
        <v>1</v>
      </c>
      <c r="J975" s="25">
        <f t="shared" si="46"/>
        <v>1</v>
      </c>
      <c r="K975">
        <v>2942</v>
      </c>
      <c r="L975">
        <v>221</v>
      </c>
      <c r="M975">
        <v>6.9870376225102698E-2</v>
      </c>
      <c r="N975" s="25">
        <f t="shared" si="45"/>
        <v>6.9870376225102726E-2</v>
      </c>
      <c r="O975">
        <v>0.93012962377489705</v>
      </c>
      <c r="P975" s="25">
        <f t="shared" si="47"/>
        <v>0.93012962377489727</v>
      </c>
      <c r="Q975">
        <v>0</v>
      </c>
      <c r="R975" t="s">
        <v>124</v>
      </c>
      <c r="S975" t="s">
        <v>124</v>
      </c>
      <c r="T975" t="s">
        <v>124</v>
      </c>
      <c r="U975" t="s">
        <v>124</v>
      </c>
      <c r="X975" s="19">
        <f>J975</f>
        <v>1</v>
      </c>
      <c r="Y975" s="19">
        <f>N975</f>
        <v>6.9870376225102726E-2</v>
      </c>
      <c r="Z975" s="26">
        <f>(L975+Q975)/(L975+Q975+H975+K975)</f>
        <v>6.3178959405374505E-2</v>
      </c>
    </row>
    <row r="976" spans="1:26" x14ac:dyDescent="0.35">
      <c r="A976" t="s">
        <v>122</v>
      </c>
      <c r="B976" t="s">
        <v>122</v>
      </c>
      <c r="C976" t="s">
        <v>123</v>
      </c>
      <c r="D976" t="s">
        <v>100</v>
      </c>
      <c r="E976" t="s">
        <v>99</v>
      </c>
      <c r="F976" t="s">
        <v>12</v>
      </c>
      <c r="G976">
        <v>1</v>
      </c>
      <c r="H976">
        <v>335</v>
      </c>
      <c r="I976">
        <v>1</v>
      </c>
      <c r="J976" s="25">
        <f t="shared" si="46"/>
        <v>1</v>
      </c>
      <c r="K976">
        <v>2942</v>
      </c>
      <c r="L976">
        <v>221</v>
      </c>
      <c r="M976">
        <v>6.9870376225102698E-2</v>
      </c>
      <c r="N976" s="25">
        <f t="shared" si="45"/>
        <v>6.9870376225102726E-2</v>
      </c>
      <c r="O976">
        <v>0.93012962377489705</v>
      </c>
      <c r="P976" s="25">
        <f t="shared" si="47"/>
        <v>0.93012962377489727</v>
      </c>
      <c r="Q976">
        <v>0</v>
      </c>
      <c r="R976" t="s">
        <v>124</v>
      </c>
      <c r="S976" t="s">
        <v>124</v>
      </c>
      <c r="T976" t="s">
        <v>124</v>
      </c>
      <c r="U976" t="s">
        <v>124</v>
      </c>
      <c r="X976" s="19">
        <f>J976</f>
        <v>1</v>
      </c>
      <c r="Y976" s="19">
        <f>N976</f>
        <v>6.9870376225102726E-2</v>
      </c>
      <c r="Z976" s="26">
        <f>(L976+Q976)/(L976+Q976+H976+K976)</f>
        <v>6.3178959405374505E-2</v>
      </c>
    </row>
    <row r="977" spans="1:26" x14ac:dyDescent="0.35">
      <c r="A977" t="s">
        <v>122</v>
      </c>
      <c r="B977" t="s">
        <v>122</v>
      </c>
      <c r="C977" t="s">
        <v>123</v>
      </c>
      <c r="D977" t="s">
        <v>100</v>
      </c>
      <c r="E977" t="s">
        <v>99</v>
      </c>
      <c r="F977" t="s">
        <v>12</v>
      </c>
      <c r="G977">
        <v>1</v>
      </c>
      <c r="H977">
        <v>335</v>
      </c>
      <c r="I977">
        <v>1</v>
      </c>
      <c r="J977" s="25">
        <f t="shared" si="46"/>
        <v>1</v>
      </c>
      <c r="K977">
        <v>2942</v>
      </c>
      <c r="L977">
        <v>221</v>
      </c>
      <c r="M977">
        <v>6.9870376225102698E-2</v>
      </c>
      <c r="N977" s="25">
        <f t="shared" si="45"/>
        <v>6.9870376225102726E-2</v>
      </c>
      <c r="O977">
        <v>0.93012962377489705</v>
      </c>
      <c r="P977" s="25">
        <f t="shared" si="47"/>
        <v>0.93012962377489727</v>
      </c>
      <c r="Q977">
        <v>0</v>
      </c>
      <c r="R977" t="s">
        <v>124</v>
      </c>
      <c r="S977" t="s">
        <v>124</v>
      </c>
      <c r="T977" t="s">
        <v>124</v>
      </c>
      <c r="U977" t="s">
        <v>124</v>
      </c>
      <c r="X977" s="19">
        <f>J977</f>
        <v>1</v>
      </c>
      <c r="Y977" s="19">
        <f>N977</f>
        <v>6.9870376225102726E-2</v>
      </c>
      <c r="Z977" s="26">
        <f>(L977+Q977)/(L977+Q977+H977+K977)</f>
        <v>6.3178959405374505E-2</v>
      </c>
    </row>
    <row r="978" spans="1:26" x14ac:dyDescent="0.35">
      <c r="A978" t="s">
        <v>122</v>
      </c>
      <c r="B978" t="s">
        <v>122</v>
      </c>
      <c r="C978" t="s">
        <v>123</v>
      </c>
      <c r="D978" t="s">
        <v>100</v>
      </c>
      <c r="E978" t="s">
        <v>99</v>
      </c>
      <c r="F978" t="s">
        <v>12</v>
      </c>
      <c r="G978">
        <v>1</v>
      </c>
      <c r="H978">
        <v>335</v>
      </c>
      <c r="I978">
        <v>1</v>
      </c>
      <c r="J978" s="25">
        <f t="shared" si="46"/>
        <v>1</v>
      </c>
      <c r="K978">
        <v>2942</v>
      </c>
      <c r="L978">
        <v>221</v>
      </c>
      <c r="M978">
        <v>6.9870376225102698E-2</v>
      </c>
      <c r="N978" s="25">
        <f t="shared" si="45"/>
        <v>6.9870376225102726E-2</v>
      </c>
      <c r="O978">
        <v>0.93012962377489705</v>
      </c>
      <c r="P978" s="25">
        <f t="shared" si="47"/>
        <v>0.93012962377489727</v>
      </c>
      <c r="Q978">
        <v>0</v>
      </c>
      <c r="R978" t="s">
        <v>124</v>
      </c>
      <c r="S978" t="s">
        <v>124</v>
      </c>
      <c r="T978" t="s">
        <v>124</v>
      </c>
      <c r="U978" t="s">
        <v>124</v>
      </c>
      <c r="X978" s="19">
        <f>J978</f>
        <v>1</v>
      </c>
      <c r="Y978" s="19">
        <f>N978</f>
        <v>6.9870376225102726E-2</v>
      </c>
      <c r="Z978" s="26">
        <f>(L978+Q978)/(L978+Q978+H978+K978)</f>
        <v>6.3178959405374505E-2</v>
      </c>
    </row>
    <row r="979" spans="1:26" x14ac:dyDescent="0.35">
      <c r="A979" t="s">
        <v>122</v>
      </c>
      <c r="B979" t="s">
        <v>122</v>
      </c>
      <c r="C979" t="s">
        <v>123</v>
      </c>
      <c r="D979" t="s">
        <v>100</v>
      </c>
      <c r="E979" t="s">
        <v>99</v>
      </c>
      <c r="F979" t="s">
        <v>12</v>
      </c>
      <c r="G979">
        <v>1</v>
      </c>
      <c r="H979">
        <v>335</v>
      </c>
      <c r="I979">
        <v>1</v>
      </c>
      <c r="J979" s="25">
        <f t="shared" si="46"/>
        <v>1</v>
      </c>
      <c r="K979">
        <v>2942</v>
      </c>
      <c r="L979">
        <v>221</v>
      </c>
      <c r="M979">
        <v>6.9870376225102698E-2</v>
      </c>
      <c r="N979" s="25">
        <f t="shared" si="45"/>
        <v>6.9870376225102726E-2</v>
      </c>
      <c r="O979">
        <v>0.93012962377489705</v>
      </c>
      <c r="P979" s="25">
        <f t="shared" si="47"/>
        <v>0.93012962377489727</v>
      </c>
      <c r="Q979">
        <v>0</v>
      </c>
      <c r="R979" t="s">
        <v>124</v>
      </c>
      <c r="S979" t="s">
        <v>124</v>
      </c>
      <c r="T979" t="s">
        <v>124</v>
      </c>
      <c r="U979" t="s">
        <v>124</v>
      </c>
      <c r="X979" s="19">
        <f>J979</f>
        <v>1</v>
      </c>
      <c r="Y979" s="19">
        <f>N979</f>
        <v>6.9870376225102726E-2</v>
      </c>
      <c r="Z979" s="26">
        <f>(L979+Q979)/(L979+Q979+H979+K979)</f>
        <v>6.3178959405374505E-2</v>
      </c>
    </row>
    <row r="980" spans="1:26" x14ac:dyDescent="0.35">
      <c r="A980" t="s">
        <v>122</v>
      </c>
      <c r="B980" t="s">
        <v>122</v>
      </c>
      <c r="C980" t="s">
        <v>123</v>
      </c>
      <c r="D980" t="s">
        <v>100</v>
      </c>
      <c r="E980" t="s">
        <v>99</v>
      </c>
      <c r="F980" t="s">
        <v>12</v>
      </c>
      <c r="G980">
        <v>1</v>
      </c>
      <c r="H980">
        <v>335</v>
      </c>
      <c r="I980">
        <v>1</v>
      </c>
      <c r="J980" s="25">
        <f t="shared" si="46"/>
        <v>1</v>
      </c>
      <c r="K980">
        <v>2942</v>
      </c>
      <c r="L980">
        <v>221</v>
      </c>
      <c r="M980">
        <v>6.9870376225102698E-2</v>
      </c>
      <c r="N980" s="25">
        <f t="shared" si="45"/>
        <v>6.9870376225102726E-2</v>
      </c>
      <c r="O980">
        <v>0.93012962377489705</v>
      </c>
      <c r="P980" s="25">
        <f t="shared" si="47"/>
        <v>0.93012962377489727</v>
      </c>
      <c r="Q980">
        <v>0</v>
      </c>
      <c r="R980" t="s">
        <v>124</v>
      </c>
      <c r="S980" t="s">
        <v>124</v>
      </c>
      <c r="T980" t="s">
        <v>124</v>
      </c>
      <c r="U980" t="s">
        <v>124</v>
      </c>
      <c r="X980" s="19">
        <f>J980</f>
        <v>1</v>
      </c>
      <c r="Y980" s="19">
        <f>N980</f>
        <v>6.9870376225102726E-2</v>
      </c>
      <c r="Z980" s="26">
        <f>(L980+Q980)/(L980+Q980+H980+K980)</f>
        <v>6.3178959405374505E-2</v>
      </c>
    </row>
    <row r="981" spans="1:26" x14ac:dyDescent="0.35">
      <c r="A981" t="s">
        <v>122</v>
      </c>
      <c r="B981" t="s">
        <v>122</v>
      </c>
      <c r="C981" t="s">
        <v>123</v>
      </c>
      <c r="D981" t="s">
        <v>100</v>
      </c>
      <c r="E981" t="s">
        <v>99</v>
      </c>
      <c r="F981" t="s">
        <v>12</v>
      </c>
      <c r="G981">
        <v>1</v>
      </c>
      <c r="H981">
        <v>335</v>
      </c>
      <c r="I981">
        <v>1</v>
      </c>
      <c r="J981" s="25">
        <f t="shared" si="46"/>
        <v>1</v>
      </c>
      <c r="K981">
        <v>2942</v>
      </c>
      <c r="L981">
        <v>221</v>
      </c>
      <c r="M981">
        <v>6.9870376225102698E-2</v>
      </c>
      <c r="N981" s="25">
        <f t="shared" si="45"/>
        <v>6.9870376225102726E-2</v>
      </c>
      <c r="O981">
        <v>0.93012962377489705</v>
      </c>
      <c r="P981" s="25">
        <f t="shared" si="47"/>
        <v>0.93012962377489727</v>
      </c>
      <c r="Q981">
        <v>0</v>
      </c>
      <c r="R981">
        <v>0.5</v>
      </c>
      <c r="S981">
        <v>0.5</v>
      </c>
      <c r="T981">
        <v>0.5</v>
      </c>
      <c r="U981">
        <v>0.50990000000000002</v>
      </c>
      <c r="X981" s="19">
        <f>J981</f>
        <v>1</v>
      </c>
      <c r="Y981" s="19">
        <f>N981</f>
        <v>6.9870376225102726E-2</v>
      </c>
      <c r="Z981" s="26">
        <f>(L981+Q981)/(L981+Q981+H981+K981)</f>
        <v>6.3178959405374505E-2</v>
      </c>
    </row>
    <row r="982" spans="1:26" x14ac:dyDescent="0.35">
      <c r="A982" t="s">
        <v>122</v>
      </c>
      <c r="B982" t="s">
        <v>122</v>
      </c>
      <c r="C982" t="s">
        <v>123</v>
      </c>
      <c r="D982" t="s">
        <v>100</v>
      </c>
      <c r="E982" t="s">
        <v>99</v>
      </c>
      <c r="F982" t="s">
        <v>12</v>
      </c>
      <c r="G982">
        <v>1</v>
      </c>
      <c r="H982">
        <v>335</v>
      </c>
      <c r="I982">
        <v>1</v>
      </c>
      <c r="J982" s="25">
        <f t="shared" si="46"/>
        <v>1</v>
      </c>
      <c r="K982">
        <v>2942</v>
      </c>
      <c r="L982">
        <v>221</v>
      </c>
      <c r="M982">
        <v>6.9870376225102698E-2</v>
      </c>
      <c r="N982" s="25">
        <f t="shared" si="45"/>
        <v>6.9870376225102726E-2</v>
      </c>
      <c r="O982">
        <v>0.93012962377489705</v>
      </c>
      <c r="P982" s="25">
        <f t="shared" si="47"/>
        <v>0.93012962377489727</v>
      </c>
      <c r="Q982">
        <v>0</v>
      </c>
      <c r="R982" t="s">
        <v>124</v>
      </c>
      <c r="S982" t="s">
        <v>124</v>
      </c>
      <c r="T982" t="s">
        <v>124</v>
      </c>
      <c r="U982" t="s">
        <v>124</v>
      </c>
      <c r="X982" s="19">
        <f>J982</f>
        <v>1</v>
      </c>
      <c r="Y982" s="19">
        <f>N982</f>
        <v>6.9870376225102726E-2</v>
      </c>
      <c r="Z982" s="26">
        <f>(L982+Q982)/(L982+Q982+H982+K982)</f>
        <v>6.3178959405374505E-2</v>
      </c>
    </row>
    <row r="983" spans="1:26" x14ac:dyDescent="0.35">
      <c r="A983" t="s">
        <v>122</v>
      </c>
      <c r="B983" t="s">
        <v>122</v>
      </c>
      <c r="C983" t="s">
        <v>123</v>
      </c>
      <c r="D983" t="s">
        <v>100</v>
      </c>
      <c r="E983" t="s">
        <v>99</v>
      </c>
      <c r="F983" t="s">
        <v>12</v>
      </c>
      <c r="G983">
        <v>1</v>
      </c>
      <c r="H983">
        <v>335</v>
      </c>
      <c r="I983">
        <v>1</v>
      </c>
      <c r="J983" s="25">
        <f t="shared" si="46"/>
        <v>1</v>
      </c>
      <c r="K983">
        <v>2942</v>
      </c>
      <c r="L983">
        <v>221</v>
      </c>
      <c r="M983">
        <v>6.9870376225102698E-2</v>
      </c>
      <c r="N983" s="25">
        <f t="shared" si="45"/>
        <v>6.9870376225102726E-2</v>
      </c>
      <c r="O983">
        <v>0.93012962377489705</v>
      </c>
      <c r="P983" s="25">
        <f t="shared" si="47"/>
        <v>0.93012962377489727</v>
      </c>
      <c r="Q983">
        <v>0</v>
      </c>
      <c r="R983" t="s">
        <v>124</v>
      </c>
      <c r="S983" t="s">
        <v>124</v>
      </c>
      <c r="T983" t="s">
        <v>124</v>
      </c>
      <c r="U983" t="s">
        <v>124</v>
      </c>
      <c r="X983" s="19">
        <f>J983</f>
        <v>1</v>
      </c>
      <c r="Y983" s="19">
        <f>N983</f>
        <v>6.9870376225102726E-2</v>
      </c>
      <c r="Z983" s="26">
        <f>(L983+Q983)/(L983+Q983+H983+K983)</f>
        <v>6.3178959405374505E-2</v>
      </c>
    </row>
    <row r="984" spans="1:26" x14ac:dyDescent="0.35">
      <c r="A984" t="s">
        <v>122</v>
      </c>
      <c r="B984" t="s">
        <v>122</v>
      </c>
      <c r="C984" t="s">
        <v>123</v>
      </c>
      <c r="D984" t="s">
        <v>100</v>
      </c>
      <c r="E984" t="s">
        <v>99</v>
      </c>
      <c r="F984" t="s">
        <v>12</v>
      </c>
      <c r="G984">
        <v>1</v>
      </c>
      <c r="H984">
        <v>335</v>
      </c>
      <c r="I984">
        <v>1</v>
      </c>
      <c r="J984" s="25">
        <f t="shared" si="46"/>
        <v>1</v>
      </c>
      <c r="K984">
        <v>2942</v>
      </c>
      <c r="L984">
        <v>221</v>
      </c>
      <c r="M984">
        <v>6.9870376225102698E-2</v>
      </c>
      <c r="N984" s="25">
        <f t="shared" si="45"/>
        <v>6.9870376225102726E-2</v>
      </c>
      <c r="O984">
        <v>0.93012962377489705</v>
      </c>
      <c r="P984" s="25">
        <f t="shared" si="47"/>
        <v>0.93012962377489727</v>
      </c>
      <c r="Q984">
        <v>0</v>
      </c>
      <c r="R984" t="s">
        <v>124</v>
      </c>
      <c r="S984" t="s">
        <v>124</v>
      </c>
      <c r="T984" t="s">
        <v>124</v>
      </c>
      <c r="U984" t="s">
        <v>124</v>
      </c>
      <c r="X984" s="19">
        <f>J984</f>
        <v>1</v>
      </c>
      <c r="Y984" s="19">
        <f>N984</f>
        <v>6.9870376225102726E-2</v>
      </c>
      <c r="Z984" s="26">
        <f>(L984+Q984)/(L984+Q984+H984+K984)</f>
        <v>6.3178959405374505E-2</v>
      </c>
    </row>
    <row r="985" spans="1:26" x14ac:dyDescent="0.35">
      <c r="A985" t="s">
        <v>122</v>
      </c>
      <c r="B985" t="s">
        <v>122</v>
      </c>
      <c r="C985" t="s">
        <v>123</v>
      </c>
      <c r="D985" t="s">
        <v>100</v>
      </c>
      <c r="E985" t="s">
        <v>99</v>
      </c>
      <c r="F985" t="s">
        <v>12</v>
      </c>
      <c r="G985">
        <v>1</v>
      </c>
      <c r="H985">
        <v>335</v>
      </c>
      <c r="I985">
        <v>1</v>
      </c>
      <c r="J985" s="25">
        <f t="shared" si="46"/>
        <v>1</v>
      </c>
      <c r="K985">
        <v>2942</v>
      </c>
      <c r="L985">
        <v>221</v>
      </c>
      <c r="M985">
        <v>6.9870376225102698E-2</v>
      </c>
      <c r="N985" s="25">
        <f t="shared" si="45"/>
        <v>6.9870376225102726E-2</v>
      </c>
      <c r="O985">
        <v>0.93012962377489705</v>
      </c>
      <c r="P985" s="25">
        <f t="shared" si="47"/>
        <v>0.93012962377489727</v>
      </c>
      <c r="Q985">
        <v>0</v>
      </c>
      <c r="R985" t="s">
        <v>124</v>
      </c>
      <c r="S985" t="s">
        <v>124</v>
      </c>
      <c r="T985" t="s">
        <v>124</v>
      </c>
      <c r="U985" t="s">
        <v>124</v>
      </c>
      <c r="X985" s="19">
        <f>J985</f>
        <v>1</v>
      </c>
      <c r="Y985" s="19">
        <f>N985</f>
        <v>6.9870376225102726E-2</v>
      </c>
      <c r="Z985" s="26">
        <f>(L985+Q985)/(L985+Q985+H985+K985)</f>
        <v>6.3178959405374505E-2</v>
      </c>
    </row>
    <row r="986" spans="1:26" x14ac:dyDescent="0.35">
      <c r="A986" t="s">
        <v>122</v>
      </c>
      <c r="B986" t="s">
        <v>122</v>
      </c>
      <c r="C986" t="s">
        <v>123</v>
      </c>
      <c r="D986" t="s">
        <v>100</v>
      </c>
      <c r="E986" t="s">
        <v>99</v>
      </c>
      <c r="F986" t="s">
        <v>12</v>
      </c>
      <c r="G986">
        <v>1</v>
      </c>
      <c r="H986">
        <v>335</v>
      </c>
      <c r="I986">
        <v>1</v>
      </c>
      <c r="J986" s="25">
        <f t="shared" si="46"/>
        <v>1</v>
      </c>
      <c r="K986">
        <v>2942</v>
      </c>
      <c r="L986">
        <v>221</v>
      </c>
      <c r="M986">
        <v>6.9870376225102698E-2</v>
      </c>
      <c r="N986" s="25">
        <f t="shared" si="45"/>
        <v>6.9870376225102726E-2</v>
      </c>
      <c r="O986">
        <v>0.93012962377489705</v>
      </c>
      <c r="P986" s="25">
        <f t="shared" si="47"/>
        <v>0.93012962377489727</v>
      </c>
      <c r="Q986">
        <v>0</v>
      </c>
      <c r="R986" t="s">
        <v>124</v>
      </c>
      <c r="S986" t="s">
        <v>124</v>
      </c>
      <c r="T986" t="s">
        <v>124</v>
      </c>
      <c r="U986" t="s">
        <v>124</v>
      </c>
      <c r="X986" s="19">
        <f>J986</f>
        <v>1</v>
      </c>
      <c r="Y986" s="19">
        <f>N986</f>
        <v>6.9870376225102726E-2</v>
      </c>
      <c r="Z986" s="26">
        <f>(L986+Q986)/(L986+Q986+H986+K986)</f>
        <v>6.3178959405374505E-2</v>
      </c>
    </row>
    <row r="987" spans="1:26" x14ac:dyDescent="0.35">
      <c r="A987" t="s">
        <v>122</v>
      </c>
      <c r="B987" t="s">
        <v>122</v>
      </c>
      <c r="C987" t="s">
        <v>123</v>
      </c>
      <c r="D987" t="s">
        <v>100</v>
      </c>
      <c r="E987" t="s">
        <v>99</v>
      </c>
      <c r="F987" t="s">
        <v>12</v>
      </c>
      <c r="G987">
        <v>1</v>
      </c>
      <c r="H987">
        <v>335</v>
      </c>
      <c r="I987">
        <v>1</v>
      </c>
      <c r="J987" s="25">
        <f t="shared" si="46"/>
        <v>1</v>
      </c>
      <c r="K987">
        <v>2942</v>
      </c>
      <c r="L987">
        <v>221</v>
      </c>
      <c r="M987">
        <v>6.9870376225102698E-2</v>
      </c>
      <c r="N987" s="25">
        <f t="shared" si="45"/>
        <v>6.9870376225102726E-2</v>
      </c>
      <c r="O987">
        <v>0.93012962377489705</v>
      </c>
      <c r="P987" s="25">
        <f t="shared" si="47"/>
        <v>0.93012962377489727</v>
      </c>
      <c r="Q987">
        <v>0</v>
      </c>
      <c r="R987" t="s">
        <v>124</v>
      </c>
      <c r="S987" t="s">
        <v>124</v>
      </c>
      <c r="T987" t="s">
        <v>124</v>
      </c>
      <c r="U987" t="s">
        <v>124</v>
      </c>
      <c r="X987" s="19">
        <f>J987</f>
        <v>1</v>
      </c>
      <c r="Y987" s="19">
        <f>N987</f>
        <v>6.9870376225102726E-2</v>
      </c>
      <c r="Z987" s="26">
        <f>(L987+Q987)/(L987+Q987+H987+K987)</f>
        <v>6.3178959405374505E-2</v>
      </c>
    </row>
    <row r="988" spans="1:26" x14ac:dyDescent="0.35">
      <c r="A988" t="s">
        <v>122</v>
      </c>
      <c r="B988" t="s">
        <v>122</v>
      </c>
      <c r="C988" t="s">
        <v>123</v>
      </c>
      <c r="D988" t="s">
        <v>100</v>
      </c>
      <c r="E988" t="s">
        <v>99</v>
      </c>
      <c r="F988" t="s">
        <v>12</v>
      </c>
      <c r="G988">
        <v>1</v>
      </c>
      <c r="H988">
        <v>335</v>
      </c>
      <c r="I988">
        <v>1</v>
      </c>
      <c r="J988" s="25">
        <f t="shared" si="46"/>
        <v>1</v>
      </c>
      <c r="K988">
        <v>2942</v>
      </c>
      <c r="L988">
        <v>221</v>
      </c>
      <c r="M988">
        <v>6.9870376225102698E-2</v>
      </c>
      <c r="N988" s="25">
        <f t="shared" si="45"/>
        <v>6.9870376225102726E-2</v>
      </c>
      <c r="O988">
        <v>0.93012962377489705</v>
      </c>
      <c r="P988" s="25">
        <f t="shared" si="47"/>
        <v>0.93012962377489727</v>
      </c>
      <c r="Q988">
        <v>0</v>
      </c>
      <c r="R988" t="s">
        <v>124</v>
      </c>
      <c r="S988" t="s">
        <v>124</v>
      </c>
      <c r="T988" t="s">
        <v>124</v>
      </c>
      <c r="U988" t="s">
        <v>124</v>
      </c>
      <c r="X988" s="19">
        <f>J988</f>
        <v>1</v>
      </c>
      <c r="Y988" s="19">
        <f>N988</f>
        <v>6.9870376225102726E-2</v>
      </c>
      <c r="Z988" s="26">
        <f>(L988+Q988)/(L988+Q988+H988+K988)</f>
        <v>6.3178959405374505E-2</v>
      </c>
    </row>
    <row r="989" spans="1:26" x14ac:dyDescent="0.35">
      <c r="A989" t="s">
        <v>122</v>
      </c>
      <c r="B989" t="s">
        <v>122</v>
      </c>
      <c r="C989" t="s">
        <v>123</v>
      </c>
      <c r="D989" t="s">
        <v>100</v>
      </c>
      <c r="E989" t="s">
        <v>99</v>
      </c>
      <c r="F989" t="s">
        <v>12</v>
      </c>
      <c r="G989">
        <v>1</v>
      </c>
      <c r="H989">
        <v>335</v>
      </c>
      <c r="I989">
        <v>1</v>
      </c>
      <c r="J989" s="25">
        <f t="shared" si="46"/>
        <v>1</v>
      </c>
      <c r="K989">
        <v>2942</v>
      </c>
      <c r="L989">
        <v>221</v>
      </c>
      <c r="M989">
        <v>6.9870376225102698E-2</v>
      </c>
      <c r="N989" s="25">
        <f t="shared" si="45"/>
        <v>6.9870376225102726E-2</v>
      </c>
      <c r="O989">
        <v>0.93012962377489705</v>
      </c>
      <c r="P989" s="25">
        <f t="shared" si="47"/>
        <v>0.93012962377489727</v>
      </c>
      <c r="Q989">
        <v>0</v>
      </c>
      <c r="R989" t="s">
        <v>124</v>
      </c>
      <c r="S989" t="s">
        <v>124</v>
      </c>
      <c r="T989" t="s">
        <v>124</v>
      </c>
      <c r="U989" t="s">
        <v>124</v>
      </c>
      <c r="X989" s="19">
        <f>J989</f>
        <v>1</v>
      </c>
      <c r="Y989" s="19">
        <f>N989</f>
        <v>6.9870376225102726E-2</v>
      </c>
      <c r="Z989" s="26">
        <f>(L989+Q989)/(L989+Q989+H989+K989)</f>
        <v>6.3178959405374505E-2</v>
      </c>
    </row>
    <row r="990" spans="1:26" x14ac:dyDescent="0.35">
      <c r="A990" t="s">
        <v>122</v>
      </c>
      <c r="B990" t="s">
        <v>122</v>
      </c>
      <c r="C990" t="s">
        <v>123</v>
      </c>
      <c r="D990" t="s">
        <v>100</v>
      </c>
      <c r="E990" t="s">
        <v>99</v>
      </c>
      <c r="F990" t="s">
        <v>12</v>
      </c>
      <c r="G990">
        <v>1</v>
      </c>
      <c r="H990">
        <v>335</v>
      </c>
      <c r="I990">
        <v>1</v>
      </c>
      <c r="J990" s="25">
        <f t="shared" si="46"/>
        <v>1</v>
      </c>
      <c r="K990">
        <v>2942</v>
      </c>
      <c r="L990">
        <v>221</v>
      </c>
      <c r="M990">
        <v>6.9870376225102698E-2</v>
      </c>
      <c r="N990" s="25">
        <f t="shared" si="45"/>
        <v>6.9870376225102726E-2</v>
      </c>
      <c r="O990">
        <v>0.93012962377489705</v>
      </c>
      <c r="P990" s="25">
        <f t="shared" si="47"/>
        <v>0.93012962377489727</v>
      </c>
      <c r="Q990">
        <v>0</v>
      </c>
      <c r="R990" t="s">
        <v>124</v>
      </c>
      <c r="S990" t="s">
        <v>124</v>
      </c>
      <c r="T990" t="s">
        <v>124</v>
      </c>
      <c r="U990" t="s">
        <v>124</v>
      </c>
      <c r="X990" s="19">
        <f>J990</f>
        <v>1</v>
      </c>
      <c r="Y990" s="19">
        <f>N990</f>
        <v>6.9870376225102726E-2</v>
      </c>
      <c r="Z990" s="26">
        <f>(L990+Q990)/(L990+Q990+H990+K990)</f>
        <v>6.3178959405374505E-2</v>
      </c>
    </row>
    <row r="991" spans="1:26" x14ac:dyDescent="0.35">
      <c r="A991" t="s">
        <v>122</v>
      </c>
      <c r="B991" t="s">
        <v>122</v>
      </c>
      <c r="C991" t="s">
        <v>123</v>
      </c>
      <c r="D991" t="s">
        <v>100</v>
      </c>
      <c r="E991" t="s">
        <v>99</v>
      </c>
      <c r="F991" t="s">
        <v>12</v>
      </c>
      <c r="G991">
        <v>1</v>
      </c>
      <c r="H991">
        <v>335</v>
      </c>
      <c r="I991">
        <v>1</v>
      </c>
      <c r="J991" s="25">
        <f t="shared" si="46"/>
        <v>1</v>
      </c>
      <c r="K991">
        <v>2942</v>
      </c>
      <c r="L991">
        <v>221</v>
      </c>
      <c r="M991">
        <v>6.9870376225102698E-2</v>
      </c>
      <c r="N991" s="25">
        <f t="shared" si="45"/>
        <v>6.9870376225102726E-2</v>
      </c>
      <c r="O991">
        <v>0.93012962377489705</v>
      </c>
      <c r="P991" s="25">
        <f t="shared" si="47"/>
        <v>0.93012962377489727</v>
      </c>
      <c r="Q991">
        <v>0</v>
      </c>
      <c r="R991" t="s">
        <v>124</v>
      </c>
      <c r="S991" t="s">
        <v>124</v>
      </c>
      <c r="T991" t="s">
        <v>124</v>
      </c>
      <c r="U991" t="s">
        <v>124</v>
      </c>
      <c r="X991" s="19">
        <f>J991</f>
        <v>1</v>
      </c>
      <c r="Y991" s="19">
        <f>N991</f>
        <v>6.9870376225102726E-2</v>
      </c>
      <c r="Z991" s="26">
        <f>(L991+Q991)/(L991+Q991+H991+K991)</f>
        <v>6.3178959405374505E-2</v>
      </c>
    </row>
    <row r="992" spans="1:26" x14ac:dyDescent="0.35">
      <c r="A992" t="s">
        <v>122</v>
      </c>
      <c r="B992" t="s">
        <v>122</v>
      </c>
      <c r="C992" t="s">
        <v>123</v>
      </c>
      <c r="D992" t="s">
        <v>100</v>
      </c>
      <c r="E992" t="s">
        <v>99</v>
      </c>
      <c r="F992" t="s">
        <v>12</v>
      </c>
      <c r="G992">
        <v>1</v>
      </c>
      <c r="H992">
        <v>335</v>
      </c>
      <c r="I992">
        <v>1</v>
      </c>
      <c r="J992" s="25">
        <f t="shared" si="46"/>
        <v>1</v>
      </c>
      <c r="K992">
        <v>2942</v>
      </c>
      <c r="L992">
        <v>221</v>
      </c>
      <c r="M992">
        <v>6.9870376225102698E-2</v>
      </c>
      <c r="N992" s="25">
        <f t="shared" si="45"/>
        <v>6.9870376225102726E-2</v>
      </c>
      <c r="O992">
        <v>0.93012962377489705</v>
      </c>
      <c r="P992" s="25">
        <f t="shared" si="47"/>
        <v>0.93012962377489727</v>
      </c>
      <c r="Q992">
        <v>0</v>
      </c>
      <c r="R992" t="s">
        <v>124</v>
      </c>
      <c r="S992" t="s">
        <v>124</v>
      </c>
      <c r="T992" t="s">
        <v>124</v>
      </c>
      <c r="U992" t="s">
        <v>124</v>
      </c>
      <c r="X992" s="19">
        <f>J992</f>
        <v>1</v>
      </c>
      <c r="Y992" s="19">
        <f>N992</f>
        <v>6.9870376225102726E-2</v>
      </c>
      <c r="Z992" s="26">
        <f>(L992+Q992)/(L992+Q992+H992+K992)</f>
        <v>6.3178959405374505E-2</v>
      </c>
    </row>
    <row r="993" spans="1:26" x14ac:dyDescent="0.35">
      <c r="A993" t="s">
        <v>122</v>
      </c>
      <c r="B993" t="s">
        <v>122</v>
      </c>
      <c r="C993" t="s">
        <v>123</v>
      </c>
      <c r="D993" t="s">
        <v>100</v>
      </c>
      <c r="E993" t="s">
        <v>99</v>
      </c>
      <c r="F993" t="s">
        <v>12</v>
      </c>
      <c r="G993">
        <v>1</v>
      </c>
      <c r="H993">
        <v>335</v>
      </c>
      <c r="I993">
        <v>1</v>
      </c>
      <c r="J993" s="25">
        <f t="shared" si="46"/>
        <v>1</v>
      </c>
      <c r="K993">
        <v>2942</v>
      </c>
      <c r="L993">
        <v>221</v>
      </c>
      <c r="M993">
        <v>6.9870376225102698E-2</v>
      </c>
      <c r="N993" s="25">
        <f t="shared" si="45"/>
        <v>6.9870376225102726E-2</v>
      </c>
      <c r="O993">
        <v>0.93012962377489705</v>
      </c>
      <c r="P993" s="25">
        <f t="shared" si="47"/>
        <v>0.93012962377489727</v>
      </c>
      <c r="Q993">
        <v>0</v>
      </c>
      <c r="R993" t="s">
        <v>124</v>
      </c>
      <c r="S993" t="s">
        <v>124</v>
      </c>
      <c r="T993" t="s">
        <v>124</v>
      </c>
      <c r="U993" t="s">
        <v>124</v>
      </c>
      <c r="X993" s="19">
        <f>J993</f>
        <v>1</v>
      </c>
      <c r="Y993" s="19">
        <f>N993</f>
        <v>6.9870376225102726E-2</v>
      </c>
      <c r="Z993" s="26">
        <f>(L993+Q993)/(L993+Q993+H993+K993)</f>
        <v>6.3178959405374505E-2</v>
      </c>
    </row>
    <row r="994" spans="1:26" x14ac:dyDescent="0.35">
      <c r="A994" t="s">
        <v>122</v>
      </c>
      <c r="B994" t="s">
        <v>122</v>
      </c>
      <c r="C994" t="s">
        <v>123</v>
      </c>
      <c r="D994" t="s">
        <v>100</v>
      </c>
      <c r="E994" t="s">
        <v>99</v>
      </c>
      <c r="F994" t="s">
        <v>12</v>
      </c>
      <c r="G994">
        <v>1</v>
      </c>
      <c r="H994">
        <v>335</v>
      </c>
      <c r="I994">
        <v>1</v>
      </c>
      <c r="J994" s="25">
        <f t="shared" si="46"/>
        <v>1</v>
      </c>
      <c r="K994">
        <v>2942</v>
      </c>
      <c r="L994">
        <v>221</v>
      </c>
      <c r="M994">
        <v>6.9870376225102698E-2</v>
      </c>
      <c r="N994" s="25">
        <f t="shared" si="45"/>
        <v>6.9870376225102726E-2</v>
      </c>
      <c r="O994">
        <v>0.93012962377489705</v>
      </c>
      <c r="P994" s="25">
        <f t="shared" si="47"/>
        <v>0.93012962377489727</v>
      </c>
      <c r="Q994">
        <v>0</v>
      </c>
      <c r="R994" t="s">
        <v>124</v>
      </c>
      <c r="S994" t="s">
        <v>124</v>
      </c>
      <c r="T994" t="s">
        <v>124</v>
      </c>
      <c r="U994" t="s">
        <v>124</v>
      </c>
      <c r="X994" s="19">
        <f>J994</f>
        <v>1</v>
      </c>
      <c r="Y994" s="19">
        <f>N994</f>
        <v>6.9870376225102726E-2</v>
      </c>
      <c r="Z994" s="26">
        <f>(L994+Q994)/(L994+Q994+H994+K994)</f>
        <v>6.3178959405374505E-2</v>
      </c>
    </row>
    <row r="995" spans="1:26" x14ac:dyDescent="0.35">
      <c r="A995" t="s">
        <v>122</v>
      </c>
      <c r="B995" t="s">
        <v>122</v>
      </c>
      <c r="C995" t="s">
        <v>123</v>
      </c>
      <c r="D995" t="s">
        <v>100</v>
      </c>
      <c r="E995" t="s">
        <v>99</v>
      </c>
      <c r="F995" t="s">
        <v>12</v>
      </c>
      <c r="G995">
        <v>1</v>
      </c>
      <c r="H995">
        <v>335</v>
      </c>
      <c r="I995">
        <v>1</v>
      </c>
      <c r="J995" s="25">
        <f t="shared" si="46"/>
        <v>1</v>
      </c>
      <c r="K995">
        <v>2942</v>
      </c>
      <c r="L995">
        <v>221</v>
      </c>
      <c r="M995">
        <v>6.9870376225102698E-2</v>
      </c>
      <c r="N995" s="25">
        <f t="shared" si="45"/>
        <v>6.9870376225102726E-2</v>
      </c>
      <c r="O995">
        <v>0.93012962377489705</v>
      </c>
      <c r="P995" s="25">
        <f t="shared" si="47"/>
        <v>0.93012962377489727</v>
      </c>
      <c r="Q995">
        <v>0</v>
      </c>
      <c r="R995" t="s">
        <v>124</v>
      </c>
      <c r="S995" t="s">
        <v>124</v>
      </c>
      <c r="T995" t="s">
        <v>124</v>
      </c>
      <c r="U995" t="s">
        <v>124</v>
      </c>
      <c r="X995" s="19">
        <f>J995</f>
        <v>1</v>
      </c>
      <c r="Y995" s="19">
        <f>N995</f>
        <v>6.9870376225102726E-2</v>
      </c>
      <c r="Z995" s="26">
        <f>(L995+Q995)/(L995+Q995+H995+K995)</f>
        <v>6.3178959405374505E-2</v>
      </c>
    </row>
    <row r="996" spans="1:26" x14ac:dyDescent="0.35">
      <c r="A996" t="s">
        <v>122</v>
      </c>
      <c r="B996" t="s">
        <v>122</v>
      </c>
      <c r="C996" t="s">
        <v>123</v>
      </c>
      <c r="D996" t="s">
        <v>100</v>
      </c>
      <c r="E996" t="s">
        <v>99</v>
      </c>
      <c r="F996" t="s">
        <v>12</v>
      </c>
      <c r="G996">
        <v>1</v>
      </c>
      <c r="H996">
        <v>335</v>
      </c>
      <c r="I996">
        <v>1</v>
      </c>
      <c r="J996" s="25">
        <f t="shared" si="46"/>
        <v>1</v>
      </c>
      <c r="K996">
        <v>2942</v>
      </c>
      <c r="L996">
        <v>221</v>
      </c>
      <c r="M996">
        <v>6.9870376225102698E-2</v>
      </c>
      <c r="N996" s="25">
        <f t="shared" si="45"/>
        <v>6.9870376225102726E-2</v>
      </c>
      <c r="O996">
        <v>0.93012962377489705</v>
      </c>
      <c r="P996" s="25">
        <f t="shared" si="47"/>
        <v>0.93012962377489727</v>
      </c>
      <c r="Q996">
        <v>0</v>
      </c>
      <c r="R996" t="s">
        <v>124</v>
      </c>
      <c r="S996" t="s">
        <v>124</v>
      </c>
      <c r="T996" t="s">
        <v>124</v>
      </c>
      <c r="U996" t="s">
        <v>124</v>
      </c>
      <c r="X996" s="19">
        <f>J996</f>
        <v>1</v>
      </c>
      <c r="Y996" s="19">
        <f>N996</f>
        <v>6.9870376225102726E-2</v>
      </c>
      <c r="Z996" s="26">
        <f>(L996+Q996)/(L996+Q996+H996+K996)</f>
        <v>6.3178959405374505E-2</v>
      </c>
    </row>
    <row r="997" spans="1:26" x14ac:dyDescent="0.35">
      <c r="A997" t="s">
        <v>122</v>
      </c>
      <c r="B997" t="s">
        <v>122</v>
      </c>
      <c r="C997" t="s">
        <v>123</v>
      </c>
      <c r="D997" t="s">
        <v>100</v>
      </c>
      <c r="E997" t="s">
        <v>99</v>
      </c>
      <c r="F997" t="s">
        <v>12</v>
      </c>
      <c r="G997">
        <v>1</v>
      </c>
      <c r="H997">
        <v>335</v>
      </c>
      <c r="I997">
        <v>1</v>
      </c>
      <c r="J997" s="25">
        <f t="shared" si="46"/>
        <v>1</v>
      </c>
      <c r="K997">
        <v>2942</v>
      </c>
      <c r="L997">
        <v>221</v>
      </c>
      <c r="M997">
        <v>6.9870376225102698E-2</v>
      </c>
      <c r="N997" s="25">
        <f t="shared" si="45"/>
        <v>6.9870376225102726E-2</v>
      </c>
      <c r="O997">
        <v>0.93012962377489705</v>
      </c>
      <c r="P997" s="25">
        <f t="shared" si="47"/>
        <v>0.93012962377489727</v>
      </c>
      <c r="Q997">
        <v>0</v>
      </c>
      <c r="R997" t="s">
        <v>124</v>
      </c>
      <c r="S997" t="s">
        <v>124</v>
      </c>
      <c r="T997" t="s">
        <v>124</v>
      </c>
      <c r="U997" t="s">
        <v>124</v>
      </c>
      <c r="X997" s="19">
        <f>J997</f>
        <v>1</v>
      </c>
      <c r="Y997" s="19">
        <f>N997</f>
        <v>6.9870376225102726E-2</v>
      </c>
      <c r="Z997" s="26">
        <f>(L997+Q997)/(L997+Q997+H997+K997)</f>
        <v>6.3178959405374505E-2</v>
      </c>
    </row>
    <row r="998" spans="1:26" x14ac:dyDescent="0.35">
      <c r="A998" t="s">
        <v>122</v>
      </c>
      <c r="B998" t="s">
        <v>122</v>
      </c>
      <c r="C998" t="s">
        <v>123</v>
      </c>
      <c r="D998" t="s">
        <v>100</v>
      </c>
      <c r="E998" t="s">
        <v>99</v>
      </c>
      <c r="F998" t="s">
        <v>12</v>
      </c>
      <c r="G998">
        <v>1</v>
      </c>
      <c r="H998">
        <v>335</v>
      </c>
      <c r="I998">
        <v>1</v>
      </c>
      <c r="J998" s="25">
        <f t="shared" si="46"/>
        <v>1</v>
      </c>
      <c r="K998">
        <v>2942</v>
      </c>
      <c r="L998">
        <v>221</v>
      </c>
      <c r="M998">
        <v>6.9870376225102698E-2</v>
      </c>
      <c r="N998" s="25">
        <f t="shared" si="45"/>
        <v>6.9870376225102726E-2</v>
      </c>
      <c r="O998">
        <v>0.93012962377489705</v>
      </c>
      <c r="P998" s="25">
        <f t="shared" si="47"/>
        <v>0.93012962377489727</v>
      </c>
      <c r="Q998">
        <v>0</v>
      </c>
      <c r="R998" t="s">
        <v>124</v>
      </c>
      <c r="S998" t="s">
        <v>124</v>
      </c>
      <c r="T998" t="s">
        <v>124</v>
      </c>
      <c r="U998" t="s">
        <v>124</v>
      </c>
      <c r="X998" s="19">
        <f>J998</f>
        <v>1</v>
      </c>
      <c r="Y998" s="19">
        <f>N998</f>
        <v>6.9870376225102726E-2</v>
      </c>
      <c r="Z998" s="26">
        <f>(L998+Q998)/(L998+Q998+H998+K998)</f>
        <v>6.3178959405374505E-2</v>
      </c>
    </row>
    <row r="999" spans="1:26" x14ac:dyDescent="0.35">
      <c r="A999" t="s">
        <v>122</v>
      </c>
      <c r="B999" t="s">
        <v>122</v>
      </c>
      <c r="C999" t="s">
        <v>123</v>
      </c>
      <c r="D999" t="s">
        <v>100</v>
      </c>
      <c r="E999" t="s">
        <v>99</v>
      </c>
      <c r="F999" t="s">
        <v>12</v>
      </c>
      <c r="G999">
        <v>1</v>
      </c>
      <c r="H999">
        <v>335</v>
      </c>
      <c r="I999">
        <v>1</v>
      </c>
      <c r="J999" s="25">
        <f t="shared" si="46"/>
        <v>1</v>
      </c>
      <c r="K999">
        <v>2942</v>
      </c>
      <c r="L999">
        <v>221</v>
      </c>
      <c r="M999">
        <v>6.9870376225102698E-2</v>
      </c>
      <c r="N999" s="25">
        <f t="shared" si="45"/>
        <v>6.9870376225102726E-2</v>
      </c>
      <c r="O999">
        <v>0.93012962377489705</v>
      </c>
      <c r="P999" s="25">
        <f t="shared" si="47"/>
        <v>0.93012962377489727</v>
      </c>
      <c r="Q999">
        <v>0</v>
      </c>
      <c r="R999" t="s">
        <v>124</v>
      </c>
      <c r="S999" t="s">
        <v>124</v>
      </c>
      <c r="T999" t="s">
        <v>124</v>
      </c>
      <c r="U999" t="s">
        <v>124</v>
      </c>
      <c r="X999" s="19">
        <f>J999</f>
        <v>1</v>
      </c>
      <c r="Y999" s="19">
        <f>N999</f>
        <v>6.9870376225102726E-2</v>
      </c>
      <c r="Z999" s="26">
        <f>(L999+Q999)/(L999+Q999+H999+K999)</f>
        <v>6.3178959405374505E-2</v>
      </c>
    </row>
    <row r="1000" spans="1:26" x14ac:dyDescent="0.35">
      <c r="A1000" t="s">
        <v>122</v>
      </c>
      <c r="B1000" t="s">
        <v>122</v>
      </c>
      <c r="C1000" t="s">
        <v>123</v>
      </c>
      <c r="D1000" t="s">
        <v>100</v>
      </c>
      <c r="E1000" t="s">
        <v>99</v>
      </c>
      <c r="F1000" t="s">
        <v>12</v>
      </c>
      <c r="G1000">
        <v>1</v>
      </c>
      <c r="H1000">
        <v>335</v>
      </c>
      <c r="I1000">
        <v>1</v>
      </c>
      <c r="J1000" s="25">
        <f t="shared" si="46"/>
        <v>1</v>
      </c>
      <c r="K1000">
        <v>2942</v>
      </c>
      <c r="L1000">
        <v>221</v>
      </c>
      <c r="M1000">
        <v>6.9870376225102698E-2</v>
      </c>
      <c r="N1000" s="25">
        <f t="shared" si="45"/>
        <v>6.9870376225102726E-2</v>
      </c>
      <c r="O1000">
        <v>0.93012962377489705</v>
      </c>
      <c r="P1000" s="25">
        <f t="shared" si="47"/>
        <v>0.93012962377489727</v>
      </c>
      <c r="Q1000">
        <v>0</v>
      </c>
      <c r="R1000" t="s">
        <v>124</v>
      </c>
      <c r="S1000" t="s">
        <v>124</v>
      </c>
      <c r="T1000" t="s">
        <v>124</v>
      </c>
      <c r="U1000" t="s">
        <v>124</v>
      </c>
      <c r="X1000" s="19">
        <f>J1000</f>
        <v>1</v>
      </c>
      <c r="Y1000" s="19">
        <f>N1000</f>
        <v>6.9870376225102726E-2</v>
      </c>
      <c r="Z1000" s="26">
        <f>(L1000+Q1000)/(L1000+Q1000+H1000+K1000)</f>
        <v>6.3178959405374505E-2</v>
      </c>
    </row>
    <row r="1001" spans="1:26" x14ac:dyDescent="0.35">
      <c r="A1001" t="s">
        <v>122</v>
      </c>
      <c r="B1001" t="s">
        <v>122</v>
      </c>
      <c r="C1001" t="s">
        <v>123</v>
      </c>
      <c r="D1001" t="s">
        <v>100</v>
      </c>
      <c r="E1001" t="s">
        <v>99</v>
      </c>
      <c r="F1001" t="s">
        <v>12</v>
      </c>
      <c r="G1001">
        <v>1</v>
      </c>
      <c r="H1001">
        <v>335</v>
      </c>
      <c r="I1001">
        <v>1</v>
      </c>
      <c r="J1001" s="25">
        <f t="shared" si="46"/>
        <v>1</v>
      </c>
      <c r="K1001">
        <v>2942</v>
      </c>
      <c r="L1001">
        <v>221</v>
      </c>
      <c r="M1001">
        <v>6.9870376225102698E-2</v>
      </c>
      <c r="N1001" s="25">
        <f t="shared" si="45"/>
        <v>6.9870376225102726E-2</v>
      </c>
      <c r="O1001">
        <v>0.93012962377489705</v>
      </c>
      <c r="P1001" s="25">
        <f t="shared" si="47"/>
        <v>0.93012962377489727</v>
      </c>
      <c r="Q1001">
        <v>0</v>
      </c>
      <c r="R1001" t="s">
        <v>124</v>
      </c>
      <c r="S1001" t="s">
        <v>124</v>
      </c>
      <c r="T1001" t="s">
        <v>124</v>
      </c>
      <c r="U1001" t="s">
        <v>124</v>
      </c>
      <c r="X1001" s="19">
        <f>J1001</f>
        <v>1</v>
      </c>
      <c r="Y1001" s="19">
        <f>N1001</f>
        <v>6.9870376225102726E-2</v>
      </c>
      <c r="Z1001" s="26">
        <f>(L1001+Q1001)/(L1001+Q1001+H1001+K1001)</f>
        <v>6.3178959405374505E-2</v>
      </c>
    </row>
    <row r="1002" spans="1:26" x14ac:dyDescent="0.35">
      <c r="A1002" t="s">
        <v>122</v>
      </c>
      <c r="B1002" t="s">
        <v>122</v>
      </c>
      <c r="C1002" t="s">
        <v>123</v>
      </c>
      <c r="D1002" t="s">
        <v>100</v>
      </c>
      <c r="E1002" t="s">
        <v>99</v>
      </c>
      <c r="F1002" t="s">
        <v>12</v>
      </c>
      <c r="G1002">
        <v>1</v>
      </c>
      <c r="H1002">
        <v>335</v>
      </c>
      <c r="I1002">
        <v>1</v>
      </c>
      <c r="J1002" s="25">
        <f t="shared" si="46"/>
        <v>1</v>
      </c>
      <c r="K1002">
        <v>2942</v>
      </c>
      <c r="L1002">
        <v>221</v>
      </c>
      <c r="M1002">
        <v>6.9870376225102698E-2</v>
      </c>
      <c r="N1002" s="25">
        <f t="shared" si="45"/>
        <v>6.9870376225102726E-2</v>
      </c>
      <c r="O1002">
        <v>0.93012962377489705</v>
      </c>
      <c r="P1002" s="25">
        <f t="shared" si="47"/>
        <v>0.93012962377489727</v>
      </c>
      <c r="Q1002">
        <v>0</v>
      </c>
      <c r="R1002" t="s">
        <v>124</v>
      </c>
      <c r="S1002" t="s">
        <v>124</v>
      </c>
      <c r="T1002" t="s">
        <v>124</v>
      </c>
      <c r="U1002" t="s">
        <v>124</v>
      </c>
      <c r="X1002" s="19">
        <f>J1002</f>
        <v>1</v>
      </c>
      <c r="Y1002" s="19">
        <f>N1002</f>
        <v>6.9870376225102726E-2</v>
      </c>
      <c r="Z1002" s="26">
        <f>(L1002+Q1002)/(L1002+Q1002+H1002+K1002)</f>
        <v>6.3178959405374505E-2</v>
      </c>
    </row>
    <row r="1003" spans="1:26" x14ac:dyDescent="0.35">
      <c r="A1003" t="s">
        <v>122</v>
      </c>
      <c r="B1003" t="s">
        <v>122</v>
      </c>
      <c r="C1003" t="s">
        <v>123</v>
      </c>
      <c r="D1003" t="s">
        <v>100</v>
      </c>
      <c r="E1003" t="s">
        <v>99</v>
      </c>
      <c r="F1003" t="s">
        <v>12</v>
      </c>
      <c r="G1003">
        <v>1</v>
      </c>
      <c r="H1003" t="s">
        <v>124</v>
      </c>
      <c r="I1003">
        <v>1</v>
      </c>
      <c r="J1003" s="25" t="e">
        <f t="shared" si="46"/>
        <v>#VALUE!</v>
      </c>
      <c r="K1003" t="s">
        <v>124</v>
      </c>
      <c r="L1003" t="s">
        <v>124</v>
      </c>
      <c r="M1003">
        <v>1</v>
      </c>
      <c r="N1003" s="25" t="e">
        <f t="shared" si="45"/>
        <v>#VALUE!</v>
      </c>
      <c r="O1003">
        <v>0</v>
      </c>
      <c r="P1003" s="25" t="e">
        <f t="shared" si="47"/>
        <v>#VALUE!</v>
      </c>
      <c r="Q1003" t="s">
        <v>124</v>
      </c>
      <c r="R1003" t="s">
        <v>124</v>
      </c>
      <c r="S1003">
        <v>0</v>
      </c>
      <c r="T1003">
        <v>0</v>
      </c>
      <c r="U1003">
        <v>0</v>
      </c>
      <c r="X1003" s="19"/>
      <c r="Y1003" s="19"/>
      <c r="Z1003" s="26"/>
    </row>
    <row r="1004" spans="1:26" x14ac:dyDescent="0.35">
      <c r="A1004" t="s">
        <v>122</v>
      </c>
      <c r="B1004" t="s">
        <v>122</v>
      </c>
      <c r="C1004" t="s">
        <v>123</v>
      </c>
      <c r="D1004" t="s">
        <v>101</v>
      </c>
      <c r="E1004" t="s">
        <v>99</v>
      </c>
      <c r="F1004" t="s">
        <v>12</v>
      </c>
      <c r="G1004">
        <v>1</v>
      </c>
      <c r="H1004" t="s">
        <v>124</v>
      </c>
      <c r="I1004">
        <v>0</v>
      </c>
      <c r="J1004" s="25" t="e">
        <f t="shared" si="46"/>
        <v>#VALUE!</v>
      </c>
      <c r="K1004" t="s">
        <v>124</v>
      </c>
      <c r="L1004" t="s">
        <v>124</v>
      </c>
      <c r="M1004">
        <v>0</v>
      </c>
      <c r="N1004" s="25" t="e">
        <f t="shared" si="45"/>
        <v>#VALUE!</v>
      </c>
      <c r="O1004">
        <v>1</v>
      </c>
      <c r="P1004" s="25" t="e">
        <f t="shared" si="47"/>
        <v>#VALUE!</v>
      </c>
      <c r="Q1004" t="s">
        <v>124</v>
      </c>
      <c r="R1004" t="s">
        <v>124</v>
      </c>
      <c r="S1004">
        <v>1</v>
      </c>
      <c r="T1004">
        <v>1</v>
      </c>
      <c r="U1004">
        <v>1</v>
      </c>
      <c r="X1004" s="19">
        <v>1</v>
      </c>
      <c r="Y1004" s="19">
        <v>0</v>
      </c>
      <c r="Z1004" s="26"/>
    </row>
    <row r="1005" spans="1:26" x14ac:dyDescent="0.35">
      <c r="A1005" t="s">
        <v>122</v>
      </c>
      <c r="B1005" t="s">
        <v>122</v>
      </c>
      <c r="C1005" t="s">
        <v>123</v>
      </c>
      <c r="D1005" t="s">
        <v>101</v>
      </c>
      <c r="E1005" t="s">
        <v>99</v>
      </c>
      <c r="F1005" t="s">
        <v>12</v>
      </c>
      <c r="G1005">
        <v>1</v>
      </c>
      <c r="H1005">
        <v>116</v>
      </c>
      <c r="I1005">
        <v>0.8</v>
      </c>
      <c r="J1005" s="25">
        <f t="shared" si="46"/>
        <v>0.8</v>
      </c>
      <c r="K1005">
        <v>1357</v>
      </c>
      <c r="L1005">
        <v>0</v>
      </c>
      <c r="M1005">
        <v>0</v>
      </c>
      <c r="N1005" s="25">
        <f t="shared" si="45"/>
        <v>0</v>
      </c>
      <c r="O1005">
        <v>1</v>
      </c>
      <c r="P1005" s="25">
        <f t="shared" si="47"/>
        <v>1</v>
      </c>
      <c r="Q1005">
        <v>29</v>
      </c>
      <c r="R1005" t="s">
        <v>124</v>
      </c>
      <c r="S1005" t="s">
        <v>124</v>
      </c>
      <c r="T1005" t="s">
        <v>124</v>
      </c>
      <c r="U1005" t="s">
        <v>124</v>
      </c>
      <c r="X1005" s="19">
        <f>J1005</f>
        <v>0.8</v>
      </c>
      <c r="Y1005" s="19">
        <f>N1005</f>
        <v>0</v>
      </c>
      <c r="Z1005" s="26"/>
    </row>
    <row r="1006" spans="1:26" x14ac:dyDescent="0.35">
      <c r="A1006" t="s">
        <v>122</v>
      </c>
      <c r="B1006" t="s">
        <v>122</v>
      </c>
      <c r="C1006" t="s">
        <v>123</v>
      </c>
      <c r="D1006" t="s">
        <v>101</v>
      </c>
      <c r="E1006" t="s">
        <v>99</v>
      </c>
      <c r="F1006" t="s">
        <v>12</v>
      </c>
      <c r="G1006">
        <v>1</v>
      </c>
      <c r="H1006">
        <v>116</v>
      </c>
      <c r="I1006">
        <v>0.8</v>
      </c>
      <c r="J1006" s="25">
        <f t="shared" si="46"/>
        <v>0.8</v>
      </c>
      <c r="K1006">
        <v>1357</v>
      </c>
      <c r="L1006">
        <v>0</v>
      </c>
      <c r="M1006">
        <v>0</v>
      </c>
      <c r="N1006" s="25">
        <f t="shared" si="45"/>
        <v>0</v>
      </c>
      <c r="O1006">
        <v>1</v>
      </c>
      <c r="P1006" s="25">
        <f t="shared" si="47"/>
        <v>1</v>
      </c>
      <c r="Q1006">
        <v>29</v>
      </c>
      <c r="R1006" t="s">
        <v>124</v>
      </c>
      <c r="S1006" t="s">
        <v>124</v>
      </c>
      <c r="T1006" t="s">
        <v>124</v>
      </c>
      <c r="U1006" t="s">
        <v>124</v>
      </c>
      <c r="X1006" s="19">
        <f t="shared" ref="X1006:X1069" si="48">J1006</f>
        <v>0.8</v>
      </c>
      <c r="Y1006" s="19">
        <f t="shared" ref="Y1006:Y1069" si="49">N1006</f>
        <v>0</v>
      </c>
      <c r="Z1006" s="26"/>
    </row>
    <row r="1007" spans="1:26" x14ac:dyDescent="0.35">
      <c r="A1007" t="s">
        <v>122</v>
      </c>
      <c r="B1007" t="s">
        <v>122</v>
      </c>
      <c r="C1007" t="s">
        <v>123</v>
      </c>
      <c r="D1007" t="s">
        <v>101</v>
      </c>
      <c r="E1007" t="s">
        <v>99</v>
      </c>
      <c r="F1007" t="s">
        <v>12</v>
      </c>
      <c r="G1007">
        <v>1</v>
      </c>
      <c r="H1007">
        <v>116</v>
      </c>
      <c r="I1007">
        <v>0.8</v>
      </c>
      <c r="J1007" s="25">
        <f t="shared" si="46"/>
        <v>0.8</v>
      </c>
      <c r="K1007">
        <v>1357</v>
      </c>
      <c r="L1007">
        <v>0</v>
      </c>
      <c r="M1007">
        <v>0</v>
      </c>
      <c r="N1007" s="25">
        <f t="shared" si="45"/>
        <v>0</v>
      </c>
      <c r="O1007">
        <v>1</v>
      </c>
      <c r="P1007" s="25">
        <f t="shared" si="47"/>
        <v>1</v>
      </c>
      <c r="Q1007">
        <v>29</v>
      </c>
      <c r="R1007" t="s">
        <v>124</v>
      </c>
      <c r="S1007" t="s">
        <v>124</v>
      </c>
      <c r="T1007" t="s">
        <v>124</v>
      </c>
      <c r="U1007" t="s">
        <v>124</v>
      </c>
      <c r="X1007" s="19">
        <f t="shared" si="48"/>
        <v>0.8</v>
      </c>
      <c r="Y1007" s="19">
        <f t="shared" si="49"/>
        <v>0</v>
      </c>
      <c r="Z1007" s="26"/>
    </row>
    <row r="1008" spans="1:26" x14ac:dyDescent="0.35">
      <c r="A1008" t="s">
        <v>122</v>
      </c>
      <c r="B1008" t="s">
        <v>122</v>
      </c>
      <c r="C1008" t="s">
        <v>123</v>
      </c>
      <c r="D1008" t="s">
        <v>101</v>
      </c>
      <c r="E1008" t="s">
        <v>99</v>
      </c>
      <c r="F1008" t="s">
        <v>12</v>
      </c>
      <c r="G1008">
        <v>1</v>
      </c>
      <c r="H1008">
        <v>116</v>
      </c>
      <c r="I1008">
        <v>0.8</v>
      </c>
      <c r="J1008" s="25">
        <f t="shared" si="46"/>
        <v>0.8</v>
      </c>
      <c r="K1008">
        <v>1357</v>
      </c>
      <c r="L1008">
        <v>0</v>
      </c>
      <c r="M1008">
        <v>0</v>
      </c>
      <c r="N1008" s="25">
        <f t="shared" si="45"/>
        <v>0</v>
      </c>
      <c r="O1008">
        <v>1</v>
      </c>
      <c r="P1008" s="25">
        <f t="shared" si="47"/>
        <v>1</v>
      </c>
      <c r="Q1008">
        <v>29</v>
      </c>
      <c r="R1008" t="s">
        <v>124</v>
      </c>
      <c r="S1008" t="s">
        <v>124</v>
      </c>
      <c r="T1008" t="s">
        <v>124</v>
      </c>
      <c r="U1008" t="s">
        <v>124</v>
      </c>
      <c r="X1008" s="19">
        <f t="shared" si="48"/>
        <v>0.8</v>
      </c>
      <c r="Y1008" s="19">
        <f t="shared" si="49"/>
        <v>0</v>
      </c>
      <c r="Z1008" s="26"/>
    </row>
    <row r="1009" spans="1:26" x14ac:dyDescent="0.35">
      <c r="A1009" t="s">
        <v>122</v>
      </c>
      <c r="B1009" t="s">
        <v>122</v>
      </c>
      <c r="C1009" t="s">
        <v>123</v>
      </c>
      <c r="D1009" t="s">
        <v>101</v>
      </c>
      <c r="E1009" t="s">
        <v>99</v>
      </c>
      <c r="F1009" t="s">
        <v>12</v>
      </c>
      <c r="G1009">
        <v>1</v>
      </c>
      <c r="H1009">
        <v>116</v>
      </c>
      <c r="I1009">
        <v>0.8</v>
      </c>
      <c r="J1009" s="25">
        <f t="shared" si="46"/>
        <v>0.8</v>
      </c>
      <c r="K1009">
        <v>1357</v>
      </c>
      <c r="L1009">
        <v>0</v>
      </c>
      <c r="M1009">
        <v>0</v>
      </c>
      <c r="N1009" s="25">
        <f t="shared" si="45"/>
        <v>0</v>
      </c>
      <c r="O1009">
        <v>1</v>
      </c>
      <c r="P1009" s="25">
        <f t="shared" si="47"/>
        <v>1</v>
      </c>
      <c r="Q1009">
        <v>29</v>
      </c>
      <c r="R1009" t="s">
        <v>124</v>
      </c>
      <c r="S1009" t="s">
        <v>124</v>
      </c>
      <c r="T1009" t="s">
        <v>124</v>
      </c>
      <c r="U1009" t="s">
        <v>124</v>
      </c>
      <c r="X1009" s="19">
        <f t="shared" si="48"/>
        <v>0.8</v>
      </c>
      <c r="Y1009" s="19">
        <f t="shared" si="49"/>
        <v>0</v>
      </c>
      <c r="Z1009" s="26"/>
    </row>
    <row r="1010" spans="1:26" x14ac:dyDescent="0.35">
      <c r="A1010" t="s">
        <v>122</v>
      </c>
      <c r="B1010" t="s">
        <v>122</v>
      </c>
      <c r="C1010" t="s">
        <v>123</v>
      </c>
      <c r="D1010" t="s">
        <v>101</v>
      </c>
      <c r="E1010" t="s">
        <v>99</v>
      </c>
      <c r="F1010" t="s">
        <v>12</v>
      </c>
      <c r="G1010">
        <v>1</v>
      </c>
      <c r="H1010">
        <v>116</v>
      </c>
      <c r="I1010">
        <v>0.8</v>
      </c>
      <c r="J1010" s="25">
        <f t="shared" si="46"/>
        <v>0.8</v>
      </c>
      <c r="K1010">
        <v>1357</v>
      </c>
      <c r="L1010">
        <v>0</v>
      </c>
      <c r="M1010">
        <v>0</v>
      </c>
      <c r="N1010" s="25">
        <f t="shared" si="45"/>
        <v>0</v>
      </c>
      <c r="O1010">
        <v>1</v>
      </c>
      <c r="P1010" s="25">
        <f t="shared" si="47"/>
        <v>1</v>
      </c>
      <c r="Q1010">
        <v>29</v>
      </c>
      <c r="R1010" t="s">
        <v>124</v>
      </c>
      <c r="S1010" t="s">
        <v>124</v>
      </c>
      <c r="T1010" t="s">
        <v>124</v>
      </c>
      <c r="U1010" t="s">
        <v>124</v>
      </c>
      <c r="X1010" s="19">
        <f t="shared" si="48"/>
        <v>0.8</v>
      </c>
      <c r="Y1010" s="19">
        <f t="shared" si="49"/>
        <v>0</v>
      </c>
      <c r="Z1010" s="26"/>
    </row>
    <row r="1011" spans="1:26" x14ac:dyDescent="0.35">
      <c r="A1011" t="s">
        <v>122</v>
      </c>
      <c r="B1011" t="s">
        <v>122</v>
      </c>
      <c r="C1011" t="s">
        <v>123</v>
      </c>
      <c r="D1011" t="s">
        <v>101</v>
      </c>
      <c r="E1011" t="s">
        <v>99</v>
      </c>
      <c r="F1011" t="s">
        <v>12</v>
      </c>
      <c r="G1011">
        <v>1</v>
      </c>
      <c r="H1011">
        <v>116</v>
      </c>
      <c r="I1011">
        <v>0.8</v>
      </c>
      <c r="J1011" s="25">
        <f t="shared" si="46"/>
        <v>0.8</v>
      </c>
      <c r="K1011">
        <v>1357</v>
      </c>
      <c r="L1011">
        <v>0</v>
      </c>
      <c r="M1011">
        <v>0</v>
      </c>
      <c r="N1011" s="25">
        <f t="shared" si="45"/>
        <v>0</v>
      </c>
      <c r="O1011">
        <v>1</v>
      </c>
      <c r="P1011" s="25">
        <f t="shared" si="47"/>
        <v>1</v>
      </c>
      <c r="Q1011">
        <v>29</v>
      </c>
      <c r="R1011" t="s">
        <v>124</v>
      </c>
      <c r="S1011" t="s">
        <v>124</v>
      </c>
      <c r="T1011" t="s">
        <v>124</v>
      </c>
      <c r="U1011" t="s">
        <v>124</v>
      </c>
      <c r="X1011" s="19">
        <f t="shared" si="48"/>
        <v>0.8</v>
      </c>
      <c r="Y1011" s="19">
        <f t="shared" si="49"/>
        <v>0</v>
      </c>
      <c r="Z1011" s="26"/>
    </row>
    <row r="1012" spans="1:26" x14ac:dyDescent="0.35">
      <c r="A1012" t="s">
        <v>122</v>
      </c>
      <c r="B1012" t="s">
        <v>122</v>
      </c>
      <c r="C1012" t="s">
        <v>123</v>
      </c>
      <c r="D1012" t="s">
        <v>101</v>
      </c>
      <c r="E1012" t="s">
        <v>99</v>
      </c>
      <c r="F1012" t="s">
        <v>12</v>
      </c>
      <c r="G1012">
        <v>1</v>
      </c>
      <c r="H1012">
        <v>116</v>
      </c>
      <c r="I1012">
        <v>0.8</v>
      </c>
      <c r="J1012" s="25">
        <f t="shared" si="46"/>
        <v>0.8</v>
      </c>
      <c r="K1012">
        <v>1357</v>
      </c>
      <c r="L1012">
        <v>0</v>
      </c>
      <c r="M1012">
        <v>0</v>
      </c>
      <c r="N1012" s="25">
        <f t="shared" si="45"/>
        <v>0</v>
      </c>
      <c r="O1012">
        <v>1</v>
      </c>
      <c r="P1012" s="25">
        <f t="shared" si="47"/>
        <v>1</v>
      </c>
      <c r="Q1012">
        <v>29</v>
      </c>
      <c r="R1012" t="s">
        <v>124</v>
      </c>
      <c r="S1012" t="s">
        <v>124</v>
      </c>
      <c r="T1012" t="s">
        <v>124</v>
      </c>
      <c r="U1012" t="s">
        <v>124</v>
      </c>
      <c r="X1012" s="19">
        <f t="shared" si="48"/>
        <v>0.8</v>
      </c>
      <c r="Y1012" s="19">
        <f t="shared" si="49"/>
        <v>0</v>
      </c>
      <c r="Z1012" s="26"/>
    </row>
    <row r="1013" spans="1:26" x14ac:dyDescent="0.35">
      <c r="A1013" t="s">
        <v>122</v>
      </c>
      <c r="B1013" t="s">
        <v>122</v>
      </c>
      <c r="C1013" t="s">
        <v>123</v>
      </c>
      <c r="D1013" t="s">
        <v>101</v>
      </c>
      <c r="E1013" t="s">
        <v>99</v>
      </c>
      <c r="F1013" t="s">
        <v>12</v>
      </c>
      <c r="G1013">
        <v>1</v>
      </c>
      <c r="H1013">
        <v>116</v>
      </c>
      <c r="I1013">
        <v>0.8</v>
      </c>
      <c r="J1013" s="25">
        <f t="shared" si="46"/>
        <v>0.8</v>
      </c>
      <c r="K1013">
        <v>1357</v>
      </c>
      <c r="L1013">
        <v>0</v>
      </c>
      <c r="M1013">
        <v>0</v>
      </c>
      <c r="N1013" s="25">
        <f t="shared" si="45"/>
        <v>0</v>
      </c>
      <c r="O1013">
        <v>1</v>
      </c>
      <c r="P1013" s="25">
        <f t="shared" si="47"/>
        <v>1</v>
      </c>
      <c r="Q1013">
        <v>29</v>
      </c>
      <c r="R1013" t="s">
        <v>124</v>
      </c>
      <c r="S1013" t="s">
        <v>124</v>
      </c>
      <c r="T1013" t="s">
        <v>124</v>
      </c>
      <c r="U1013" t="s">
        <v>124</v>
      </c>
      <c r="X1013" s="19">
        <f t="shared" si="48"/>
        <v>0.8</v>
      </c>
      <c r="Y1013" s="19">
        <f t="shared" si="49"/>
        <v>0</v>
      </c>
      <c r="Z1013" s="26"/>
    </row>
    <row r="1014" spans="1:26" x14ac:dyDescent="0.35">
      <c r="A1014" t="s">
        <v>122</v>
      </c>
      <c r="B1014" t="s">
        <v>122</v>
      </c>
      <c r="C1014" t="s">
        <v>123</v>
      </c>
      <c r="D1014" t="s">
        <v>101</v>
      </c>
      <c r="E1014" t="s">
        <v>99</v>
      </c>
      <c r="F1014" t="s">
        <v>12</v>
      </c>
      <c r="G1014">
        <v>1</v>
      </c>
      <c r="H1014">
        <v>116</v>
      </c>
      <c r="I1014">
        <v>0.8</v>
      </c>
      <c r="J1014" s="25">
        <f t="shared" si="46"/>
        <v>0.8</v>
      </c>
      <c r="K1014">
        <v>1357</v>
      </c>
      <c r="L1014">
        <v>0</v>
      </c>
      <c r="M1014">
        <v>0</v>
      </c>
      <c r="N1014" s="25">
        <f t="shared" si="45"/>
        <v>0</v>
      </c>
      <c r="O1014">
        <v>1</v>
      </c>
      <c r="P1014" s="25">
        <f t="shared" si="47"/>
        <v>1</v>
      </c>
      <c r="Q1014">
        <v>29</v>
      </c>
      <c r="R1014" t="s">
        <v>124</v>
      </c>
      <c r="S1014" t="s">
        <v>124</v>
      </c>
      <c r="T1014" t="s">
        <v>124</v>
      </c>
      <c r="U1014" t="s">
        <v>124</v>
      </c>
      <c r="X1014" s="19">
        <f t="shared" si="48"/>
        <v>0.8</v>
      </c>
      <c r="Y1014" s="19">
        <f t="shared" si="49"/>
        <v>0</v>
      </c>
      <c r="Z1014" s="26"/>
    </row>
    <row r="1015" spans="1:26" x14ac:dyDescent="0.35">
      <c r="A1015" t="s">
        <v>122</v>
      </c>
      <c r="B1015" t="s">
        <v>122</v>
      </c>
      <c r="C1015" t="s">
        <v>123</v>
      </c>
      <c r="D1015" t="s">
        <v>101</v>
      </c>
      <c r="E1015" t="s">
        <v>99</v>
      </c>
      <c r="F1015" t="s">
        <v>12</v>
      </c>
      <c r="G1015">
        <v>1</v>
      </c>
      <c r="H1015">
        <v>116</v>
      </c>
      <c r="I1015">
        <v>0.8</v>
      </c>
      <c r="J1015" s="25">
        <f t="shared" si="46"/>
        <v>0.8</v>
      </c>
      <c r="K1015">
        <v>1357</v>
      </c>
      <c r="L1015">
        <v>0</v>
      </c>
      <c r="M1015">
        <v>0</v>
      </c>
      <c r="N1015" s="25">
        <f t="shared" si="45"/>
        <v>0</v>
      </c>
      <c r="O1015">
        <v>1</v>
      </c>
      <c r="P1015" s="25">
        <f t="shared" si="47"/>
        <v>1</v>
      </c>
      <c r="Q1015">
        <v>29</v>
      </c>
      <c r="R1015" t="s">
        <v>124</v>
      </c>
      <c r="S1015" t="s">
        <v>124</v>
      </c>
      <c r="T1015" t="s">
        <v>124</v>
      </c>
      <c r="U1015" t="s">
        <v>124</v>
      </c>
      <c r="X1015" s="19">
        <f t="shared" si="48"/>
        <v>0.8</v>
      </c>
      <c r="Y1015" s="19">
        <f t="shared" si="49"/>
        <v>0</v>
      </c>
      <c r="Z1015" s="26"/>
    </row>
    <row r="1016" spans="1:26" x14ac:dyDescent="0.35">
      <c r="A1016" t="s">
        <v>122</v>
      </c>
      <c r="B1016" t="s">
        <v>122</v>
      </c>
      <c r="C1016" t="s">
        <v>123</v>
      </c>
      <c r="D1016" t="s">
        <v>101</v>
      </c>
      <c r="E1016" t="s">
        <v>99</v>
      </c>
      <c r="F1016" t="s">
        <v>12</v>
      </c>
      <c r="G1016">
        <v>1</v>
      </c>
      <c r="H1016">
        <v>116</v>
      </c>
      <c r="I1016">
        <v>0.8</v>
      </c>
      <c r="J1016" s="25">
        <f t="shared" si="46"/>
        <v>0.8</v>
      </c>
      <c r="K1016">
        <v>1357</v>
      </c>
      <c r="L1016">
        <v>0</v>
      </c>
      <c r="M1016">
        <v>0</v>
      </c>
      <c r="N1016" s="25">
        <f t="shared" si="45"/>
        <v>0</v>
      </c>
      <c r="O1016">
        <v>1</v>
      </c>
      <c r="P1016" s="25">
        <f t="shared" si="47"/>
        <v>1</v>
      </c>
      <c r="Q1016">
        <v>29</v>
      </c>
      <c r="R1016" t="s">
        <v>124</v>
      </c>
      <c r="S1016" t="s">
        <v>124</v>
      </c>
      <c r="T1016" t="s">
        <v>124</v>
      </c>
      <c r="U1016" t="s">
        <v>124</v>
      </c>
      <c r="X1016" s="19">
        <f t="shared" si="48"/>
        <v>0.8</v>
      </c>
      <c r="Y1016" s="19">
        <f t="shared" si="49"/>
        <v>0</v>
      </c>
      <c r="Z1016" s="26"/>
    </row>
    <row r="1017" spans="1:26" x14ac:dyDescent="0.35">
      <c r="A1017" t="s">
        <v>122</v>
      </c>
      <c r="B1017" t="s">
        <v>122</v>
      </c>
      <c r="C1017" t="s">
        <v>123</v>
      </c>
      <c r="D1017" t="s">
        <v>101</v>
      </c>
      <c r="E1017" t="s">
        <v>99</v>
      </c>
      <c r="F1017" t="s">
        <v>12</v>
      </c>
      <c r="G1017">
        <v>1</v>
      </c>
      <c r="H1017">
        <v>116</v>
      </c>
      <c r="I1017">
        <v>0.8</v>
      </c>
      <c r="J1017" s="25">
        <f t="shared" si="46"/>
        <v>0.8</v>
      </c>
      <c r="K1017">
        <v>1357</v>
      </c>
      <c r="L1017">
        <v>0</v>
      </c>
      <c r="M1017">
        <v>0</v>
      </c>
      <c r="N1017" s="25">
        <f t="shared" si="45"/>
        <v>0</v>
      </c>
      <c r="O1017">
        <v>1</v>
      </c>
      <c r="P1017" s="25">
        <f t="shared" si="47"/>
        <v>1</v>
      </c>
      <c r="Q1017">
        <v>29</v>
      </c>
      <c r="R1017" t="s">
        <v>124</v>
      </c>
      <c r="S1017" t="s">
        <v>124</v>
      </c>
      <c r="T1017" t="s">
        <v>124</v>
      </c>
      <c r="U1017" t="s">
        <v>124</v>
      </c>
      <c r="X1017" s="19">
        <f t="shared" si="48"/>
        <v>0.8</v>
      </c>
      <c r="Y1017" s="19">
        <f t="shared" si="49"/>
        <v>0</v>
      </c>
      <c r="Z1017" s="26"/>
    </row>
    <row r="1018" spans="1:26" x14ac:dyDescent="0.35">
      <c r="A1018" t="s">
        <v>122</v>
      </c>
      <c r="B1018" t="s">
        <v>122</v>
      </c>
      <c r="C1018" t="s">
        <v>123</v>
      </c>
      <c r="D1018" t="s">
        <v>101</v>
      </c>
      <c r="E1018" t="s">
        <v>99</v>
      </c>
      <c r="F1018" t="s">
        <v>12</v>
      </c>
      <c r="G1018">
        <v>1</v>
      </c>
      <c r="H1018">
        <v>116</v>
      </c>
      <c r="I1018">
        <v>0.8</v>
      </c>
      <c r="J1018" s="25">
        <f t="shared" si="46"/>
        <v>0.8</v>
      </c>
      <c r="K1018">
        <v>1357</v>
      </c>
      <c r="L1018">
        <v>0</v>
      </c>
      <c r="M1018">
        <v>0</v>
      </c>
      <c r="N1018" s="25">
        <f t="shared" si="45"/>
        <v>0</v>
      </c>
      <c r="O1018">
        <v>1</v>
      </c>
      <c r="P1018" s="25">
        <f t="shared" si="47"/>
        <v>1</v>
      </c>
      <c r="Q1018">
        <v>29</v>
      </c>
      <c r="R1018" t="s">
        <v>124</v>
      </c>
      <c r="S1018" t="s">
        <v>124</v>
      </c>
      <c r="T1018" t="s">
        <v>124</v>
      </c>
      <c r="U1018" t="s">
        <v>124</v>
      </c>
      <c r="X1018" s="19">
        <f t="shared" si="48"/>
        <v>0.8</v>
      </c>
      <c r="Y1018" s="19">
        <f t="shared" si="49"/>
        <v>0</v>
      </c>
      <c r="Z1018" s="26"/>
    </row>
    <row r="1019" spans="1:26" x14ac:dyDescent="0.35">
      <c r="A1019" t="s">
        <v>122</v>
      </c>
      <c r="B1019" t="s">
        <v>122</v>
      </c>
      <c r="C1019" t="s">
        <v>123</v>
      </c>
      <c r="D1019" t="s">
        <v>101</v>
      </c>
      <c r="E1019" t="s">
        <v>99</v>
      </c>
      <c r="F1019" t="s">
        <v>12</v>
      </c>
      <c r="G1019">
        <v>1</v>
      </c>
      <c r="H1019">
        <v>116</v>
      </c>
      <c r="I1019">
        <v>0.8</v>
      </c>
      <c r="J1019" s="25">
        <f t="shared" si="46"/>
        <v>0.8</v>
      </c>
      <c r="K1019">
        <v>1357</v>
      </c>
      <c r="L1019">
        <v>0</v>
      </c>
      <c r="M1019">
        <v>0</v>
      </c>
      <c r="N1019" s="25">
        <f t="shared" si="45"/>
        <v>0</v>
      </c>
      <c r="O1019">
        <v>1</v>
      </c>
      <c r="P1019" s="25">
        <f t="shared" si="47"/>
        <v>1</v>
      </c>
      <c r="Q1019">
        <v>29</v>
      </c>
      <c r="R1019" t="s">
        <v>124</v>
      </c>
      <c r="S1019" t="s">
        <v>124</v>
      </c>
      <c r="T1019" t="s">
        <v>124</v>
      </c>
      <c r="U1019" t="s">
        <v>124</v>
      </c>
      <c r="X1019" s="19">
        <f t="shared" si="48"/>
        <v>0.8</v>
      </c>
      <c r="Y1019" s="19">
        <f t="shared" si="49"/>
        <v>0</v>
      </c>
      <c r="Z1019" s="26"/>
    </row>
    <row r="1020" spans="1:26" x14ac:dyDescent="0.35">
      <c r="A1020" t="s">
        <v>122</v>
      </c>
      <c r="B1020" t="s">
        <v>122</v>
      </c>
      <c r="C1020" t="s">
        <v>123</v>
      </c>
      <c r="D1020" t="s">
        <v>101</v>
      </c>
      <c r="E1020" t="s">
        <v>99</v>
      </c>
      <c r="F1020" t="s">
        <v>12</v>
      </c>
      <c r="G1020">
        <v>1</v>
      </c>
      <c r="H1020">
        <v>116</v>
      </c>
      <c r="I1020">
        <v>0.8</v>
      </c>
      <c r="J1020" s="25">
        <f t="shared" si="46"/>
        <v>0.8</v>
      </c>
      <c r="K1020">
        <v>1357</v>
      </c>
      <c r="L1020">
        <v>0</v>
      </c>
      <c r="M1020">
        <v>0</v>
      </c>
      <c r="N1020" s="25">
        <f t="shared" si="45"/>
        <v>0</v>
      </c>
      <c r="O1020">
        <v>1</v>
      </c>
      <c r="P1020" s="25">
        <f t="shared" si="47"/>
        <v>1</v>
      </c>
      <c r="Q1020">
        <v>29</v>
      </c>
      <c r="R1020" t="s">
        <v>124</v>
      </c>
      <c r="S1020" t="s">
        <v>124</v>
      </c>
      <c r="T1020" t="s">
        <v>124</v>
      </c>
      <c r="U1020" t="s">
        <v>124</v>
      </c>
      <c r="X1020" s="19">
        <f t="shared" si="48"/>
        <v>0.8</v>
      </c>
      <c r="Y1020" s="19">
        <f t="shared" si="49"/>
        <v>0</v>
      </c>
      <c r="Z1020" s="26"/>
    </row>
    <row r="1021" spans="1:26" x14ac:dyDescent="0.35">
      <c r="A1021" t="s">
        <v>122</v>
      </c>
      <c r="B1021" t="s">
        <v>122</v>
      </c>
      <c r="C1021" t="s">
        <v>123</v>
      </c>
      <c r="D1021" t="s">
        <v>101</v>
      </c>
      <c r="E1021" t="s">
        <v>99</v>
      </c>
      <c r="F1021" t="s">
        <v>12</v>
      </c>
      <c r="G1021">
        <v>1</v>
      </c>
      <c r="H1021">
        <v>116</v>
      </c>
      <c r="I1021">
        <v>0.8</v>
      </c>
      <c r="J1021" s="25">
        <f t="shared" si="46"/>
        <v>0.8</v>
      </c>
      <c r="K1021">
        <v>1357</v>
      </c>
      <c r="L1021">
        <v>0</v>
      </c>
      <c r="M1021">
        <v>0</v>
      </c>
      <c r="N1021" s="25">
        <f t="shared" si="45"/>
        <v>0</v>
      </c>
      <c r="O1021">
        <v>1</v>
      </c>
      <c r="P1021" s="25">
        <f t="shared" si="47"/>
        <v>1</v>
      </c>
      <c r="Q1021">
        <v>29</v>
      </c>
      <c r="R1021" t="s">
        <v>124</v>
      </c>
      <c r="S1021" t="s">
        <v>124</v>
      </c>
      <c r="T1021" t="s">
        <v>124</v>
      </c>
      <c r="U1021" t="s">
        <v>124</v>
      </c>
      <c r="X1021" s="19">
        <f t="shared" si="48"/>
        <v>0.8</v>
      </c>
      <c r="Y1021" s="19">
        <f t="shared" si="49"/>
        <v>0</v>
      </c>
      <c r="Z1021" s="26"/>
    </row>
    <row r="1022" spans="1:26" x14ac:dyDescent="0.35">
      <c r="A1022" t="s">
        <v>122</v>
      </c>
      <c r="B1022" t="s">
        <v>122</v>
      </c>
      <c r="C1022" t="s">
        <v>123</v>
      </c>
      <c r="D1022" t="s">
        <v>101</v>
      </c>
      <c r="E1022" t="s">
        <v>99</v>
      </c>
      <c r="F1022" t="s">
        <v>12</v>
      </c>
      <c r="G1022">
        <v>1</v>
      </c>
      <c r="H1022">
        <v>116</v>
      </c>
      <c r="I1022">
        <v>0.8</v>
      </c>
      <c r="J1022" s="25">
        <f t="shared" si="46"/>
        <v>0.8</v>
      </c>
      <c r="K1022">
        <v>1357</v>
      </c>
      <c r="L1022">
        <v>0</v>
      </c>
      <c r="M1022">
        <v>0</v>
      </c>
      <c r="N1022" s="25">
        <f t="shared" si="45"/>
        <v>0</v>
      </c>
      <c r="O1022">
        <v>1</v>
      </c>
      <c r="P1022" s="25">
        <f t="shared" si="47"/>
        <v>1</v>
      </c>
      <c r="Q1022">
        <v>29</v>
      </c>
      <c r="R1022" t="s">
        <v>124</v>
      </c>
      <c r="S1022" t="s">
        <v>124</v>
      </c>
      <c r="T1022" t="s">
        <v>124</v>
      </c>
      <c r="U1022" t="s">
        <v>124</v>
      </c>
      <c r="X1022" s="19">
        <f t="shared" si="48"/>
        <v>0.8</v>
      </c>
      <c r="Y1022" s="19">
        <f t="shared" si="49"/>
        <v>0</v>
      </c>
      <c r="Z1022" s="26"/>
    </row>
    <row r="1023" spans="1:26" x14ac:dyDescent="0.35">
      <c r="A1023" t="s">
        <v>122</v>
      </c>
      <c r="B1023" t="s">
        <v>122</v>
      </c>
      <c r="C1023" t="s">
        <v>123</v>
      </c>
      <c r="D1023" t="s">
        <v>101</v>
      </c>
      <c r="E1023" t="s">
        <v>99</v>
      </c>
      <c r="F1023" t="s">
        <v>12</v>
      </c>
      <c r="G1023">
        <v>1</v>
      </c>
      <c r="H1023">
        <v>116</v>
      </c>
      <c r="I1023">
        <v>0.8</v>
      </c>
      <c r="J1023" s="25">
        <f t="shared" si="46"/>
        <v>0.8</v>
      </c>
      <c r="K1023">
        <v>1357</v>
      </c>
      <c r="L1023">
        <v>0</v>
      </c>
      <c r="M1023">
        <v>0</v>
      </c>
      <c r="N1023" s="25">
        <f t="shared" si="45"/>
        <v>0</v>
      </c>
      <c r="O1023">
        <v>1</v>
      </c>
      <c r="P1023" s="25">
        <f t="shared" si="47"/>
        <v>1</v>
      </c>
      <c r="Q1023">
        <v>29</v>
      </c>
      <c r="R1023" t="s">
        <v>124</v>
      </c>
      <c r="S1023" t="s">
        <v>124</v>
      </c>
      <c r="T1023" t="s">
        <v>124</v>
      </c>
      <c r="U1023" t="s">
        <v>124</v>
      </c>
      <c r="X1023" s="19">
        <f t="shared" si="48"/>
        <v>0.8</v>
      </c>
      <c r="Y1023" s="19">
        <f t="shared" si="49"/>
        <v>0</v>
      </c>
      <c r="Z1023" s="26"/>
    </row>
    <row r="1024" spans="1:26" x14ac:dyDescent="0.35">
      <c r="A1024" t="s">
        <v>122</v>
      </c>
      <c r="B1024" t="s">
        <v>122</v>
      </c>
      <c r="C1024" t="s">
        <v>123</v>
      </c>
      <c r="D1024" t="s">
        <v>101</v>
      </c>
      <c r="E1024" t="s">
        <v>99</v>
      </c>
      <c r="F1024" t="s">
        <v>12</v>
      </c>
      <c r="G1024">
        <v>1</v>
      </c>
      <c r="H1024">
        <v>116</v>
      </c>
      <c r="I1024">
        <v>0.8</v>
      </c>
      <c r="J1024" s="25">
        <f t="shared" si="46"/>
        <v>0.8</v>
      </c>
      <c r="K1024">
        <v>1357</v>
      </c>
      <c r="L1024">
        <v>0</v>
      </c>
      <c r="M1024">
        <v>0</v>
      </c>
      <c r="N1024" s="25">
        <f t="shared" si="45"/>
        <v>0</v>
      </c>
      <c r="O1024">
        <v>1</v>
      </c>
      <c r="P1024" s="25">
        <f t="shared" si="47"/>
        <v>1</v>
      </c>
      <c r="Q1024">
        <v>29</v>
      </c>
      <c r="R1024" t="s">
        <v>124</v>
      </c>
      <c r="S1024" t="s">
        <v>124</v>
      </c>
      <c r="T1024" t="s">
        <v>124</v>
      </c>
      <c r="U1024" t="s">
        <v>124</v>
      </c>
      <c r="X1024" s="19">
        <f t="shared" si="48"/>
        <v>0.8</v>
      </c>
      <c r="Y1024" s="19">
        <f t="shared" si="49"/>
        <v>0</v>
      </c>
      <c r="Z1024" s="26"/>
    </row>
    <row r="1025" spans="1:26" x14ac:dyDescent="0.35">
      <c r="A1025" t="s">
        <v>122</v>
      </c>
      <c r="B1025" t="s">
        <v>122</v>
      </c>
      <c r="C1025" t="s">
        <v>123</v>
      </c>
      <c r="D1025" t="s">
        <v>101</v>
      </c>
      <c r="E1025" t="s">
        <v>99</v>
      </c>
      <c r="F1025" t="s">
        <v>12</v>
      </c>
      <c r="G1025">
        <v>1</v>
      </c>
      <c r="H1025">
        <v>116</v>
      </c>
      <c r="I1025">
        <v>0.8</v>
      </c>
      <c r="J1025" s="25">
        <f t="shared" si="46"/>
        <v>0.8</v>
      </c>
      <c r="K1025">
        <v>1357</v>
      </c>
      <c r="L1025">
        <v>0</v>
      </c>
      <c r="M1025">
        <v>0</v>
      </c>
      <c r="N1025" s="25">
        <f t="shared" si="45"/>
        <v>0</v>
      </c>
      <c r="O1025">
        <v>1</v>
      </c>
      <c r="P1025" s="25">
        <f t="shared" si="47"/>
        <v>1</v>
      </c>
      <c r="Q1025">
        <v>29</v>
      </c>
      <c r="R1025" t="s">
        <v>124</v>
      </c>
      <c r="S1025" t="s">
        <v>124</v>
      </c>
      <c r="T1025" t="s">
        <v>124</v>
      </c>
      <c r="U1025" t="s">
        <v>124</v>
      </c>
      <c r="X1025" s="19">
        <f t="shared" si="48"/>
        <v>0.8</v>
      </c>
      <c r="Y1025" s="19">
        <f t="shared" si="49"/>
        <v>0</v>
      </c>
      <c r="Z1025" s="26"/>
    </row>
    <row r="1026" spans="1:26" x14ac:dyDescent="0.35">
      <c r="A1026" t="s">
        <v>122</v>
      </c>
      <c r="B1026" t="s">
        <v>122</v>
      </c>
      <c r="C1026" t="s">
        <v>123</v>
      </c>
      <c r="D1026" t="s">
        <v>101</v>
      </c>
      <c r="E1026" t="s">
        <v>99</v>
      </c>
      <c r="F1026" t="s">
        <v>12</v>
      </c>
      <c r="G1026">
        <v>1</v>
      </c>
      <c r="H1026">
        <v>116</v>
      </c>
      <c r="I1026">
        <v>0.8</v>
      </c>
      <c r="J1026" s="25">
        <f t="shared" si="46"/>
        <v>0.8</v>
      </c>
      <c r="K1026">
        <v>1357</v>
      </c>
      <c r="L1026">
        <v>0</v>
      </c>
      <c r="M1026">
        <v>0</v>
      </c>
      <c r="N1026" s="25">
        <f t="shared" ref="N1026:N1089" si="50">1-P1026</f>
        <v>0</v>
      </c>
      <c r="O1026">
        <v>1</v>
      </c>
      <c r="P1026" s="25">
        <f t="shared" si="47"/>
        <v>1</v>
      </c>
      <c r="Q1026">
        <v>29</v>
      </c>
      <c r="R1026" t="s">
        <v>124</v>
      </c>
      <c r="S1026" t="s">
        <v>124</v>
      </c>
      <c r="T1026" t="s">
        <v>124</v>
      </c>
      <c r="U1026" t="s">
        <v>124</v>
      </c>
      <c r="X1026" s="19">
        <f t="shared" si="48"/>
        <v>0.8</v>
      </c>
      <c r="Y1026" s="19">
        <f t="shared" si="49"/>
        <v>0</v>
      </c>
      <c r="Z1026" s="26"/>
    </row>
    <row r="1027" spans="1:26" x14ac:dyDescent="0.35">
      <c r="A1027" t="s">
        <v>122</v>
      </c>
      <c r="B1027" t="s">
        <v>122</v>
      </c>
      <c r="C1027" t="s">
        <v>123</v>
      </c>
      <c r="D1027" t="s">
        <v>101</v>
      </c>
      <c r="E1027" t="s">
        <v>99</v>
      </c>
      <c r="F1027" t="s">
        <v>12</v>
      </c>
      <c r="G1027">
        <v>1</v>
      </c>
      <c r="H1027">
        <v>116</v>
      </c>
      <c r="I1027">
        <v>0.8</v>
      </c>
      <c r="J1027" s="25">
        <f t="shared" ref="J1027:J1090" si="51">H1027/(H1027+Q1027)</f>
        <v>0.8</v>
      </c>
      <c r="K1027">
        <v>1357</v>
      </c>
      <c r="L1027">
        <v>0</v>
      </c>
      <c r="M1027">
        <v>0</v>
      </c>
      <c r="N1027" s="25">
        <f t="shared" si="50"/>
        <v>0</v>
      </c>
      <c r="O1027">
        <v>1</v>
      </c>
      <c r="P1027" s="25">
        <f t="shared" ref="P1027:P1090" si="52">K1027/(K1027+L1027)</f>
        <v>1</v>
      </c>
      <c r="Q1027">
        <v>29</v>
      </c>
      <c r="R1027" t="s">
        <v>124</v>
      </c>
      <c r="S1027" t="s">
        <v>124</v>
      </c>
      <c r="T1027" t="s">
        <v>124</v>
      </c>
      <c r="U1027" t="s">
        <v>124</v>
      </c>
      <c r="X1027" s="19">
        <f t="shared" si="48"/>
        <v>0.8</v>
      </c>
      <c r="Y1027" s="19">
        <f t="shared" si="49"/>
        <v>0</v>
      </c>
      <c r="Z1027" s="26"/>
    </row>
    <row r="1028" spans="1:26" x14ac:dyDescent="0.35">
      <c r="A1028" t="s">
        <v>122</v>
      </c>
      <c r="B1028" t="s">
        <v>122</v>
      </c>
      <c r="C1028" t="s">
        <v>123</v>
      </c>
      <c r="D1028" t="s">
        <v>101</v>
      </c>
      <c r="E1028" t="s">
        <v>99</v>
      </c>
      <c r="F1028" t="s">
        <v>12</v>
      </c>
      <c r="G1028">
        <v>1</v>
      </c>
      <c r="H1028">
        <v>116</v>
      </c>
      <c r="I1028">
        <v>0.8</v>
      </c>
      <c r="J1028" s="25">
        <f t="shared" si="51"/>
        <v>0.8</v>
      </c>
      <c r="K1028">
        <v>1357</v>
      </c>
      <c r="L1028">
        <v>0</v>
      </c>
      <c r="M1028">
        <v>0</v>
      </c>
      <c r="N1028" s="25">
        <f t="shared" si="50"/>
        <v>0</v>
      </c>
      <c r="O1028">
        <v>1</v>
      </c>
      <c r="P1028" s="25">
        <f t="shared" si="52"/>
        <v>1</v>
      </c>
      <c r="Q1028">
        <v>29</v>
      </c>
      <c r="R1028" t="s">
        <v>124</v>
      </c>
      <c r="S1028" t="s">
        <v>124</v>
      </c>
      <c r="T1028" t="s">
        <v>124</v>
      </c>
      <c r="U1028" t="s">
        <v>124</v>
      </c>
      <c r="X1028" s="19">
        <f t="shared" si="48"/>
        <v>0.8</v>
      </c>
      <c r="Y1028" s="19">
        <f t="shared" si="49"/>
        <v>0</v>
      </c>
      <c r="Z1028" s="26"/>
    </row>
    <row r="1029" spans="1:26" x14ac:dyDescent="0.35">
      <c r="A1029" t="s">
        <v>122</v>
      </c>
      <c r="B1029" t="s">
        <v>122</v>
      </c>
      <c r="C1029" t="s">
        <v>123</v>
      </c>
      <c r="D1029" t="s">
        <v>101</v>
      </c>
      <c r="E1029" t="s">
        <v>99</v>
      </c>
      <c r="F1029" t="s">
        <v>12</v>
      </c>
      <c r="G1029">
        <v>1</v>
      </c>
      <c r="H1029">
        <v>116</v>
      </c>
      <c r="I1029">
        <v>0.8</v>
      </c>
      <c r="J1029" s="25">
        <f t="shared" si="51"/>
        <v>0.8</v>
      </c>
      <c r="K1029">
        <v>1357</v>
      </c>
      <c r="L1029">
        <v>0</v>
      </c>
      <c r="M1029">
        <v>0</v>
      </c>
      <c r="N1029" s="25">
        <f t="shared" si="50"/>
        <v>0</v>
      </c>
      <c r="O1029">
        <v>1</v>
      </c>
      <c r="P1029" s="25">
        <f t="shared" si="52"/>
        <v>1</v>
      </c>
      <c r="Q1029">
        <v>29</v>
      </c>
      <c r="R1029" t="s">
        <v>124</v>
      </c>
      <c r="S1029" t="s">
        <v>124</v>
      </c>
      <c r="T1029" t="s">
        <v>124</v>
      </c>
      <c r="U1029" t="s">
        <v>124</v>
      </c>
      <c r="X1029" s="19">
        <f t="shared" si="48"/>
        <v>0.8</v>
      </c>
      <c r="Y1029" s="19">
        <f t="shared" si="49"/>
        <v>0</v>
      </c>
      <c r="Z1029" s="26"/>
    </row>
    <row r="1030" spans="1:26" x14ac:dyDescent="0.35">
      <c r="A1030" t="s">
        <v>122</v>
      </c>
      <c r="B1030" t="s">
        <v>122</v>
      </c>
      <c r="C1030" t="s">
        <v>123</v>
      </c>
      <c r="D1030" t="s">
        <v>101</v>
      </c>
      <c r="E1030" t="s">
        <v>99</v>
      </c>
      <c r="F1030" t="s">
        <v>12</v>
      </c>
      <c r="G1030">
        <v>1</v>
      </c>
      <c r="H1030">
        <v>116</v>
      </c>
      <c r="I1030">
        <v>0.8</v>
      </c>
      <c r="J1030" s="25">
        <f t="shared" si="51"/>
        <v>0.8</v>
      </c>
      <c r="K1030">
        <v>1357</v>
      </c>
      <c r="L1030">
        <v>0</v>
      </c>
      <c r="M1030">
        <v>0</v>
      </c>
      <c r="N1030" s="25">
        <f t="shared" si="50"/>
        <v>0</v>
      </c>
      <c r="O1030">
        <v>1</v>
      </c>
      <c r="P1030" s="25">
        <f t="shared" si="52"/>
        <v>1</v>
      </c>
      <c r="Q1030">
        <v>29</v>
      </c>
      <c r="R1030" t="s">
        <v>124</v>
      </c>
      <c r="S1030" t="s">
        <v>124</v>
      </c>
      <c r="T1030" t="s">
        <v>124</v>
      </c>
      <c r="U1030" t="s">
        <v>124</v>
      </c>
      <c r="X1030" s="19">
        <f t="shared" si="48"/>
        <v>0.8</v>
      </c>
      <c r="Y1030" s="19">
        <f t="shared" si="49"/>
        <v>0</v>
      </c>
      <c r="Z1030" s="26"/>
    </row>
    <row r="1031" spans="1:26" x14ac:dyDescent="0.35">
      <c r="A1031" t="s">
        <v>122</v>
      </c>
      <c r="B1031" t="s">
        <v>122</v>
      </c>
      <c r="C1031" t="s">
        <v>123</v>
      </c>
      <c r="D1031" t="s">
        <v>101</v>
      </c>
      <c r="E1031" t="s">
        <v>99</v>
      </c>
      <c r="F1031" t="s">
        <v>12</v>
      </c>
      <c r="G1031">
        <v>1</v>
      </c>
      <c r="H1031">
        <v>116</v>
      </c>
      <c r="I1031">
        <v>0.8</v>
      </c>
      <c r="J1031" s="25">
        <f t="shared" si="51"/>
        <v>0.8</v>
      </c>
      <c r="K1031">
        <v>1357</v>
      </c>
      <c r="L1031">
        <v>0</v>
      </c>
      <c r="M1031">
        <v>0</v>
      </c>
      <c r="N1031" s="25">
        <f t="shared" si="50"/>
        <v>0</v>
      </c>
      <c r="O1031">
        <v>1</v>
      </c>
      <c r="P1031" s="25">
        <f t="shared" si="52"/>
        <v>1</v>
      </c>
      <c r="Q1031">
        <v>29</v>
      </c>
      <c r="R1031" t="s">
        <v>124</v>
      </c>
      <c r="S1031" t="s">
        <v>124</v>
      </c>
      <c r="T1031" t="s">
        <v>124</v>
      </c>
      <c r="U1031" t="s">
        <v>124</v>
      </c>
      <c r="X1031" s="19">
        <f t="shared" si="48"/>
        <v>0.8</v>
      </c>
      <c r="Y1031" s="19">
        <f t="shared" si="49"/>
        <v>0</v>
      </c>
      <c r="Z1031" s="26"/>
    </row>
    <row r="1032" spans="1:26" x14ac:dyDescent="0.35">
      <c r="A1032" t="s">
        <v>122</v>
      </c>
      <c r="B1032" t="s">
        <v>122</v>
      </c>
      <c r="C1032" t="s">
        <v>123</v>
      </c>
      <c r="D1032" t="s">
        <v>101</v>
      </c>
      <c r="E1032" t="s">
        <v>99</v>
      </c>
      <c r="F1032" t="s">
        <v>12</v>
      </c>
      <c r="G1032">
        <v>1</v>
      </c>
      <c r="H1032">
        <v>116</v>
      </c>
      <c r="I1032">
        <v>0.8</v>
      </c>
      <c r="J1032" s="25">
        <f t="shared" si="51"/>
        <v>0.8</v>
      </c>
      <c r="K1032">
        <v>1357</v>
      </c>
      <c r="L1032">
        <v>0</v>
      </c>
      <c r="M1032">
        <v>0</v>
      </c>
      <c r="N1032" s="25">
        <f t="shared" si="50"/>
        <v>0</v>
      </c>
      <c r="O1032">
        <v>1</v>
      </c>
      <c r="P1032" s="25">
        <f t="shared" si="52"/>
        <v>1</v>
      </c>
      <c r="Q1032">
        <v>29</v>
      </c>
      <c r="R1032" t="s">
        <v>124</v>
      </c>
      <c r="S1032" t="s">
        <v>124</v>
      </c>
      <c r="T1032" t="s">
        <v>124</v>
      </c>
      <c r="U1032" t="s">
        <v>124</v>
      </c>
      <c r="X1032" s="19">
        <f t="shared" si="48"/>
        <v>0.8</v>
      </c>
      <c r="Y1032" s="19">
        <f t="shared" si="49"/>
        <v>0</v>
      </c>
      <c r="Z1032" s="26"/>
    </row>
    <row r="1033" spans="1:26" x14ac:dyDescent="0.35">
      <c r="A1033" t="s">
        <v>122</v>
      </c>
      <c r="B1033" t="s">
        <v>122</v>
      </c>
      <c r="C1033" t="s">
        <v>123</v>
      </c>
      <c r="D1033" t="s">
        <v>101</v>
      </c>
      <c r="E1033" t="s">
        <v>99</v>
      </c>
      <c r="F1033" t="s">
        <v>12</v>
      </c>
      <c r="G1033">
        <v>1</v>
      </c>
      <c r="H1033">
        <v>116</v>
      </c>
      <c r="I1033">
        <v>0.8</v>
      </c>
      <c r="J1033" s="25">
        <f t="shared" si="51"/>
        <v>0.8</v>
      </c>
      <c r="K1033">
        <v>1357</v>
      </c>
      <c r="L1033">
        <v>0</v>
      </c>
      <c r="M1033">
        <v>0</v>
      </c>
      <c r="N1033" s="25">
        <f t="shared" si="50"/>
        <v>0</v>
      </c>
      <c r="O1033">
        <v>1</v>
      </c>
      <c r="P1033" s="25">
        <f t="shared" si="52"/>
        <v>1</v>
      </c>
      <c r="Q1033">
        <v>29</v>
      </c>
      <c r="R1033" t="s">
        <v>124</v>
      </c>
      <c r="S1033" t="s">
        <v>124</v>
      </c>
      <c r="T1033" t="s">
        <v>124</v>
      </c>
      <c r="U1033" t="s">
        <v>124</v>
      </c>
      <c r="X1033" s="19">
        <f t="shared" si="48"/>
        <v>0.8</v>
      </c>
      <c r="Y1033" s="19">
        <f t="shared" si="49"/>
        <v>0</v>
      </c>
      <c r="Z1033" s="26"/>
    </row>
    <row r="1034" spans="1:26" x14ac:dyDescent="0.35">
      <c r="A1034" t="s">
        <v>122</v>
      </c>
      <c r="B1034" t="s">
        <v>122</v>
      </c>
      <c r="C1034" t="s">
        <v>123</v>
      </c>
      <c r="D1034" t="s">
        <v>101</v>
      </c>
      <c r="E1034" t="s">
        <v>99</v>
      </c>
      <c r="F1034" t="s">
        <v>12</v>
      </c>
      <c r="G1034">
        <v>1</v>
      </c>
      <c r="H1034">
        <v>116</v>
      </c>
      <c r="I1034">
        <v>0.8</v>
      </c>
      <c r="J1034" s="25">
        <f t="shared" si="51"/>
        <v>0.8</v>
      </c>
      <c r="K1034">
        <v>1357</v>
      </c>
      <c r="L1034">
        <v>0</v>
      </c>
      <c r="M1034">
        <v>0</v>
      </c>
      <c r="N1034" s="25">
        <f t="shared" si="50"/>
        <v>0</v>
      </c>
      <c r="O1034">
        <v>1</v>
      </c>
      <c r="P1034" s="25">
        <f t="shared" si="52"/>
        <v>1</v>
      </c>
      <c r="Q1034">
        <v>29</v>
      </c>
      <c r="R1034" t="s">
        <v>124</v>
      </c>
      <c r="S1034" t="s">
        <v>124</v>
      </c>
      <c r="T1034" t="s">
        <v>124</v>
      </c>
      <c r="U1034" t="s">
        <v>124</v>
      </c>
      <c r="X1034" s="19">
        <f t="shared" si="48"/>
        <v>0.8</v>
      </c>
      <c r="Y1034" s="19">
        <f t="shared" si="49"/>
        <v>0</v>
      </c>
      <c r="Z1034" s="26"/>
    </row>
    <row r="1035" spans="1:26" x14ac:dyDescent="0.35">
      <c r="A1035" t="s">
        <v>122</v>
      </c>
      <c r="B1035" t="s">
        <v>122</v>
      </c>
      <c r="C1035" t="s">
        <v>123</v>
      </c>
      <c r="D1035" t="s">
        <v>101</v>
      </c>
      <c r="E1035" t="s">
        <v>99</v>
      </c>
      <c r="F1035" t="s">
        <v>12</v>
      </c>
      <c r="G1035">
        <v>1</v>
      </c>
      <c r="H1035">
        <v>116</v>
      </c>
      <c r="I1035">
        <v>0.8</v>
      </c>
      <c r="J1035" s="25">
        <f t="shared" si="51"/>
        <v>0.8</v>
      </c>
      <c r="K1035">
        <v>1357</v>
      </c>
      <c r="L1035">
        <v>0</v>
      </c>
      <c r="M1035">
        <v>0</v>
      </c>
      <c r="N1035" s="25">
        <f t="shared" si="50"/>
        <v>0</v>
      </c>
      <c r="O1035">
        <v>1</v>
      </c>
      <c r="P1035" s="25">
        <f t="shared" si="52"/>
        <v>1</v>
      </c>
      <c r="Q1035">
        <v>29</v>
      </c>
      <c r="R1035" t="s">
        <v>124</v>
      </c>
      <c r="S1035" t="s">
        <v>124</v>
      </c>
      <c r="T1035" t="s">
        <v>124</v>
      </c>
      <c r="U1035" t="s">
        <v>124</v>
      </c>
      <c r="X1035" s="19">
        <f t="shared" si="48"/>
        <v>0.8</v>
      </c>
      <c r="Y1035" s="19">
        <f t="shared" si="49"/>
        <v>0</v>
      </c>
      <c r="Z1035" s="26"/>
    </row>
    <row r="1036" spans="1:26" x14ac:dyDescent="0.35">
      <c r="A1036" t="s">
        <v>122</v>
      </c>
      <c r="B1036" t="s">
        <v>122</v>
      </c>
      <c r="C1036" t="s">
        <v>123</v>
      </c>
      <c r="D1036" t="s">
        <v>101</v>
      </c>
      <c r="E1036" t="s">
        <v>99</v>
      </c>
      <c r="F1036" t="s">
        <v>12</v>
      </c>
      <c r="G1036">
        <v>1</v>
      </c>
      <c r="H1036">
        <v>116</v>
      </c>
      <c r="I1036">
        <v>0.8</v>
      </c>
      <c r="J1036" s="25">
        <f t="shared" si="51"/>
        <v>0.8</v>
      </c>
      <c r="K1036">
        <v>1357</v>
      </c>
      <c r="L1036">
        <v>0</v>
      </c>
      <c r="M1036">
        <v>0</v>
      </c>
      <c r="N1036" s="25">
        <f t="shared" si="50"/>
        <v>0</v>
      </c>
      <c r="O1036">
        <v>1</v>
      </c>
      <c r="P1036" s="25">
        <f t="shared" si="52"/>
        <v>1</v>
      </c>
      <c r="Q1036">
        <v>29</v>
      </c>
      <c r="R1036" t="s">
        <v>124</v>
      </c>
      <c r="S1036" t="s">
        <v>124</v>
      </c>
      <c r="T1036" t="s">
        <v>124</v>
      </c>
      <c r="U1036" t="s">
        <v>124</v>
      </c>
      <c r="X1036" s="19">
        <f t="shared" si="48"/>
        <v>0.8</v>
      </c>
      <c r="Y1036" s="19">
        <f t="shared" si="49"/>
        <v>0</v>
      </c>
      <c r="Z1036" s="26"/>
    </row>
    <row r="1037" spans="1:26" x14ac:dyDescent="0.35">
      <c r="A1037" t="s">
        <v>122</v>
      </c>
      <c r="B1037" t="s">
        <v>122</v>
      </c>
      <c r="C1037" t="s">
        <v>123</v>
      </c>
      <c r="D1037" t="s">
        <v>101</v>
      </c>
      <c r="E1037" t="s">
        <v>99</v>
      </c>
      <c r="F1037" t="s">
        <v>12</v>
      </c>
      <c r="G1037">
        <v>1</v>
      </c>
      <c r="H1037">
        <v>116</v>
      </c>
      <c r="I1037">
        <v>0.8</v>
      </c>
      <c r="J1037" s="25">
        <f t="shared" si="51"/>
        <v>0.8</v>
      </c>
      <c r="K1037">
        <v>1357</v>
      </c>
      <c r="L1037">
        <v>0</v>
      </c>
      <c r="M1037">
        <v>0</v>
      </c>
      <c r="N1037" s="25">
        <f t="shared" si="50"/>
        <v>0</v>
      </c>
      <c r="O1037">
        <v>1</v>
      </c>
      <c r="P1037" s="25">
        <f t="shared" si="52"/>
        <v>1</v>
      </c>
      <c r="Q1037">
        <v>29</v>
      </c>
      <c r="R1037" t="s">
        <v>124</v>
      </c>
      <c r="S1037" t="s">
        <v>124</v>
      </c>
      <c r="T1037" t="s">
        <v>124</v>
      </c>
      <c r="U1037" t="s">
        <v>124</v>
      </c>
      <c r="X1037" s="19">
        <f t="shared" si="48"/>
        <v>0.8</v>
      </c>
      <c r="Y1037" s="19">
        <f t="shared" si="49"/>
        <v>0</v>
      </c>
      <c r="Z1037" s="26"/>
    </row>
    <row r="1038" spans="1:26" x14ac:dyDescent="0.35">
      <c r="A1038" t="s">
        <v>122</v>
      </c>
      <c r="B1038" t="s">
        <v>122</v>
      </c>
      <c r="C1038" t="s">
        <v>123</v>
      </c>
      <c r="D1038" t="s">
        <v>101</v>
      </c>
      <c r="E1038" t="s">
        <v>99</v>
      </c>
      <c r="F1038" t="s">
        <v>12</v>
      </c>
      <c r="G1038">
        <v>1</v>
      </c>
      <c r="H1038">
        <v>116</v>
      </c>
      <c r="I1038">
        <v>0.8</v>
      </c>
      <c r="J1038" s="25">
        <f t="shared" si="51"/>
        <v>0.8</v>
      </c>
      <c r="K1038">
        <v>1357</v>
      </c>
      <c r="L1038">
        <v>0</v>
      </c>
      <c r="M1038">
        <v>0</v>
      </c>
      <c r="N1038" s="25">
        <f t="shared" si="50"/>
        <v>0</v>
      </c>
      <c r="O1038">
        <v>1</v>
      </c>
      <c r="P1038" s="25">
        <f t="shared" si="52"/>
        <v>1</v>
      </c>
      <c r="Q1038">
        <v>29</v>
      </c>
      <c r="R1038" t="s">
        <v>124</v>
      </c>
      <c r="S1038" t="s">
        <v>124</v>
      </c>
      <c r="T1038" t="s">
        <v>124</v>
      </c>
      <c r="U1038" t="s">
        <v>124</v>
      </c>
      <c r="X1038" s="19">
        <f t="shared" si="48"/>
        <v>0.8</v>
      </c>
      <c r="Y1038" s="19">
        <f t="shared" si="49"/>
        <v>0</v>
      </c>
      <c r="Z1038" s="26"/>
    </row>
    <row r="1039" spans="1:26" x14ac:dyDescent="0.35">
      <c r="A1039" t="s">
        <v>122</v>
      </c>
      <c r="B1039" t="s">
        <v>122</v>
      </c>
      <c r="C1039" t="s">
        <v>123</v>
      </c>
      <c r="D1039" t="s">
        <v>101</v>
      </c>
      <c r="E1039" t="s">
        <v>99</v>
      </c>
      <c r="F1039" t="s">
        <v>12</v>
      </c>
      <c r="G1039">
        <v>1</v>
      </c>
      <c r="H1039">
        <v>116</v>
      </c>
      <c r="I1039">
        <v>0.8</v>
      </c>
      <c r="J1039" s="25">
        <f t="shared" si="51"/>
        <v>0.8</v>
      </c>
      <c r="K1039">
        <v>1357</v>
      </c>
      <c r="L1039">
        <v>0</v>
      </c>
      <c r="M1039">
        <v>0</v>
      </c>
      <c r="N1039" s="25">
        <f t="shared" si="50"/>
        <v>0</v>
      </c>
      <c r="O1039">
        <v>1</v>
      </c>
      <c r="P1039" s="25">
        <f t="shared" si="52"/>
        <v>1</v>
      </c>
      <c r="Q1039">
        <v>29</v>
      </c>
      <c r="R1039" t="s">
        <v>124</v>
      </c>
      <c r="S1039" t="s">
        <v>124</v>
      </c>
      <c r="T1039" t="s">
        <v>124</v>
      </c>
      <c r="U1039" t="s">
        <v>124</v>
      </c>
      <c r="X1039" s="19">
        <f t="shared" si="48"/>
        <v>0.8</v>
      </c>
      <c r="Y1039" s="19">
        <f t="shared" si="49"/>
        <v>0</v>
      </c>
      <c r="Z1039" s="26"/>
    </row>
    <row r="1040" spans="1:26" x14ac:dyDescent="0.35">
      <c r="A1040" t="s">
        <v>122</v>
      </c>
      <c r="B1040" t="s">
        <v>122</v>
      </c>
      <c r="C1040" t="s">
        <v>123</v>
      </c>
      <c r="D1040" t="s">
        <v>101</v>
      </c>
      <c r="E1040" t="s">
        <v>99</v>
      </c>
      <c r="F1040" t="s">
        <v>12</v>
      </c>
      <c r="G1040">
        <v>1</v>
      </c>
      <c r="H1040">
        <v>116</v>
      </c>
      <c r="I1040">
        <v>0.8</v>
      </c>
      <c r="J1040" s="25">
        <f t="shared" si="51"/>
        <v>0.8</v>
      </c>
      <c r="K1040">
        <v>1357</v>
      </c>
      <c r="L1040">
        <v>0</v>
      </c>
      <c r="M1040">
        <v>0</v>
      </c>
      <c r="N1040" s="25">
        <f t="shared" si="50"/>
        <v>0</v>
      </c>
      <c r="O1040">
        <v>1</v>
      </c>
      <c r="P1040" s="25">
        <f t="shared" si="52"/>
        <v>1</v>
      </c>
      <c r="Q1040">
        <v>29</v>
      </c>
      <c r="R1040" t="s">
        <v>124</v>
      </c>
      <c r="S1040" t="s">
        <v>124</v>
      </c>
      <c r="T1040" t="s">
        <v>124</v>
      </c>
      <c r="U1040" t="s">
        <v>124</v>
      </c>
      <c r="X1040" s="19">
        <f t="shared" si="48"/>
        <v>0.8</v>
      </c>
      <c r="Y1040" s="19">
        <f t="shared" si="49"/>
        <v>0</v>
      </c>
      <c r="Z1040" s="26"/>
    </row>
    <row r="1041" spans="1:26" x14ac:dyDescent="0.35">
      <c r="A1041" t="s">
        <v>122</v>
      </c>
      <c r="B1041" t="s">
        <v>122</v>
      </c>
      <c r="C1041" t="s">
        <v>123</v>
      </c>
      <c r="D1041" t="s">
        <v>101</v>
      </c>
      <c r="E1041" t="s">
        <v>99</v>
      </c>
      <c r="F1041" t="s">
        <v>12</v>
      </c>
      <c r="G1041">
        <v>1</v>
      </c>
      <c r="H1041">
        <v>116</v>
      </c>
      <c r="I1041">
        <v>0.8</v>
      </c>
      <c r="J1041" s="25">
        <f t="shared" si="51"/>
        <v>0.8</v>
      </c>
      <c r="K1041">
        <v>1357</v>
      </c>
      <c r="L1041">
        <v>0</v>
      </c>
      <c r="M1041">
        <v>0</v>
      </c>
      <c r="N1041" s="25">
        <f t="shared" si="50"/>
        <v>0</v>
      </c>
      <c r="O1041">
        <v>1</v>
      </c>
      <c r="P1041" s="25">
        <f t="shared" si="52"/>
        <v>1</v>
      </c>
      <c r="Q1041">
        <v>29</v>
      </c>
      <c r="R1041" t="s">
        <v>124</v>
      </c>
      <c r="S1041" t="s">
        <v>124</v>
      </c>
      <c r="T1041" t="s">
        <v>124</v>
      </c>
      <c r="U1041" t="s">
        <v>124</v>
      </c>
      <c r="X1041" s="19">
        <f t="shared" si="48"/>
        <v>0.8</v>
      </c>
      <c r="Y1041" s="19">
        <f t="shared" si="49"/>
        <v>0</v>
      </c>
      <c r="Z1041" s="26"/>
    </row>
    <row r="1042" spans="1:26" x14ac:dyDescent="0.35">
      <c r="A1042" t="s">
        <v>122</v>
      </c>
      <c r="B1042" t="s">
        <v>122</v>
      </c>
      <c r="C1042" t="s">
        <v>123</v>
      </c>
      <c r="D1042" t="s">
        <v>101</v>
      </c>
      <c r="E1042" t="s">
        <v>99</v>
      </c>
      <c r="F1042" t="s">
        <v>12</v>
      </c>
      <c r="G1042">
        <v>1</v>
      </c>
      <c r="H1042">
        <v>116</v>
      </c>
      <c r="I1042">
        <v>0.8</v>
      </c>
      <c r="J1042" s="25">
        <f t="shared" si="51"/>
        <v>0.8</v>
      </c>
      <c r="K1042">
        <v>1357</v>
      </c>
      <c r="L1042">
        <v>0</v>
      </c>
      <c r="M1042">
        <v>0</v>
      </c>
      <c r="N1042" s="25">
        <f t="shared" si="50"/>
        <v>0</v>
      </c>
      <c r="O1042">
        <v>1</v>
      </c>
      <c r="P1042" s="25">
        <f t="shared" si="52"/>
        <v>1</v>
      </c>
      <c r="Q1042">
        <v>29</v>
      </c>
      <c r="R1042" t="s">
        <v>124</v>
      </c>
      <c r="S1042" t="s">
        <v>124</v>
      </c>
      <c r="T1042" t="s">
        <v>124</v>
      </c>
      <c r="U1042" t="s">
        <v>124</v>
      </c>
      <c r="X1042" s="19">
        <f t="shared" si="48"/>
        <v>0.8</v>
      </c>
      <c r="Y1042" s="19">
        <f t="shared" si="49"/>
        <v>0</v>
      </c>
      <c r="Z1042" s="26"/>
    </row>
    <row r="1043" spans="1:26" x14ac:dyDescent="0.35">
      <c r="A1043" t="s">
        <v>122</v>
      </c>
      <c r="B1043" t="s">
        <v>122</v>
      </c>
      <c r="C1043" t="s">
        <v>123</v>
      </c>
      <c r="D1043" t="s">
        <v>101</v>
      </c>
      <c r="E1043" t="s">
        <v>99</v>
      </c>
      <c r="F1043" t="s">
        <v>12</v>
      </c>
      <c r="G1043">
        <v>1</v>
      </c>
      <c r="H1043">
        <v>116</v>
      </c>
      <c r="I1043">
        <v>0.8</v>
      </c>
      <c r="J1043" s="25">
        <f t="shared" si="51"/>
        <v>0.8</v>
      </c>
      <c r="K1043">
        <v>1357</v>
      </c>
      <c r="L1043">
        <v>0</v>
      </c>
      <c r="M1043">
        <v>0</v>
      </c>
      <c r="N1043" s="25">
        <f t="shared" si="50"/>
        <v>0</v>
      </c>
      <c r="O1043">
        <v>1</v>
      </c>
      <c r="P1043" s="25">
        <f t="shared" si="52"/>
        <v>1</v>
      </c>
      <c r="Q1043">
        <v>29</v>
      </c>
      <c r="R1043" t="s">
        <v>124</v>
      </c>
      <c r="S1043" t="s">
        <v>124</v>
      </c>
      <c r="T1043" t="s">
        <v>124</v>
      </c>
      <c r="U1043" t="s">
        <v>124</v>
      </c>
      <c r="X1043" s="19">
        <f t="shared" si="48"/>
        <v>0.8</v>
      </c>
      <c r="Y1043" s="19">
        <f t="shared" si="49"/>
        <v>0</v>
      </c>
      <c r="Z1043" s="26"/>
    </row>
    <row r="1044" spans="1:26" x14ac:dyDescent="0.35">
      <c r="A1044" t="s">
        <v>122</v>
      </c>
      <c r="B1044" t="s">
        <v>122</v>
      </c>
      <c r="C1044" t="s">
        <v>123</v>
      </c>
      <c r="D1044" t="s">
        <v>101</v>
      </c>
      <c r="E1044" t="s">
        <v>99</v>
      </c>
      <c r="F1044" t="s">
        <v>12</v>
      </c>
      <c r="G1044">
        <v>1</v>
      </c>
      <c r="H1044">
        <v>116</v>
      </c>
      <c r="I1044">
        <v>0.8</v>
      </c>
      <c r="J1044" s="25">
        <f t="shared" si="51"/>
        <v>0.8</v>
      </c>
      <c r="K1044">
        <v>1357</v>
      </c>
      <c r="L1044">
        <v>0</v>
      </c>
      <c r="M1044">
        <v>0</v>
      </c>
      <c r="N1044" s="25">
        <f t="shared" si="50"/>
        <v>0</v>
      </c>
      <c r="O1044">
        <v>1</v>
      </c>
      <c r="P1044" s="25">
        <f t="shared" si="52"/>
        <v>1</v>
      </c>
      <c r="Q1044">
        <v>29</v>
      </c>
      <c r="R1044" t="s">
        <v>124</v>
      </c>
      <c r="S1044" t="s">
        <v>124</v>
      </c>
      <c r="T1044" t="s">
        <v>124</v>
      </c>
      <c r="U1044" t="s">
        <v>124</v>
      </c>
      <c r="X1044" s="19">
        <f t="shared" si="48"/>
        <v>0.8</v>
      </c>
      <c r="Y1044" s="19">
        <f t="shared" si="49"/>
        <v>0</v>
      </c>
      <c r="Z1044" s="26"/>
    </row>
    <row r="1045" spans="1:26" x14ac:dyDescent="0.35">
      <c r="A1045" t="s">
        <v>122</v>
      </c>
      <c r="B1045" t="s">
        <v>122</v>
      </c>
      <c r="C1045" t="s">
        <v>123</v>
      </c>
      <c r="D1045" t="s">
        <v>101</v>
      </c>
      <c r="E1045" t="s">
        <v>99</v>
      </c>
      <c r="F1045" t="s">
        <v>12</v>
      </c>
      <c r="G1045">
        <v>1</v>
      </c>
      <c r="H1045">
        <v>116</v>
      </c>
      <c r="I1045">
        <v>0.8</v>
      </c>
      <c r="J1045" s="25">
        <f t="shared" si="51"/>
        <v>0.8</v>
      </c>
      <c r="K1045">
        <v>1357</v>
      </c>
      <c r="L1045">
        <v>0</v>
      </c>
      <c r="M1045">
        <v>0</v>
      </c>
      <c r="N1045" s="25">
        <f t="shared" si="50"/>
        <v>0</v>
      </c>
      <c r="O1045">
        <v>1</v>
      </c>
      <c r="P1045" s="25">
        <f t="shared" si="52"/>
        <v>1</v>
      </c>
      <c r="Q1045">
        <v>29</v>
      </c>
      <c r="R1045" t="s">
        <v>124</v>
      </c>
      <c r="S1045" t="s">
        <v>124</v>
      </c>
      <c r="T1045" t="s">
        <v>124</v>
      </c>
      <c r="U1045" t="s">
        <v>124</v>
      </c>
      <c r="X1045" s="19">
        <f t="shared" si="48"/>
        <v>0.8</v>
      </c>
      <c r="Y1045" s="19">
        <f t="shared" si="49"/>
        <v>0</v>
      </c>
      <c r="Z1045" s="26"/>
    </row>
    <row r="1046" spans="1:26" x14ac:dyDescent="0.35">
      <c r="A1046" t="s">
        <v>122</v>
      </c>
      <c r="B1046" t="s">
        <v>122</v>
      </c>
      <c r="C1046" t="s">
        <v>123</v>
      </c>
      <c r="D1046" t="s">
        <v>101</v>
      </c>
      <c r="E1046" t="s">
        <v>99</v>
      </c>
      <c r="F1046" t="s">
        <v>12</v>
      </c>
      <c r="G1046">
        <v>1</v>
      </c>
      <c r="H1046">
        <v>116</v>
      </c>
      <c r="I1046">
        <v>0.8</v>
      </c>
      <c r="J1046" s="25">
        <f t="shared" si="51"/>
        <v>0.8</v>
      </c>
      <c r="K1046">
        <v>1357</v>
      </c>
      <c r="L1046">
        <v>0</v>
      </c>
      <c r="M1046">
        <v>0</v>
      </c>
      <c r="N1046" s="25">
        <f t="shared" si="50"/>
        <v>0</v>
      </c>
      <c r="O1046">
        <v>1</v>
      </c>
      <c r="P1046" s="25">
        <f t="shared" si="52"/>
        <v>1</v>
      </c>
      <c r="Q1046">
        <v>29</v>
      </c>
      <c r="R1046" t="s">
        <v>124</v>
      </c>
      <c r="S1046" t="s">
        <v>124</v>
      </c>
      <c r="T1046" t="s">
        <v>124</v>
      </c>
      <c r="U1046" t="s">
        <v>124</v>
      </c>
      <c r="X1046" s="19">
        <f t="shared" si="48"/>
        <v>0.8</v>
      </c>
      <c r="Y1046" s="19">
        <f t="shared" si="49"/>
        <v>0</v>
      </c>
      <c r="Z1046" s="26"/>
    </row>
    <row r="1047" spans="1:26" x14ac:dyDescent="0.35">
      <c r="A1047" t="s">
        <v>122</v>
      </c>
      <c r="B1047" t="s">
        <v>122</v>
      </c>
      <c r="C1047" t="s">
        <v>123</v>
      </c>
      <c r="D1047" t="s">
        <v>101</v>
      </c>
      <c r="E1047" t="s">
        <v>99</v>
      </c>
      <c r="F1047" t="s">
        <v>12</v>
      </c>
      <c r="G1047">
        <v>1</v>
      </c>
      <c r="H1047">
        <v>116</v>
      </c>
      <c r="I1047">
        <v>0.8</v>
      </c>
      <c r="J1047" s="25">
        <f t="shared" si="51"/>
        <v>0.8</v>
      </c>
      <c r="K1047">
        <v>1357</v>
      </c>
      <c r="L1047">
        <v>0</v>
      </c>
      <c r="M1047">
        <v>0</v>
      </c>
      <c r="N1047" s="25">
        <f t="shared" si="50"/>
        <v>0</v>
      </c>
      <c r="O1047">
        <v>1</v>
      </c>
      <c r="P1047" s="25">
        <f t="shared" si="52"/>
        <v>1</v>
      </c>
      <c r="Q1047">
        <v>29</v>
      </c>
      <c r="R1047" t="s">
        <v>124</v>
      </c>
      <c r="S1047" t="s">
        <v>124</v>
      </c>
      <c r="T1047" t="s">
        <v>124</v>
      </c>
      <c r="U1047" t="s">
        <v>124</v>
      </c>
      <c r="X1047" s="19">
        <f t="shared" si="48"/>
        <v>0.8</v>
      </c>
      <c r="Y1047" s="19">
        <f t="shared" si="49"/>
        <v>0</v>
      </c>
      <c r="Z1047" s="26"/>
    </row>
    <row r="1048" spans="1:26" x14ac:dyDescent="0.35">
      <c r="A1048" t="s">
        <v>122</v>
      </c>
      <c r="B1048" t="s">
        <v>122</v>
      </c>
      <c r="C1048" t="s">
        <v>123</v>
      </c>
      <c r="D1048" t="s">
        <v>101</v>
      </c>
      <c r="E1048" t="s">
        <v>99</v>
      </c>
      <c r="F1048" t="s">
        <v>12</v>
      </c>
      <c r="G1048">
        <v>1</v>
      </c>
      <c r="H1048">
        <v>116</v>
      </c>
      <c r="I1048">
        <v>0.8</v>
      </c>
      <c r="J1048" s="25">
        <f t="shared" si="51"/>
        <v>0.8</v>
      </c>
      <c r="K1048">
        <v>1357</v>
      </c>
      <c r="L1048">
        <v>0</v>
      </c>
      <c r="M1048">
        <v>0</v>
      </c>
      <c r="N1048" s="25">
        <f t="shared" si="50"/>
        <v>0</v>
      </c>
      <c r="O1048">
        <v>1</v>
      </c>
      <c r="P1048" s="25">
        <f t="shared" si="52"/>
        <v>1</v>
      </c>
      <c r="Q1048">
        <v>29</v>
      </c>
      <c r="R1048" t="s">
        <v>124</v>
      </c>
      <c r="S1048" t="s">
        <v>124</v>
      </c>
      <c r="T1048" t="s">
        <v>124</v>
      </c>
      <c r="U1048" t="s">
        <v>124</v>
      </c>
      <c r="X1048" s="19">
        <f t="shared" si="48"/>
        <v>0.8</v>
      </c>
      <c r="Y1048" s="19">
        <f t="shared" si="49"/>
        <v>0</v>
      </c>
      <c r="Z1048" s="26"/>
    </row>
    <row r="1049" spans="1:26" x14ac:dyDescent="0.35">
      <c r="A1049" t="s">
        <v>122</v>
      </c>
      <c r="B1049" t="s">
        <v>122</v>
      </c>
      <c r="C1049" t="s">
        <v>123</v>
      </c>
      <c r="D1049" t="s">
        <v>101</v>
      </c>
      <c r="E1049" t="s">
        <v>99</v>
      </c>
      <c r="F1049" t="s">
        <v>12</v>
      </c>
      <c r="G1049">
        <v>1</v>
      </c>
      <c r="H1049">
        <v>116</v>
      </c>
      <c r="I1049">
        <v>0.8</v>
      </c>
      <c r="J1049" s="25">
        <f t="shared" si="51"/>
        <v>0.8</v>
      </c>
      <c r="K1049">
        <v>1357</v>
      </c>
      <c r="L1049">
        <v>0</v>
      </c>
      <c r="M1049">
        <v>0</v>
      </c>
      <c r="N1049" s="25">
        <f t="shared" si="50"/>
        <v>0</v>
      </c>
      <c r="O1049">
        <v>1</v>
      </c>
      <c r="P1049" s="25">
        <f t="shared" si="52"/>
        <v>1</v>
      </c>
      <c r="Q1049">
        <v>29</v>
      </c>
      <c r="R1049" t="s">
        <v>124</v>
      </c>
      <c r="S1049" t="s">
        <v>124</v>
      </c>
      <c r="T1049" t="s">
        <v>124</v>
      </c>
      <c r="U1049" t="s">
        <v>124</v>
      </c>
      <c r="X1049" s="19">
        <f t="shared" si="48"/>
        <v>0.8</v>
      </c>
      <c r="Y1049" s="19">
        <f t="shared" si="49"/>
        <v>0</v>
      </c>
      <c r="Z1049" s="26"/>
    </row>
    <row r="1050" spans="1:26" x14ac:dyDescent="0.35">
      <c r="A1050" t="s">
        <v>122</v>
      </c>
      <c r="B1050" t="s">
        <v>122</v>
      </c>
      <c r="C1050" t="s">
        <v>123</v>
      </c>
      <c r="D1050" t="s">
        <v>101</v>
      </c>
      <c r="E1050" t="s">
        <v>99</v>
      </c>
      <c r="F1050" t="s">
        <v>12</v>
      </c>
      <c r="G1050">
        <v>1</v>
      </c>
      <c r="H1050">
        <v>116</v>
      </c>
      <c r="I1050">
        <v>0.8</v>
      </c>
      <c r="J1050" s="25">
        <f t="shared" si="51"/>
        <v>0.8</v>
      </c>
      <c r="K1050">
        <v>1357</v>
      </c>
      <c r="L1050">
        <v>0</v>
      </c>
      <c r="M1050">
        <v>0</v>
      </c>
      <c r="N1050" s="25">
        <f t="shared" si="50"/>
        <v>0</v>
      </c>
      <c r="O1050">
        <v>1</v>
      </c>
      <c r="P1050" s="25">
        <f t="shared" si="52"/>
        <v>1</v>
      </c>
      <c r="Q1050">
        <v>29</v>
      </c>
      <c r="R1050" t="s">
        <v>124</v>
      </c>
      <c r="S1050" t="s">
        <v>124</v>
      </c>
      <c r="T1050" t="s">
        <v>124</v>
      </c>
      <c r="U1050" t="s">
        <v>124</v>
      </c>
      <c r="X1050" s="19">
        <f t="shared" si="48"/>
        <v>0.8</v>
      </c>
      <c r="Y1050" s="19">
        <f t="shared" si="49"/>
        <v>0</v>
      </c>
      <c r="Z1050" s="26"/>
    </row>
    <row r="1051" spans="1:26" x14ac:dyDescent="0.35">
      <c r="A1051" t="s">
        <v>122</v>
      </c>
      <c r="B1051" t="s">
        <v>122</v>
      </c>
      <c r="C1051" t="s">
        <v>123</v>
      </c>
      <c r="D1051" t="s">
        <v>101</v>
      </c>
      <c r="E1051" t="s">
        <v>99</v>
      </c>
      <c r="F1051" t="s">
        <v>12</v>
      </c>
      <c r="G1051">
        <v>1</v>
      </c>
      <c r="H1051">
        <v>116</v>
      </c>
      <c r="I1051">
        <v>0.8</v>
      </c>
      <c r="J1051" s="25">
        <f t="shared" si="51"/>
        <v>0.8</v>
      </c>
      <c r="K1051">
        <v>1357</v>
      </c>
      <c r="L1051">
        <v>0</v>
      </c>
      <c r="M1051">
        <v>0</v>
      </c>
      <c r="N1051" s="25">
        <f t="shared" si="50"/>
        <v>0</v>
      </c>
      <c r="O1051">
        <v>1</v>
      </c>
      <c r="P1051" s="25">
        <f t="shared" si="52"/>
        <v>1</v>
      </c>
      <c r="Q1051">
        <v>29</v>
      </c>
      <c r="R1051" t="s">
        <v>124</v>
      </c>
      <c r="S1051" t="s">
        <v>124</v>
      </c>
      <c r="T1051" t="s">
        <v>124</v>
      </c>
      <c r="U1051" t="s">
        <v>124</v>
      </c>
      <c r="X1051" s="19">
        <f t="shared" si="48"/>
        <v>0.8</v>
      </c>
      <c r="Y1051" s="19">
        <f t="shared" si="49"/>
        <v>0</v>
      </c>
      <c r="Z1051" s="26"/>
    </row>
    <row r="1052" spans="1:26" x14ac:dyDescent="0.35">
      <c r="A1052" t="s">
        <v>122</v>
      </c>
      <c r="B1052" t="s">
        <v>122</v>
      </c>
      <c r="C1052" t="s">
        <v>123</v>
      </c>
      <c r="D1052" t="s">
        <v>101</v>
      </c>
      <c r="E1052" t="s">
        <v>99</v>
      </c>
      <c r="F1052" t="s">
        <v>12</v>
      </c>
      <c r="G1052">
        <v>1</v>
      </c>
      <c r="H1052">
        <v>116</v>
      </c>
      <c r="I1052">
        <v>0.8</v>
      </c>
      <c r="J1052" s="25">
        <f t="shared" si="51"/>
        <v>0.8</v>
      </c>
      <c r="K1052">
        <v>1357</v>
      </c>
      <c r="L1052">
        <v>0</v>
      </c>
      <c r="M1052">
        <v>0</v>
      </c>
      <c r="N1052" s="25">
        <f t="shared" si="50"/>
        <v>0</v>
      </c>
      <c r="O1052">
        <v>1</v>
      </c>
      <c r="P1052" s="25">
        <f t="shared" si="52"/>
        <v>1</v>
      </c>
      <c r="Q1052">
        <v>29</v>
      </c>
      <c r="R1052" t="s">
        <v>124</v>
      </c>
      <c r="S1052" t="s">
        <v>124</v>
      </c>
      <c r="T1052" t="s">
        <v>124</v>
      </c>
      <c r="U1052" t="s">
        <v>124</v>
      </c>
      <c r="X1052" s="19">
        <f t="shared" si="48"/>
        <v>0.8</v>
      </c>
      <c r="Y1052" s="19">
        <f t="shared" si="49"/>
        <v>0</v>
      </c>
      <c r="Z1052" s="26"/>
    </row>
    <row r="1053" spans="1:26" x14ac:dyDescent="0.35">
      <c r="A1053" t="s">
        <v>122</v>
      </c>
      <c r="B1053" t="s">
        <v>122</v>
      </c>
      <c r="C1053" t="s">
        <v>123</v>
      </c>
      <c r="D1053" t="s">
        <v>101</v>
      </c>
      <c r="E1053" t="s">
        <v>99</v>
      </c>
      <c r="F1053" t="s">
        <v>12</v>
      </c>
      <c r="G1053">
        <v>1</v>
      </c>
      <c r="H1053">
        <v>116</v>
      </c>
      <c r="I1053">
        <v>0.8</v>
      </c>
      <c r="J1053" s="25">
        <f t="shared" si="51"/>
        <v>0.8</v>
      </c>
      <c r="K1053">
        <v>1357</v>
      </c>
      <c r="L1053">
        <v>0</v>
      </c>
      <c r="M1053">
        <v>0</v>
      </c>
      <c r="N1053" s="25">
        <f t="shared" si="50"/>
        <v>0</v>
      </c>
      <c r="O1053">
        <v>1</v>
      </c>
      <c r="P1053" s="25">
        <f t="shared" si="52"/>
        <v>1</v>
      </c>
      <c r="Q1053">
        <v>29</v>
      </c>
      <c r="R1053" t="s">
        <v>124</v>
      </c>
      <c r="S1053" t="s">
        <v>124</v>
      </c>
      <c r="T1053" t="s">
        <v>124</v>
      </c>
      <c r="U1053" t="s">
        <v>124</v>
      </c>
      <c r="X1053" s="19">
        <f t="shared" si="48"/>
        <v>0.8</v>
      </c>
      <c r="Y1053" s="19">
        <f t="shared" si="49"/>
        <v>0</v>
      </c>
      <c r="Z1053" s="26"/>
    </row>
    <row r="1054" spans="1:26" x14ac:dyDescent="0.35">
      <c r="A1054" t="s">
        <v>122</v>
      </c>
      <c r="B1054" t="s">
        <v>122</v>
      </c>
      <c r="C1054" t="s">
        <v>123</v>
      </c>
      <c r="D1054" t="s">
        <v>101</v>
      </c>
      <c r="E1054" t="s">
        <v>99</v>
      </c>
      <c r="F1054" t="s">
        <v>12</v>
      </c>
      <c r="G1054">
        <v>1</v>
      </c>
      <c r="H1054">
        <v>116</v>
      </c>
      <c r="I1054">
        <v>0.8</v>
      </c>
      <c r="J1054" s="25">
        <f t="shared" si="51"/>
        <v>0.8</v>
      </c>
      <c r="K1054">
        <v>1357</v>
      </c>
      <c r="L1054">
        <v>0</v>
      </c>
      <c r="M1054">
        <v>0</v>
      </c>
      <c r="N1054" s="25">
        <f t="shared" si="50"/>
        <v>0</v>
      </c>
      <c r="O1054">
        <v>1</v>
      </c>
      <c r="P1054" s="25">
        <f t="shared" si="52"/>
        <v>1</v>
      </c>
      <c r="Q1054">
        <v>29</v>
      </c>
      <c r="R1054" t="s">
        <v>124</v>
      </c>
      <c r="S1054" t="s">
        <v>124</v>
      </c>
      <c r="T1054" t="s">
        <v>124</v>
      </c>
      <c r="U1054" t="s">
        <v>124</v>
      </c>
      <c r="X1054" s="19">
        <f t="shared" si="48"/>
        <v>0.8</v>
      </c>
      <c r="Y1054" s="19">
        <f t="shared" si="49"/>
        <v>0</v>
      </c>
      <c r="Z1054" s="26"/>
    </row>
    <row r="1055" spans="1:26" x14ac:dyDescent="0.35">
      <c r="A1055" t="s">
        <v>122</v>
      </c>
      <c r="B1055" t="s">
        <v>122</v>
      </c>
      <c r="C1055" t="s">
        <v>123</v>
      </c>
      <c r="D1055" t="s">
        <v>101</v>
      </c>
      <c r="E1055" t="s">
        <v>99</v>
      </c>
      <c r="F1055" t="s">
        <v>12</v>
      </c>
      <c r="G1055">
        <v>1</v>
      </c>
      <c r="H1055">
        <v>116</v>
      </c>
      <c r="I1055">
        <v>0.8</v>
      </c>
      <c r="J1055" s="25">
        <f t="shared" si="51"/>
        <v>0.8</v>
      </c>
      <c r="K1055">
        <v>1357</v>
      </c>
      <c r="L1055">
        <v>0</v>
      </c>
      <c r="M1055">
        <v>0</v>
      </c>
      <c r="N1055" s="25">
        <f t="shared" si="50"/>
        <v>0</v>
      </c>
      <c r="O1055">
        <v>1</v>
      </c>
      <c r="P1055" s="25">
        <f t="shared" si="52"/>
        <v>1</v>
      </c>
      <c r="Q1055">
        <v>29</v>
      </c>
      <c r="R1055" t="s">
        <v>124</v>
      </c>
      <c r="S1055" t="s">
        <v>124</v>
      </c>
      <c r="T1055" t="s">
        <v>124</v>
      </c>
      <c r="U1055" t="s">
        <v>124</v>
      </c>
      <c r="X1055" s="19">
        <f t="shared" si="48"/>
        <v>0.8</v>
      </c>
      <c r="Y1055" s="19">
        <f t="shared" si="49"/>
        <v>0</v>
      </c>
      <c r="Z1055" s="26"/>
    </row>
    <row r="1056" spans="1:26" x14ac:dyDescent="0.35">
      <c r="A1056" t="s">
        <v>122</v>
      </c>
      <c r="B1056" t="s">
        <v>122</v>
      </c>
      <c r="C1056" t="s">
        <v>123</v>
      </c>
      <c r="D1056" t="s">
        <v>101</v>
      </c>
      <c r="E1056" t="s">
        <v>99</v>
      </c>
      <c r="F1056" t="s">
        <v>12</v>
      </c>
      <c r="G1056">
        <v>1</v>
      </c>
      <c r="H1056">
        <v>116</v>
      </c>
      <c r="I1056">
        <v>0.8</v>
      </c>
      <c r="J1056" s="25">
        <f t="shared" si="51"/>
        <v>0.8</v>
      </c>
      <c r="K1056">
        <v>1357</v>
      </c>
      <c r="L1056">
        <v>0</v>
      </c>
      <c r="M1056">
        <v>0</v>
      </c>
      <c r="N1056" s="25">
        <f t="shared" si="50"/>
        <v>0</v>
      </c>
      <c r="O1056">
        <v>1</v>
      </c>
      <c r="P1056" s="25">
        <f t="shared" si="52"/>
        <v>1</v>
      </c>
      <c r="Q1056">
        <v>29</v>
      </c>
      <c r="R1056" t="s">
        <v>124</v>
      </c>
      <c r="S1056" t="s">
        <v>124</v>
      </c>
      <c r="T1056" t="s">
        <v>124</v>
      </c>
      <c r="U1056" t="s">
        <v>124</v>
      </c>
      <c r="X1056" s="19">
        <f t="shared" si="48"/>
        <v>0.8</v>
      </c>
      <c r="Y1056" s="19">
        <f t="shared" si="49"/>
        <v>0</v>
      </c>
      <c r="Z1056" s="26"/>
    </row>
    <row r="1057" spans="1:26" x14ac:dyDescent="0.35">
      <c r="A1057" t="s">
        <v>122</v>
      </c>
      <c r="B1057" t="s">
        <v>122</v>
      </c>
      <c r="C1057" t="s">
        <v>123</v>
      </c>
      <c r="D1057" t="s">
        <v>101</v>
      </c>
      <c r="E1057" t="s">
        <v>99</v>
      </c>
      <c r="F1057" t="s">
        <v>12</v>
      </c>
      <c r="G1057">
        <v>1</v>
      </c>
      <c r="H1057">
        <v>116</v>
      </c>
      <c r="I1057">
        <v>0.8</v>
      </c>
      <c r="J1057" s="25">
        <f t="shared" si="51"/>
        <v>0.8</v>
      </c>
      <c r="K1057">
        <v>1357</v>
      </c>
      <c r="L1057">
        <v>0</v>
      </c>
      <c r="M1057">
        <v>0</v>
      </c>
      <c r="N1057" s="25">
        <f t="shared" si="50"/>
        <v>0</v>
      </c>
      <c r="O1057">
        <v>1</v>
      </c>
      <c r="P1057" s="25">
        <f t="shared" si="52"/>
        <v>1</v>
      </c>
      <c r="Q1057">
        <v>29</v>
      </c>
      <c r="R1057" t="s">
        <v>124</v>
      </c>
      <c r="S1057" t="s">
        <v>124</v>
      </c>
      <c r="T1057" t="s">
        <v>124</v>
      </c>
      <c r="U1057" t="s">
        <v>124</v>
      </c>
      <c r="X1057" s="19">
        <f t="shared" si="48"/>
        <v>0.8</v>
      </c>
      <c r="Y1057" s="19">
        <f t="shared" si="49"/>
        <v>0</v>
      </c>
      <c r="Z1057" s="26"/>
    </row>
    <row r="1058" spans="1:26" x14ac:dyDescent="0.35">
      <c r="A1058" t="s">
        <v>122</v>
      </c>
      <c r="B1058" t="s">
        <v>122</v>
      </c>
      <c r="C1058" t="s">
        <v>123</v>
      </c>
      <c r="D1058" t="s">
        <v>101</v>
      </c>
      <c r="E1058" t="s">
        <v>99</v>
      </c>
      <c r="F1058" t="s">
        <v>12</v>
      </c>
      <c r="G1058">
        <v>1</v>
      </c>
      <c r="H1058">
        <v>116</v>
      </c>
      <c r="I1058">
        <v>0.8</v>
      </c>
      <c r="J1058" s="25">
        <f t="shared" si="51"/>
        <v>0.8</v>
      </c>
      <c r="K1058">
        <v>1357</v>
      </c>
      <c r="L1058">
        <v>0</v>
      </c>
      <c r="M1058">
        <v>0</v>
      </c>
      <c r="N1058" s="25">
        <f t="shared" si="50"/>
        <v>0</v>
      </c>
      <c r="O1058">
        <v>1</v>
      </c>
      <c r="P1058" s="25">
        <f t="shared" si="52"/>
        <v>1</v>
      </c>
      <c r="Q1058">
        <v>29</v>
      </c>
      <c r="R1058" t="s">
        <v>124</v>
      </c>
      <c r="S1058" t="s">
        <v>124</v>
      </c>
      <c r="T1058" t="s">
        <v>124</v>
      </c>
      <c r="U1058" t="s">
        <v>124</v>
      </c>
      <c r="X1058" s="19">
        <f t="shared" si="48"/>
        <v>0.8</v>
      </c>
      <c r="Y1058" s="19">
        <f t="shared" si="49"/>
        <v>0</v>
      </c>
      <c r="Z1058" s="26"/>
    </row>
    <row r="1059" spans="1:26" x14ac:dyDescent="0.35">
      <c r="A1059" t="s">
        <v>122</v>
      </c>
      <c r="B1059" t="s">
        <v>122</v>
      </c>
      <c r="C1059" t="s">
        <v>123</v>
      </c>
      <c r="D1059" t="s">
        <v>101</v>
      </c>
      <c r="E1059" t="s">
        <v>99</v>
      </c>
      <c r="F1059" t="s">
        <v>12</v>
      </c>
      <c r="G1059">
        <v>1</v>
      </c>
      <c r="H1059">
        <v>116</v>
      </c>
      <c r="I1059">
        <v>0.8</v>
      </c>
      <c r="J1059" s="25">
        <f t="shared" si="51"/>
        <v>0.8</v>
      </c>
      <c r="K1059">
        <v>1357</v>
      </c>
      <c r="L1059">
        <v>0</v>
      </c>
      <c r="M1059">
        <v>0</v>
      </c>
      <c r="N1059" s="25">
        <f t="shared" si="50"/>
        <v>0</v>
      </c>
      <c r="O1059">
        <v>1</v>
      </c>
      <c r="P1059" s="25">
        <f t="shared" si="52"/>
        <v>1</v>
      </c>
      <c r="Q1059">
        <v>29</v>
      </c>
      <c r="R1059" t="s">
        <v>124</v>
      </c>
      <c r="S1059" t="s">
        <v>124</v>
      </c>
      <c r="T1059" t="s">
        <v>124</v>
      </c>
      <c r="U1059" t="s">
        <v>124</v>
      </c>
      <c r="X1059" s="19">
        <f t="shared" si="48"/>
        <v>0.8</v>
      </c>
      <c r="Y1059" s="19">
        <f t="shared" si="49"/>
        <v>0</v>
      </c>
      <c r="Z1059" s="26"/>
    </row>
    <row r="1060" spans="1:26" x14ac:dyDescent="0.35">
      <c r="A1060" t="s">
        <v>122</v>
      </c>
      <c r="B1060" t="s">
        <v>122</v>
      </c>
      <c r="C1060" t="s">
        <v>123</v>
      </c>
      <c r="D1060" t="s">
        <v>101</v>
      </c>
      <c r="E1060" t="s">
        <v>99</v>
      </c>
      <c r="F1060" t="s">
        <v>12</v>
      </c>
      <c r="G1060">
        <v>1</v>
      </c>
      <c r="H1060">
        <v>116</v>
      </c>
      <c r="I1060">
        <v>0.8</v>
      </c>
      <c r="J1060" s="25">
        <f t="shared" si="51"/>
        <v>0.8</v>
      </c>
      <c r="K1060">
        <v>1357</v>
      </c>
      <c r="L1060">
        <v>0</v>
      </c>
      <c r="M1060">
        <v>0</v>
      </c>
      <c r="N1060" s="25">
        <f t="shared" si="50"/>
        <v>0</v>
      </c>
      <c r="O1060">
        <v>1</v>
      </c>
      <c r="P1060" s="25">
        <f t="shared" si="52"/>
        <v>1</v>
      </c>
      <c r="Q1060">
        <v>29</v>
      </c>
      <c r="R1060" t="s">
        <v>124</v>
      </c>
      <c r="S1060" t="s">
        <v>124</v>
      </c>
      <c r="T1060" t="s">
        <v>124</v>
      </c>
      <c r="U1060" t="s">
        <v>124</v>
      </c>
      <c r="X1060" s="19">
        <f t="shared" si="48"/>
        <v>0.8</v>
      </c>
      <c r="Y1060" s="19">
        <f t="shared" si="49"/>
        <v>0</v>
      </c>
      <c r="Z1060" s="26"/>
    </row>
    <row r="1061" spans="1:26" x14ac:dyDescent="0.35">
      <c r="A1061" t="s">
        <v>122</v>
      </c>
      <c r="B1061" t="s">
        <v>122</v>
      </c>
      <c r="C1061" t="s">
        <v>123</v>
      </c>
      <c r="D1061" t="s">
        <v>101</v>
      </c>
      <c r="E1061" t="s">
        <v>99</v>
      </c>
      <c r="F1061" t="s">
        <v>12</v>
      </c>
      <c r="G1061">
        <v>1</v>
      </c>
      <c r="H1061">
        <v>116</v>
      </c>
      <c r="I1061">
        <v>0.8</v>
      </c>
      <c r="J1061" s="25">
        <f t="shared" si="51"/>
        <v>0.8</v>
      </c>
      <c r="K1061">
        <v>1357</v>
      </c>
      <c r="L1061">
        <v>0</v>
      </c>
      <c r="M1061">
        <v>0</v>
      </c>
      <c r="N1061" s="25">
        <f t="shared" si="50"/>
        <v>0</v>
      </c>
      <c r="O1061">
        <v>1</v>
      </c>
      <c r="P1061" s="25">
        <f t="shared" si="52"/>
        <v>1</v>
      </c>
      <c r="Q1061">
        <v>29</v>
      </c>
      <c r="R1061" t="s">
        <v>124</v>
      </c>
      <c r="S1061" t="s">
        <v>124</v>
      </c>
      <c r="T1061" t="s">
        <v>124</v>
      </c>
      <c r="U1061" t="s">
        <v>124</v>
      </c>
      <c r="X1061" s="19">
        <f t="shared" si="48"/>
        <v>0.8</v>
      </c>
      <c r="Y1061" s="19">
        <f t="shared" si="49"/>
        <v>0</v>
      </c>
      <c r="Z1061" s="26"/>
    </row>
    <row r="1062" spans="1:26" x14ac:dyDescent="0.35">
      <c r="A1062" t="s">
        <v>122</v>
      </c>
      <c r="B1062" t="s">
        <v>122</v>
      </c>
      <c r="C1062" t="s">
        <v>123</v>
      </c>
      <c r="D1062" t="s">
        <v>101</v>
      </c>
      <c r="E1062" t="s">
        <v>99</v>
      </c>
      <c r="F1062" t="s">
        <v>12</v>
      </c>
      <c r="G1062">
        <v>1</v>
      </c>
      <c r="H1062">
        <v>116</v>
      </c>
      <c r="I1062">
        <v>0.8</v>
      </c>
      <c r="J1062" s="25">
        <f t="shared" si="51"/>
        <v>0.8</v>
      </c>
      <c r="K1062">
        <v>1357</v>
      </c>
      <c r="L1062">
        <v>0</v>
      </c>
      <c r="M1062">
        <v>0</v>
      </c>
      <c r="N1062" s="25">
        <f t="shared" si="50"/>
        <v>0</v>
      </c>
      <c r="O1062">
        <v>1</v>
      </c>
      <c r="P1062" s="25">
        <f t="shared" si="52"/>
        <v>1</v>
      </c>
      <c r="Q1062">
        <v>29</v>
      </c>
      <c r="R1062" t="s">
        <v>124</v>
      </c>
      <c r="S1062" t="s">
        <v>124</v>
      </c>
      <c r="T1062" t="s">
        <v>124</v>
      </c>
      <c r="U1062" t="s">
        <v>124</v>
      </c>
      <c r="X1062" s="19">
        <f t="shared" si="48"/>
        <v>0.8</v>
      </c>
      <c r="Y1062" s="19">
        <f t="shared" si="49"/>
        <v>0</v>
      </c>
      <c r="Z1062" s="26"/>
    </row>
    <row r="1063" spans="1:26" x14ac:dyDescent="0.35">
      <c r="A1063" t="s">
        <v>122</v>
      </c>
      <c r="B1063" t="s">
        <v>122</v>
      </c>
      <c r="C1063" t="s">
        <v>123</v>
      </c>
      <c r="D1063" t="s">
        <v>101</v>
      </c>
      <c r="E1063" t="s">
        <v>99</v>
      </c>
      <c r="F1063" t="s">
        <v>12</v>
      </c>
      <c r="G1063">
        <v>1</v>
      </c>
      <c r="H1063">
        <v>116</v>
      </c>
      <c r="I1063">
        <v>0.8</v>
      </c>
      <c r="J1063" s="25">
        <f t="shared" si="51"/>
        <v>0.8</v>
      </c>
      <c r="K1063">
        <v>1357</v>
      </c>
      <c r="L1063">
        <v>0</v>
      </c>
      <c r="M1063">
        <v>0</v>
      </c>
      <c r="N1063" s="25">
        <f t="shared" si="50"/>
        <v>0</v>
      </c>
      <c r="O1063">
        <v>1</v>
      </c>
      <c r="P1063" s="25">
        <f t="shared" si="52"/>
        <v>1</v>
      </c>
      <c r="Q1063">
        <v>29</v>
      </c>
      <c r="R1063" t="s">
        <v>124</v>
      </c>
      <c r="S1063" t="s">
        <v>124</v>
      </c>
      <c r="T1063" t="s">
        <v>124</v>
      </c>
      <c r="U1063" t="s">
        <v>124</v>
      </c>
      <c r="X1063" s="19">
        <f t="shared" si="48"/>
        <v>0.8</v>
      </c>
      <c r="Y1063" s="19">
        <f t="shared" si="49"/>
        <v>0</v>
      </c>
      <c r="Z1063" s="26"/>
    </row>
    <row r="1064" spans="1:26" x14ac:dyDescent="0.35">
      <c r="A1064" t="s">
        <v>122</v>
      </c>
      <c r="B1064" t="s">
        <v>122</v>
      </c>
      <c r="C1064" t="s">
        <v>123</v>
      </c>
      <c r="D1064" t="s">
        <v>101</v>
      </c>
      <c r="E1064" t="s">
        <v>99</v>
      </c>
      <c r="F1064" t="s">
        <v>12</v>
      </c>
      <c r="G1064">
        <v>1</v>
      </c>
      <c r="H1064">
        <v>116</v>
      </c>
      <c r="I1064">
        <v>0.8</v>
      </c>
      <c r="J1064" s="25">
        <f t="shared" si="51"/>
        <v>0.8</v>
      </c>
      <c r="K1064">
        <v>1357</v>
      </c>
      <c r="L1064">
        <v>0</v>
      </c>
      <c r="M1064">
        <v>0</v>
      </c>
      <c r="N1064" s="25">
        <f t="shared" si="50"/>
        <v>0</v>
      </c>
      <c r="O1064">
        <v>1</v>
      </c>
      <c r="P1064" s="25">
        <f t="shared" si="52"/>
        <v>1</v>
      </c>
      <c r="Q1064">
        <v>29</v>
      </c>
      <c r="R1064" t="s">
        <v>124</v>
      </c>
      <c r="S1064" t="s">
        <v>124</v>
      </c>
      <c r="T1064" t="s">
        <v>124</v>
      </c>
      <c r="U1064" t="s">
        <v>124</v>
      </c>
      <c r="X1064" s="19">
        <f t="shared" si="48"/>
        <v>0.8</v>
      </c>
      <c r="Y1064" s="19">
        <f t="shared" si="49"/>
        <v>0</v>
      </c>
      <c r="Z1064" s="26"/>
    </row>
    <row r="1065" spans="1:26" x14ac:dyDescent="0.35">
      <c r="A1065" t="s">
        <v>122</v>
      </c>
      <c r="B1065" t="s">
        <v>122</v>
      </c>
      <c r="C1065" t="s">
        <v>123</v>
      </c>
      <c r="D1065" t="s">
        <v>101</v>
      </c>
      <c r="E1065" t="s">
        <v>99</v>
      </c>
      <c r="F1065" t="s">
        <v>12</v>
      </c>
      <c r="G1065">
        <v>1</v>
      </c>
      <c r="H1065">
        <v>116</v>
      </c>
      <c r="I1065">
        <v>0.8</v>
      </c>
      <c r="J1065" s="25">
        <f t="shared" si="51"/>
        <v>0.8</v>
      </c>
      <c r="K1065">
        <v>1357</v>
      </c>
      <c r="L1065">
        <v>0</v>
      </c>
      <c r="M1065">
        <v>0</v>
      </c>
      <c r="N1065" s="25">
        <f t="shared" si="50"/>
        <v>0</v>
      </c>
      <c r="O1065">
        <v>1</v>
      </c>
      <c r="P1065" s="25">
        <f t="shared" si="52"/>
        <v>1</v>
      </c>
      <c r="Q1065">
        <v>29</v>
      </c>
      <c r="R1065" t="s">
        <v>124</v>
      </c>
      <c r="S1065" t="s">
        <v>124</v>
      </c>
      <c r="T1065" t="s">
        <v>124</v>
      </c>
      <c r="U1065" t="s">
        <v>124</v>
      </c>
      <c r="X1065" s="19">
        <f t="shared" si="48"/>
        <v>0.8</v>
      </c>
      <c r="Y1065" s="19">
        <f t="shared" si="49"/>
        <v>0</v>
      </c>
      <c r="Z1065" s="26"/>
    </row>
    <row r="1066" spans="1:26" x14ac:dyDescent="0.35">
      <c r="A1066" t="s">
        <v>122</v>
      </c>
      <c r="B1066" t="s">
        <v>122</v>
      </c>
      <c r="C1066" t="s">
        <v>123</v>
      </c>
      <c r="D1066" t="s">
        <v>101</v>
      </c>
      <c r="E1066" t="s">
        <v>99</v>
      </c>
      <c r="F1066" t="s">
        <v>12</v>
      </c>
      <c r="G1066">
        <v>1</v>
      </c>
      <c r="H1066">
        <v>116</v>
      </c>
      <c r="I1066">
        <v>0.8</v>
      </c>
      <c r="J1066" s="25">
        <f t="shared" si="51"/>
        <v>0.8</v>
      </c>
      <c r="K1066">
        <v>1357</v>
      </c>
      <c r="L1066">
        <v>0</v>
      </c>
      <c r="M1066">
        <v>0</v>
      </c>
      <c r="N1066" s="25">
        <f t="shared" si="50"/>
        <v>0</v>
      </c>
      <c r="O1066">
        <v>1</v>
      </c>
      <c r="P1066" s="25">
        <f t="shared" si="52"/>
        <v>1</v>
      </c>
      <c r="Q1066">
        <v>29</v>
      </c>
      <c r="R1066" t="s">
        <v>124</v>
      </c>
      <c r="S1066" t="s">
        <v>124</v>
      </c>
      <c r="T1066" t="s">
        <v>124</v>
      </c>
      <c r="U1066" t="s">
        <v>124</v>
      </c>
      <c r="X1066" s="19">
        <f t="shared" si="48"/>
        <v>0.8</v>
      </c>
      <c r="Y1066" s="19">
        <f t="shared" si="49"/>
        <v>0</v>
      </c>
      <c r="Z1066" s="26"/>
    </row>
    <row r="1067" spans="1:26" x14ac:dyDescent="0.35">
      <c r="A1067" t="s">
        <v>122</v>
      </c>
      <c r="B1067" t="s">
        <v>122</v>
      </c>
      <c r="C1067" t="s">
        <v>123</v>
      </c>
      <c r="D1067" t="s">
        <v>101</v>
      </c>
      <c r="E1067" t="s">
        <v>99</v>
      </c>
      <c r="F1067" t="s">
        <v>12</v>
      </c>
      <c r="G1067">
        <v>1</v>
      </c>
      <c r="H1067">
        <v>116</v>
      </c>
      <c r="I1067">
        <v>0.8</v>
      </c>
      <c r="J1067" s="25">
        <f t="shared" si="51"/>
        <v>0.8</v>
      </c>
      <c r="K1067">
        <v>1357</v>
      </c>
      <c r="L1067">
        <v>0</v>
      </c>
      <c r="M1067">
        <v>0</v>
      </c>
      <c r="N1067" s="25">
        <f t="shared" si="50"/>
        <v>0</v>
      </c>
      <c r="O1067">
        <v>1</v>
      </c>
      <c r="P1067" s="25">
        <f t="shared" si="52"/>
        <v>1</v>
      </c>
      <c r="Q1067">
        <v>29</v>
      </c>
      <c r="R1067" t="s">
        <v>124</v>
      </c>
      <c r="S1067" t="s">
        <v>124</v>
      </c>
      <c r="T1067" t="s">
        <v>124</v>
      </c>
      <c r="U1067" t="s">
        <v>124</v>
      </c>
      <c r="X1067" s="19">
        <f t="shared" si="48"/>
        <v>0.8</v>
      </c>
      <c r="Y1067" s="19">
        <f t="shared" si="49"/>
        <v>0</v>
      </c>
      <c r="Z1067" s="26"/>
    </row>
    <row r="1068" spans="1:26" x14ac:dyDescent="0.35">
      <c r="A1068" t="s">
        <v>122</v>
      </c>
      <c r="B1068" t="s">
        <v>122</v>
      </c>
      <c r="C1068" t="s">
        <v>123</v>
      </c>
      <c r="D1068" t="s">
        <v>101</v>
      </c>
      <c r="E1068" t="s">
        <v>99</v>
      </c>
      <c r="F1068" t="s">
        <v>12</v>
      </c>
      <c r="G1068">
        <v>1</v>
      </c>
      <c r="H1068">
        <v>116</v>
      </c>
      <c r="I1068">
        <v>0.8</v>
      </c>
      <c r="J1068" s="25">
        <f t="shared" si="51"/>
        <v>0.8</v>
      </c>
      <c r="K1068">
        <v>1357</v>
      </c>
      <c r="L1068">
        <v>0</v>
      </c>
      <c r="M1068">
        <v>0</v>
      </c>
      <c r="N1068" s="25">
        <f t="shared" si="50"/>
        <v>0</v>
      </c>
      <c r="O1068">
        <v>1</v>
      </c>
      <c r="P1068" s="25">
        <f t="shared" si="52"/>
        <v>1</v>
      </c>
      <c r="Q1068">
        <v>29</v>
      </c>
      <c r="R1068" t="s">
        <v>124</v>
      </c>
      <c r="S1068" t="s">
        <v>124</v>
      </c>
      <c r="T1068" t="s">
        <v>124</v>
      </c>
      <c r="U1068" t="s">
        <v>124</v>
      </c>
      <c r="X1068" s="19">
        <f t="shared" si="48"/>
        <v>0.8</v>
      </c>
      <c r="Y1068" s="19">
        <f t="shared" si="49"/>
        <v>0</v>
      </c>
      <c r="Z1068" s="26"/>
    </row>
    <row r="1069" spans="1:26" x14ac:dyDescent="0.35">
      <c r="A1069" t="s">
        <v>122</v>
      </c>
      <c r="B1069" t="s">
        <v>122</v>
      </c>
      <c r="C1069" t="s">
        <v>123</v>
      </c>
      <c r="D1069" t="s">
        <v>101</v>
      </c>
      <c r="E1069" t="s">
        <v>99</v>
      </c>
      <c r="F1069" t="s">
        <v>12</v>
      </c>
      <c r="G1069">
        <v>1</v>
      </c>
      <c r="H1069">
        <v>116</v>
      </c>
      <c r="I1069">
        <v>0.8</v>
      </c>
      <c r="J1069" s="25">
        <f t="shared" si="51"/>
        <v>0.8</v>
      </c>
      <c r="K1069">
        <v>1357</v>
      </c>
      <c r="L1069">
        <v>0</v>
      </c>
      <c r="M1069">
        <v>0</v>
      </c>
      <c r="N1069" s="25">
        <f t="shared" si="50"/>
        <v>0</v>
      </c>
      <c r="O1069">
        <v>1</v>
      </c>
      <c r="P1069" s="25">
        <f t="shared" si="52"/>
        <v>1</v>
      </c>
      <c r="Q1069">
        <v>29</v>
      </c>
      <c r="R1069" t="s">
        <v>124</v>
      </c>
      <c r="S1069" t="s">
        <v>124</v>
      </c>
      <c r="T1069" t="s">
        <v>124</v>
      </c>
      <c r="U1069" t="s">
        <v>124</v>
      </c>
      <c r="X1069" s="19">
        <f t="shared" si="48"/>
        <v>0.8</v>
      </c>
      <c r="Y1069" s="19">
        <f t="shared" si="49"/>
        <v>0</v>
      </c>
      <c r="Z1069" s="26"/>
    </row>
    <row r="1070" spans="1:26" x14ac:dyDescent="0.35">
      <c r="A1070" t="s">
        <v>122</v>
      </c>
      <c r="B1070" t="s">
        <v>122</v>
      </c>
      <c r="C1070" t="s">
        <v>123</v>
      </c>
      <c r="D1070" t="s">
        <v>101</v>
      </c>
      <c r="E1070" t="s">
        <v>99</v>
      </c>
      <c r="F1070" t="s">
        <v>12</v>
      </c>
      <c r="G1070">
        <v>1</v>
      </c>
      <c r="H1070">
        <v>116</v>
      </c>
      <c r="I1070">
        <v>0.8</v>
      </c>
      <c r="J1070" s="25">
        <f t="shared" si="51"/>
        <v>0.8</v>
      </c>
      <c r="K1070">
        <v>1357</v>
      </c>
      <c r="L1070">
        <v>0</v>
      </c>
      <c r="M1070">
        <v>0</v>
      </c>
      <c r="N1070" s="25">
        <f t="shared" si="50"/>
        <v>0</v>
      </c>
      <c r="O1070">
        <v>1</v>
      </c>
      <c r="P1070" s="25">
        <f t="shared" si="52"/>
        <v>1</v>
      </c>
      <c r="Q1070">
        <v>29</v>
      </c>
      <c r="R1070" t="s">
        <v>124</v>
      </c>
      <c r="S1070" t="s">
        <v>124</v>
      </c>
      <c r="T1070" t="s">
        <v>124</v>
      </c>
      <c r="U1070" t="s">
        <v>124</v>
      </c>
      <c r="X1070" s="19">
        <f t="shared" ref="X1070:X1133" si="53">J1070</f>
        <v>0.8</v>
      </c>
      <c r="Y1070" s="19">
        <f t="shared" ref="Y1070:Y1133" si="54">N1070</f>
        <v>0</v>
      </c>
      <c r="Z1070" s="26"/>
    </row>
    <row r="1071" spans="1:26" x14ac:dyDescent="0.35">
      <c r="A1071" t="s">
        <v>122</v>
      </c>
      <c r="B1071" t="s">
        <v>122</v>
      </c>
      <c r="C1071" t="s">
        <v>123</v>
      </c>
      <c r="D1071" t="s">
        <v>101</v>
      </c>
      <c r="E1071" t="s">
        <v>99</v>
      </c>
      <c r="F1071" t="s">
        <v>12</v>
      </c>
      <c r="G1071">
        <v>1</v>
      </c>
      <c r="H1071">
        <v>116</v>
      </c>
      <c r="I1071">
        <v>0.8</v>
      </c>
      <c r="J1071" s="25">
        <f t="shared" si="51"/>
        <v>0.8</v>
      </c>
      <c r="K1071">
        <v>1357</v>
      </c>
      <c r="L1071">
        <v>0</v>
      </c>
      <c r="M1071">
        <v>0</v>
      </c>
      <c r="N1071" s="25">
        <f t="shared" si="50"/>
        <v>0</v>
      </c>
      <c r="O1071">
        <v>1</v>
      </c>
      <c r="P1071" s="25">
        <f t="shared" si="52"/>
        <v>1</v>
      </c>
      <c r="Q1071">
        <v>29</v>
      </c>
      <c r="R1071" t="s">
        <v>124</v>
      </c>
      <c r="S1071" t="s">
        <v>124</v>
      </c>
      <c r="T1071" t="s">
        <v>124</v>
      </c>
      <c r="U1071" t="s">
        <v>124</v>
      </c>
      <c r="X1071" s="19">
        <f t="shared" si="53"/>
        <v>0.8</v>
      </c>
      <c r="Y1071" s="19">
        <f t="shared" si="54"/>
        <v>0</v>
      </c>
      <c r="Z1071" s="26"/>
    </row>
    <row r="1072" spans="1:26" x14ac:dyDescent="0.35">
      <c r="A1072" t="s">
        <v>122</v>
      </c>
      <c r="B1072" t="s">
        <v>122</v>
      </c>
      <c r="C1072" t="s">
        <v>123</v>
      </c>
      <c r="D1072" t="s">
        <v>101</v>
      </c>
      <c r="E1072" t="s">
        <v>99</v>
      </c>
      <c r="F1072" t="s">
        <v>12</v>
      </c>
      <c r="G1072">
        <v>1</v>
      </c>
      <c r="H1072">
        <v>116</v>
      </c>
      <c r="I1072">
        <v>0.8</v>
      </c>
      <c r="J1072" s="25">
        <f t="shared" si="51"/>
        <v>0.8</v>
      </c>
      <c r="K1072">
        <v>1357</v>
      </c>
      <c r="L1072">
        <v>0</v>
      </c>
      <c r="M1072">
        <v>0</v>
      </c>
      <c r="N1072" s="25">
        <f t="shared" si="50"/>
        <v>0</v>
      </c>
      <c r="O1072">
        <v>1</v>
      </c>
      <c r="P1072" s="25">
        <f t="shared" si="52"/>
        <v>1</v>
      </c>
      <c r="Q1072">
        <v>29</v>
      </c>
      <c r="R1072" t="s">
        <v>124</v>
      </c>
      <c r="S1072" t="s">
        <v>124</v>
      </c>
      <c r="T1072" t="s">
        <v>124</v>
      </c>
      <c r="U1072" t="s">
        <v>124</v>
      </c>
      <c r="X1072" s="19">
        <f t="shared" si="53"/>
        <v>0.8</v>
      </c>
      <c r="Y1072" s="19">
        <f t="shared" si="54"/>
        <v>0</v>
      </c>
      <c r="Z1072" s="26"/>
    </row>
    <row r="1073" spans="1:26" x14ac:dyDescent="0.35">
      <c r="A1073" t="s">
        <v>122</v>
      </c>
      <c r="B1073" t="s">
        <v>122</v>
      </c>
      <c r="C1073" t="s">
        <v>123</v>
      </c>
      <c r="D1073" t="s">
        <v>101</v>
      </c>
      <c r="E1073" t="s">
        <v>99</v>
      </c>
      <c r="F1073" t="s">
        <v>12</v>
      </c>
      <c r="G1073">
        <v>1</v>
      </c>
      <c r="H1073">
        <v>116</v>
      </c>
      <c r="I1073">
        <v>0.8</v>
      </c>
      <c r="J1073" s="25">
        <f t="shared" si="51"/>
        <v>0.8</v>
      </c>
      <c r="K1073">
        <v>1357</v>
      </c>
      <c r="L1073">
        <v>0</v>
      </c>
      <c r="M1073">
        <v>0</v>
      </c>
      <c r="N1073" s="25">
        <f t="shared" si="50"/>
        <v>0</v>
      </c>
      <c r="O1073">
        <v>1</v>
      </c>
      <c r="P1073" s="25">
        <f t="shared" si="52"/>
        <v>1</v>
      </c>
      <c r="Q1073">
        <v>29</v>
      </c>
      <c r="R1073" t="s">
        <v>124</v>
      </c>
      <c r="S1073" t="s">
        <v>124</v>
      </c>
      <c r="T1073" t="s">
        <v>124</v>
      </c>
      <c r="U1073" t="s">
        <v>124</v>
      </c>
      <c r="X1073" s="19">
        <f t="shared" si="53"/>
        <v>0.8</v>
      </c>
      <c r="Y1073" s="19">
        <f t="shared" si="54"/>
        <v>0</v>
      </c>
      <c r="Z1073" s="26"/>
    </row>
    <row r="1074" spans="1:26" x14ac:dyDescent="0.35">
      <c r="A1074" t="s">
        <v>122</v>
      </c>
      <c r="B1074" t="s">
        <v>122</v>
      </c>
      <c r="C1074" t="s">
        <v>123</v>
      </c>
      <c r="D1074" t="s">
        <v>101</v>
      </c>
      <c r="E1074" t="s">
        <v>99</v>
      </c>
      <c r="F1074" t="s">
        <v>12</v>
      </c>
      <c r="G1074">
        <v>1</v>
      </c>
      <c r="H1074">
        <v>116</v>
      </c>
      <c r="I1074">
        <v>0.8</v>
      </c>
      <c r="J1074" s="25">
        <f t="shared" si="51"/>
        <v>0.8</v>
      </c>
      <c r="K1074">
        <v>1357</v>
      </c>
      <c r="L1074">
        <v>0</v>
      </c>
      <c r="M1074">
        <v>0</v>
      </c>
      <c r="N1074" s="25">
        <f t="shared" si="50"/>
        <v>0</v>
      </c>
      <c r="O1074">
        <v>1</v>
      </c>
      <c r="P1074" s="25">
        <f t="shared" si="52"/>
        <v>1</v>
      </c>
      <c r="Q1074">
        <v>29</v>
      </c>
      <c r="R1074" t="s">
        <v>124</v>
      </c>
      <c r="S1074" t="s">
        <v>124</v>
      </c>
      <c r="T1074" t="s">
        <v>124</v>
      </c>
      <c r="U1074" t="s">
        <v>124</v>
      </c>
      <c r="X1074" s="19">
        <f t="shared" si="53"/>
        <v>0.8</v>
      </c>
      <c r="Y1074" s="19">
        <f t="shared" si="54"/>
        <v>0</v>
      </c>
      <c r="Z1074" s="26"/>
    </row>
    <row r="1075" spans="1:26" x14ac:dyDescent="0.35">
      <c r="A1075" t="s">
        <v>122</v>
      </c>
      <c r="B1075" t="s">
        <v>122</v>
      </c>
      <c r="C1075" t="s">
        <v>123</v>
      </c>
      <c r="D1075" t="s">
        <v>101</v>
      </c>
      <c r="E1075" t="s">
        <v>99</v>
      </c>
      <c r="F1075" t="s">
        <v>12</v>
      </c>
      <c r="G1075">
        <v>1</v>
      </c>
      <c r="H1075">
        <v>116</v>
      </c>
      <c r="I1075">
        <v>0.8</v>
      </c>
      <c r="J1075" s="25">
        <f t="shared" si="51"/>
        <v>0.8</v>
      </c>
      <c r="K1075">
        <v>1357</v>
      </c>
      <c r="L1075">
        <v>0</v>
      </c>
      <c r="M1075">
        <v>0</v>
      </c>
      <c r="N1075" s="25">
        <f t="shared" si="50"/>
        <v>0</v>
      </c>
      <c r="O1075">
        <v>1</v>
      </c>
      <c r="P1075" s="25">
        <f t="shared" si="52"/>
        <v>1</v>
      </c>
      <c r="Q1075">
        <v>29</v>
      </c>
      <c r="R1075" t="s">
        <v>124</v>
      </c>
      <c r="S1075" t="s">
        <v>124</v>
      </c>
      <c r="T1075" t="s">
        <v>124</v>
      </c>
      <c r="U1075" t="s">
        <v>124</v>
      </c>
      <c r="X1075" s="19">
        <f t="shared" si="53"/>
        <v>0.8</v>
      </c>
      <c r="Y1075" s="19">
        <f t="shared" si="54"/>
        <v>0</v>
      </c>
      <c r="Z1075" s="26"/>
    </row>
    <row r="1076" spans="1:26" x14ac:dyDescent="0.35">
      <c r="A1076" t="s">
        <v>122</v>
      </c>
      <c r="B1076" t="s">
        <v>122</v>
      </c>
      <c r="C1076" t="s">
        <v>123</v>
      </c>
      <c r="D1076" t="s">
        <v>101</v>
      </c>
      <c r="E1076" t="s">
        <v>99</v>
      </c>
      <c r="F1076" t="s">
        <v>12</v>
      </c>
      <c r="G1076">
        <v>1</v>
      </c>
      <c r="H1076">
        <v>116</v>
      </c>
      <c r="I1076">
        <v>0.8</v>
      </c>
      <c r="J1076" s="25">
        <f t="shared" si="51"/>
        <v>0.8</v>
      </c>
      <c r="K1076">
        <v>1357</v>
      </c>
      <c r="L1076">
        <v>0</v>
      </c>
      <c r="M1076">
        <v>0</v>
      </c>
      <c r="N1076" s="25">
        <f t="shared" si="50"/>
        <v>0</v>
      </c>
      <c r="O1076">
        <v>1</v>
      </c>
      <c r="P1076" s="25">
        <f t="shared" si="52"/>
        <v>1</v>
      </c>
      <c r="Q1076">
        <v>29</v>
      </c>
      <c r="R1076" t="s">
        <v>124</v>
      </c>
      <c r="S1076" t="s">
        <v>124</v>
      </c>
      <c r="T1076" t="s">
        <v>124</v>
      </c>
      <c r="U1076" t="s">
        <v>124</v>
      </c>
      <c r="X1076" s="19">
        <f t="shared" si="53"/>
        <v>0.8</v>
      </c>
      <c r="Y1076" s="19">
        <f t="shared" si="54"/>
        <v>0</v>
      </c>
      <c r="Z1076" s="26"/>
    </row>
    <row r="1077" spans="1:26" x14ac:dyDescent="0.35">
      <c r="A1077" t="s">
        <v>122</v>
      </c>
      <c r="B1077" t="s">
        <v>122</v>
      </c>
      <c r="C1077" t="s">
        <v>123</v>
      </c>
      <c r="D1077" t="s">
        <v>101</v>
      </c>
      <c r="E1077" t="s">
        <v>99</v>
      </c>
      <c r="F1077" t="s">
        <v>12</v>
      </c>
      <c r="G1077">
        <v>1</v>
      </c>
      <c r="H1077">
        <v>116</v>
      </c>
      <c r="I1077">
        <v>0.8</v>
      </c>
      <c r="J1077" s="25">
        <f t="shared" si="51"/>
        <v>0.8</v>
      </c>
      <c r="K1077">
        <v>1357</v>
      </c>
      <c r="L1077">
        <v>0</v>
      </c>
      <c r="M1077">
        <v>0</v>
      </c>
      <c r="N1077" s="25">
        <f t="shared" si="50"/>
        <v>0</v>
      </c>
      <c r="O1077">
        <v>1</v>
      </c>
      <c r="P1077" s="25">
        <f t="shared" si="52"/>
        <v>1</v>
      </c>
      <c r="Q1077">
        <v>29</v>
      </c>
      <c r="R1077" t="s">
        <v>124</v>
      </c>
      <c r="S1077" t="s">
        <v>124</v>
      </c>
      <c r="T1077" t="s">
        <v>124</v>
      </c>
      <c r="U1077" t="s">
        <v>124</v>
      </c>
      <c r="X1077" s="19">
        <f t="shared" si="53"/>
        <v>0.8</v>
      </c>
      <c r="Y1077" s="19">
        <f t="shared" si="54"/>
        <v>0</v>
      </c>
      <c r="Z1077" s="26"/>
    </row>
    <row r="1078" spans="1:26" x14ac:dyDescent="0.35">
      <c r="A1078" t="s">
        <v>122</v>
      </c>
      <c r="B1078" t="s">
        <v>122</v>
      </c>
      <c r="C1078" t="s">
        <v>123</v>
      </c>
      <c r="D1078" t="s">
        <v>101</v>
      </c>
      <c r="E1078" t="s">
        <v>99</v>
      </c>
      <c r="F1078" t="s">
        <v>12</v>
      </c>
      <c r="G1078">
        <v>1</v>
      </c>
      <c r="H1078">
        <v>116</v>
      </c>
      <c r="I1078">
        <v>0.8</v>
      </c>
      <c r="J1078" s="25">
        <f t="shared" si="51"/>
        <v>0.8</v>
      </c>
      <c r="K1078">
        <v>1357</v>
      </c>
      <c r="L1078">
        <v>0</v>
      </c>
      <c r="M1078">
        <v>0</v>
      </c>
      <c r="N1078" s="25">
        <f t="shared" si="50"/>
        <v>0</v>
      </c>
      <c r="O1078">
        <v>1</v>
      </c>
      <c r="P1078" s="25">
        <f t="shared" si="52"/>
        <v>1</v>
      </c>
      <c r="Q1078">
        <v>29</v>
      </c>
      <c r="R1078" t="s">
        <v>124</v>
      </c>
      <c r="S1078" t="s">
        <v>124</v>
      </c>
      <c r="T1078" t="s">
        <v>124</v>
      </c>
      <c r="U1078" t="s">
        <v>124</v>
      </c>
      <c r="X1078" s="19">
        <f t="shared" si="53"/>
        <v>0.8</v>
      </c>
      <c r="Y1078" s="19">
        <f t="shared" si="54"/>
        <v>0</v>
      </c>
      <c r="Z1078" s="26"/>
    </row>
    <row r="1079" spans="1:26" x14ac:dyDescent="0.35">
      <c r="A1079" t="s">
        <v>122</v>
      </c>
      <c r="B1079" t="s">
        <v>122</v>
      </c>
      <c r="C1079" t="s">
        <v>123</v>
      </c>
      <c r="D1079" t="s">
        <v>101</v>
      </c>
      <c r="E1079" t="s">
        <v>99</v>
      </c>
      <c r="F1079" t="s">
        <v>12</v>
      </c>
      <c r="G1079">
        <v>1</v>
      </c>
      <c r="H1079">
        <v>116</v>
      </c>
      <c r="I1079">
        <v>0.8</v>
      </c>
      <c r="J1079" s="25">
        <f t="shared" si="51"/>
        <v>0.8</v>
      </c>
      <c r="K1079">
        <v>1357</v>
      </c>
      <c r="L1079">
        <v>0</v>
      </c>
      <c r="M1079">
        <v>0</v>
      </c>
      <c r="N1079" s="25">
        <f t="shared" si="50"/>
        <v>0</v>
      </c>
      <c r="O1079">
        <v>1</v>
      </c>
      <c r="P1079" s="25">
        <f t="shared" si="52"/>
        <v>1</v>
      </c>
      <c r="Q1079">
        <v>29</v>
      </c>
      <c r="R1079" t="s">
        <v>124</v>
      </c>
      <c r="S1079" t="s">
        <v>124</v>
      </c>
      <c r="T1079" t="s">
        <v>124</v>
      </c>
      <c r="U1079" t="s">
        <v>124</v>
      </c>
      <c r="X1079" s="19">
        <f t="shared" si="53"/>
        <v>0.8</v>
      </c>
      <c r="Y1079" s="19">
        <f t="shared" si="54"/>
        <v>0</v>
      </c>
      <c r="Z1079" s="26"/>
    </row>
    <row r="1080" spans="1:26" x14ac:dyDescent="0.35">
      <c r="A1080" t="s">
        <v>122</v>
      </c>
      <c r="B1080" t="s">
        <v>122</v>
      </c>
      <c r="C1080" t="s">
        <v>123</v>
      </c>
      <c r="D1080" t="s">
        <v>101</v>
      </c>
      <c r="E1080" t="s">
        <v>99</v>
      </c>
      <c r="F1080" t="s">
        <v>12</v>
      </c>
      <c r="G1080">
        <v>1</v>
      </c>
      <c r="H1080">
        <v>116</v>
      </c>
      <c r="I1080">
        <v>0.8</v>
      </c>
      <c r="J1080" s="25">
        <f t="shared" si="51"/>
        <v>0.8</v>
      </c>
      <c r="K1080">
        <v>1357</v>
      </c>
      <c r="L1080">
        <v>0</v>
      </c>
      <c r="M1080">
        <v>0</v>
      </c>
      <c r="N1080" s="25">
        <f t="shared" si="50"/>
        <v>0</v>
      </c>
      <c r="O1080">
        <v>1</v>
      </c>
      <c r="P1080" s="25">
        <f t="shared" si="52"/>
        <v>1</v>
      </c>
      <c r="Q1080">
        <v>29</v>
      </c>
      <c r="R1080" t="s">
        <v>124</v>
      </c>
      <c r="S1080" t="s">
        <v>124</v>
      </c>
      <c r="T1080" t="s">
        <v>124</v>
      </c>
      <c r="U1080" t="s">
        <v>124</v>
      </c>
      <c r="X1080" s="19">
        <f t="shared" si="53"/>
        <v>0.8</v>
      </c>
      <c r="Y1080" s="19">
        <f t="shared" si="54"/>
        <v>0</v>
      </c>
      <c r="Z1080" s="26"/>
    </row>
    <row r="1081" spans="1:26" x14ac:dyDescent="0.35">
      <c r="A1081" t="s">
        <v>122</v>
      </c>
      <c r="B1081" t="s">
        <v>122</v>
      </c>
      <c r="C1081" t="s">
        <v>123</v>
      </c>
      <c r="D1081" t="s">
        <v>101</v>
      </c>
      <c r="E1081" t="s">
        <v>99</v>
      </c>
      <c r="F1081" t="s">
        <v>12</v>
      </c>
      <c r="G1081">
        <v>1</v>
      </c>
      <c r="H1081">
        <v>116</v>
      </c>
      <c r="I1081">
        <v>0.8</v>
      </c>
      <c r="J1081" s="25">
        <f t="shared" si="51"/>
        <v>0.8</v>
      </c>
      <c r="K1081">
        <v>1357</v>
      </c>
      <c r="L1081">
        <v>0</v>
      </c>
      <c r="M1081">
        <v>0</v>
      </c>
      <c r="N1081" s="25">
        <f t="shared" si="50"/>
        <v>0</v>
      </c>
      <c r="O1081">
        <v>1</v>
      </c>
      <c r="P1081" s="25">
        <f t="shared" si="52"/>
        <v>1</v>
      </c>
      <c r="Q1081">
        <v>29</v>
      </c>
      <c r="R1081" t="s">
        <v>124</v>
      </c>
      <c r="S1081" t="s">
        <v>124</v>
      </c>
      <c r="T1081" t="s">
        <v>124</v>
      </c>
      <c r="U1081" t="s">
        <v>124</v>
      </c>
      <c r="X1081" s="19">
        <f t="shared" si="53"/>
        <v>0.8</v>
      </c>
      <c r="Y1081" s="19">
        <f t="shared" si="54"/>
        <v>0</v>
      </c>
      <c r="Z1081" s="26"/>
    </row>
    <row r="1082" spans="1:26" x14ac:dyDescent="0.35">
      <c r="A1082" t="s">
        <v>122</v>
      </c>
      <c r="B1082" t="s">
        <v>122</v>
      </c>
      <c r="C1082" t="s">
        <v>123</v>
      </c>
      <c r="D1082" t="s">
        <v>101</v>
      </c>
      <c r="E1082" t="s">
        <v>99</v>
      </c>
      <c r="F1082" t="s">
        <v>12</v>
      </c>
      <c r="G1082">
        <v>1</v>
      </c>
      <c r="H1082">
        <v>116</v>
      </c>
      <c r="I1082">
        <v>0.8</v>
      </c>
      <c r="J1082" s="25">
        <f t="shared" si="51"/>
        <v>0.8</v>
      </c>
      <c r="K1082">
        <v>1357</v>
      </c>
      <c r="L1082">
        <v>0</v>
      </c>
      <c r="M1082">
        <v>0</v>
      </c>
      <c r="N1082" s="25">
        <f t="shared" si="50"/>
        <v>0</v>
      </c>
      <c r="O1082">
        <v>1</v>
      </c>
      <c r="P1082" s="25">
        <f t="shared" si="52"/>
        <v>1</v>
      </c>
      <c r="Q1082">
        <v>29</v>
      </c>
      <c r="R1082" t="s">
        <v>124</v>
      </c>
      <c r="S1082" t="s">
        <v>124</v>
      </c>
      <c r="T1082" t="s">
        <v>124</v>
      </c>
      <c r="U1082" t="s">
        <v>124</v>
      </c>
      <c r="X1082" s="19">
        <f t="shared" si="53"/>
        <v>0.8</v>
      </c>
      <c r="Y1082" s="19">
        <f t="shared" si="54"/>
        <v>0</v>
      </c>
      <c r="Z1082" s="26"/>
    </row>
    <row r="1083" spans="1:26" x14ac:dyDescent="0.35">
      <c r="A1083" t="s">
        <v>122</v>
      </c>
      <c r="B1083" t="s">
        <v>122</v>
      </c>
      <c r="C1083" t="s">
        <v>123</v>
      </c>
      <c r="D1083" t="s">
        <v>101</v>
      </c>
      <c r="E1083" t="s">
        <v>99</v>
      </c>
      <c r="F1083" t="s">
        <v>12</v>
      </c>
      <c r="G1083">
        <v>1</v>
      </c>
      <c r="H1083">
        <v>116</v>
      </c>
      <c r="I1083">
        <v>0.8</v>
      </c>
      <c r="J1083" s="25">
        <f t="shared" si="51"/>
        <v>0.8</v>
      </c>
      <c r="K1083">
        <v>1357</v>
      </c>
      <c r="L1083">
        <v>0</v>
      </c>
      <c r="M1083">
        <v>0</v>
      </c>
      <c r="N1083" s="25">
        <f t="shared" si="50"/>
        <v>0</v>
      </c>
      <c r="O1083">
        <v>1</v>
      </c>
      <c r="P1083" s="25">
        <f t="shared" si="52"/>
        <v>1</v>
      </c>
      <c r="Q1083">
        <v>29</v>
      </c>
      <c r="R1083" t="s">
        <v>124</v>
      </c>
      <c r="S1083" t="s">
        <v>124</v>
      </c>
      <c r="T1083" t="s">
        <v>124</v>
      </c>
      <c r="U1083" t="s">
        <v>124</v>
      </c>
      <c r="X1083" s="19">
        <f t="shared" si="53"/>
        <v>0.8</v>
      </c>
      <c r="Y1083" s="19">
        <f t="shared" si="54"/>
        <v>0</v>
      </c>
      <c r="Z1083" s="26"/>
    </row>
    <row r="1084" spans="1:26" x14ac:dyDescent="0.35">
      <c r="A1084" t="s">
        <v>122</v>
      </c>
      <c r="B1084" t="s">
        <v>122</v>
      </c>
      <c r="C1084" t="s">
        <v>123</v>
      </c>
      <c r="D1084" t="s">
        <v>101</v>
      </c>
      <c r="E1084" t="s">
        <v>99</v>
      </c>
      <c r="F1084" t="s">
        <v>12</v>
      </c>
      <c r="G1084">
        <v>1</v>
      </c>
      <c r="H1084">
        <v>116</v>
      </c>
      <c r="I1084">
        <v>0.8</v>
      </c>
      <c r="J1084" s="25">
        <f t="shared" si="51"/>
        <v>0.8</v>
      </c>
      <c r="K1084">
        <v>1357</v>
      </c>
      <c r="L1084">
        <v>0</v>
      </c>
      <c r="M1084">
        <v>0</v>
      </c>
      <c r="N1084" s="25">
        <f t="shared" si="50"/>
        <v>0</v>
      </c>
      <c r="O1084">
        <v>1</v>
      </c>
      <c r="P1084" s="25">
        <f t="shared" si="52"/>
        <v>1</v>
      </c>
      <c r="Q1084">
        <v>29</v>
      </c>
      <c r="R1084" t="s">
        <v>124</v>
      </c>
      <c r="S1084" t="s">
        <v>124</v>
      </c>
      <c r="T1084" t="s">
        <v>124</v>
      </c>
      <c r="U1084" t="s">
        <v>124</v>
      </c>
      <c r="X1084" s="19">
        <f t="shared" si="53"/>
        <v>0.8</v>
      </c>
      <c r="Y1084" s="19">
        <f t="shared" si="54"/>
        <v>0</v>
      </c>
      <c r="Z1084" s="26"/>
    </row>
    <row r="1085" spans="1:26" x14ac:dyDescent="0.35">
      <c r="A1085" t="s">
        <v>122</v>
      </c>
      <c r="B1085" t="s">
        <v>122</v>
      </c>
      <c r="C1085" t="s">
        <v>123</v>
      </c>
      <c r="D1085" t="s">
        <v>101</v>
      </c>
      <c r="E1085" t="s">
        <v>99</v>
      </c>
      <c r="F1085" t="s">
        <v>12</v>
      </c>
      <c r="G1085">
        <v>1</v>
      </c>
      <c r="H1085">
        <v>116</v>
      </c>
      <c r="I1085">
        <v>0.8</v>
      </c>
      <c r="J1085" s="25">
        <f t="shared" si="51"/>
        <v>0.8</v>
      </c>
      <c r="K1085">
        <v>1357</v>
      </c>
      <c r="L1085">
        <v>0</v>
      </c>
      <c r="M1085">
        <v>0</v>
      </c>
      <c r="N1085" s="25">
        <f t="shared" si="50"/>
        <v>0</v>
      </c>
      <c r="O1085">
        <v>1</v>
      </c>
      <c r="P1085" s="25">
        <f t="shared" si="52"/>
        <v>1</v>
      </c>
      <c r="Q1085">
        <v>29</v>
      </c>
      <c r="R1085" t="s">
        <v>124</v>
      </c>
      <c r="S1085" t="s">
        <v>124</v>
      </c>
      <c r="T1085" t="s">
        <v>124</v>
      </c>
      <c r="U1085" t="s">
        <v>124</v>
      </c>
      <c r="X1085" s="19">
        <f t="shared" si="53"/>
        <v>0.8</v>
      </c>
      <c r="Y1085" s="19">
        <f t="shared" si="54"/>
        <v>0</v>
      </c>
      <c r="Z1085" s="26"/>
    </row>
    <row r="1086" spans="1:26" x14ac:dyDescent="0.35">
      <c r="A1086" t="s">
        <v>122</v>
      </c>
      <c r="B1086" t="s">
        <v>122</v>
      </c>
      <c r="C1086" t="s">
        <v>123</v>
      </c>
      <c r="D1086" t="s">
        <v>101</v>
      </c>
      <c r="E1086" t="s">
        <v>99</v>
      </c>
      <c r="F1086" t="s">
        <v>12</v>
      </c>
      <c r="G1086">
        <v>1</v>
      </c>
      <c r="H1086">
        <v>116</v>
      </c>
      <c r="I1086">
        <v>0.8</v>
      </c>
      <c r="J1086" s="25">
        <f t="shared" si="51"/>
        <v>0.8</v>
      </c>
      <c r="K1086">
        <v>1357</v>
      </c>
      <c r="L1086">
        <v>0</v>
      </c>
      <c r="M1086">
        <v>0</v>
      </c>
      <c r="N1086" s="25">
        <f t="shared" si="50"/>
        <v>0</v>
      </c>
      <c r="O1086">
        <v>1</v>
      </c>
      <c r="P1086" s="25">
        <f t="shared" si="52"/>
        <v>1</v>
      </c>
      <c r="Q1086">
        <v>29</v>
      </c>
      <c r="R1086" t="s">
        <v>124</v>
      </c>
      <c r="S1086" t="s">
        <v>124</v>
      </c>
      <c r="T1086" t="s">
        <v>124</v>
      </c>
      <c r="U1086" t="s">
        <v>124</v>
      </c>
      <c r="X1086" s="19">
        <f t="shared" si="53"/>
        <v>0.8</v>
      </c>
      <c r="Y1086" s="19">
        <f t="shared" si="54"/>
        <v>0</v>
      </c>
      <c r="Z1086" s="26"/>
    </row>
    <row r="1087" spans="1:26" x14ac:dyDescent="0.35">
      <c r="A1087" t="s">
        <v>122</v>
      </c>
      <c r="B1087" t="s">
        <v>122</v>
      </c>
      <c r="C1087" t="s">
        <v>123</v>
      </c>
      <c r="D1087" t="s">
        <v>101</v>
      </c>
      <c r="E1087" t="s">
        <v>99</v>
      </c>
      <c r="F1087" t="s">
        <v>12</v>
      </c>
      <c r="G1087">
        <v>1</v>
      </c>
      <c r="H1087">
        <v>116</v>
      </c>
      <c r="I1087">
        <v>0.8</v>
      </c>
      <c r="J1087" s="25">
        <f t="shared" si="51"/>
        <v>0.8</v>
      </c>
      <c r="K1087">
        <v>1357</v>
      </c>
      <c r="L1087">
        <v>0</v>
      </c>
      <c r="M1087">
        <v>0</v>
      </c>
      <c r="N1087" s="25">
        <f t="shared" si="50"/>
        <v>0</v>
      </c>
      <c r="O1087">
        <v>1</v>
      </c>
      <c r="P1087" s="25">
        <f t="shared" si="52"/>
        <v>1</v>
      </c>
      <c r="Q1087">
        <v>29</v>
      </c>
      <c r="R1087" t="s">
        <v>124</v>
      </c>
      <c r="S1087" t="s">
        <v>124</v>
      </c>
      <c r="T1087" t="s">
        <v>124</v>
      </c>
      <c r="U1087" t="s">
        <v>124</v>
      </c>
      <c r="X1087" s="19">
        <f t="shared" si="53"/>
        <v>0.8</v>
      </c>
      <c r="Y1087" s="19">
        <f t="shared" si="54"/>
        <v>0</v>
      </c>
      <c r="Z1087" s="26"/>
    </row>
    <row r="1088" spans="1:26" x14ac:dyDescent="0.35">
      <c r="A1088" t="s">
        <v>122</v>
      </c>
      <c r="B1088" t="s">
        <v>122</v>
      </c>
      <c r="C1088" t="s">
        <v>123</v>
      </c>
      <c r="D1088" t="s">
        <v>101</v>
      </c>
      <c r="E1088" t="s">
        <v>99</v>
      </c>
      <c r="F1088" t="s">
        <v>12</v>
      </c>
      <c r="G1088">
        <v>1</v>
      </c>
      <c r="H1088">
        <v>116</v>
      </c>
      <c r="I1088">
        <v>0.8</v>
      </c>
      <c r="J1088" s="25">
        <f t="shared" si="51"/>
        <v>0.8</v>
      </c>
      <c r="K1088">
        <v>1357</v>
      </c>
      <c r="L1088">
        <v>0</v>
      </c>
      <c r="M1088">
        <v>0</v>
      </c>
      <c r="N1088" s="25">
        <f t="shared" si="50"/>
        <v>0</v>
      </c>
      <c r="O1088">
        <v>1</v>
      </c>
      <c r="P1088" s="25">
        <f t="shared" si="52"/>
        <v>1</v>
      </c>
      <c r="Q1088">
        <v>29</v>
      </c>
      <c r="R1088" t="s">
        <v>124</v>
      </c>
      <c r="S1088" t="s">
        <v>124</v>
      </c>
      <c r="T1088" t="s">
        <v>124</v>
      </c>
      <c r="U1088" t="s">
        <v>124</v>
      </c>
      <c r="X1088" s="19">
        <f t="shared" si="53"/>
        <v>0.8</v>
      </c>
      <c r="Y1088" s="19">
        <f t="shared" si="54"/>
        <v>0</v>
      </c>
      <c r="Z1088" s="26"/>
    </row>
    <row r="1089" spans="1:26" x14ac:dyDescent="0.35">
      <c r="A1089" t="s">
        <v>122</v>
      </c>
      <c r="B1089" t="s">
        <v>122</v>
      </c>
      <c r="C1089" t="s">
        <v>123</v>
      </c>
      <c r="D1089" t="s">
        <v>101</v>
      </c>
      <c r="E1089" t="s">
        <v>99</v>
      </c>
      <c r="F1089" t="s">
        <v>12</v>
      </c>
      <c r="G1089">
        <v>1</v>
      </c>
      <c r="H1089">
        <v>116</v>
      </c>
      <c r="I1089">
        <v>0.8</v>
      </c>
      <c r="J1089" s="25">
        <f t="shared" si="51"/>
        <v>0.8</v>
      </c>
      <c r="K1089">
        <v>1357</v>
      </c>
      <c r="L1089">
        <v>0</v>
      </c>
      <c r="M1089">
        <v>0</v>
      </c>
      <c r="N1089" s="25">
        <f t="shared" si="50"/>
        <v>0</v>
      </c>
      <c r="O1089">
        <v>1</v>
      </c>
      <c r="P1089" s="25">
        <f t="shared" si="52"/>
        <v>1</v>
      </c>
      <c r="Q1089">
        <v>29</v>
      </c>
      <c r="R1089" t="s">
        <v>124</v>
      </c>
      <c r="S1089" t="s">
        <v>124</v>
      </c>
      <c r="T1089" t="s">
        <v>124</v>
      </c>
      <c r="U1089" t="s">
        <v>124</v>
      </c>
      <c r="X1089" s="19">
        <f t="shared" si="53"/>
        <v>0.8</v>
      </c>
      <c r="Y1089" s="19">
        <f t="shared" si="54"/>
        <v>0</v>
      </c>
      <c r="Z1089" s="26"/>
    </row>
    <row r="1090" spans="1:26" x14ac:dyDescent="0.35">
      <c r="A1090" t="s">
        <v>122</v>
      </c>
      <c r="B1090" t="s">
        <v>122</v>
      </c>
      <c r="C1090" t="s">
        <v>123</v>
      </c>
      <c r="D1090" t="s">
        <v>101</v>
      </c>
      <c r="E1090" t="s">
        <v>99</v>
      </c>
      <c r="F1090" t="s">
        <v>12</v>
      </c>
      <c r="G1090">
        <v>1</v>
      </c>
      <c r="H1090">
        <v>116</v>
      </c>
      <c r="I1090">
        <v>0.8</v>
      </c>
      <c r="J1090" s="25">
        <f t="shared" si="51"/>
        <v>0.8</v>
      </c>
      <c r="K1090">
        <v>1357</v>
      </c>
      <c r="L1090">
        <v>0</v>
      </c>
      <c r="M1090">
        <v>0</v>
      </c>
      <c r="N1090" s="25">
        <f t="shared" ref="N1090:N1153" si="55">1-P1090</f>
        <v>0</v>
      </c>
      <c r="O1090">
        <v>1</v>
      </c>
      <c r="P1090" s="25">
        <f t="shared" si="52"/>
        <v>1</v>
      </c>
      <c r="Q1090">
        <v>29</v>
      </c>
      <c r="R1090" t="s">
        <v>124</v>
      </c>
      <c r="S1090" t="s">
        <v>124</v>
      </c>
      <c r="T1090" t="s">
        <v>124</v>
      </c>
      <c r="U1090" t="s">
        <v>124</v>
      </c>
      <c r="X1090" s="19">
        <f t="shared" si="53"/>
        <v>0.8</v>
      </c>
      <c r="Y1090" s="19">
        <f t="shared" si="54"/>
        <v>0</v>
      </c>
      <c r="Z1090" s="26"/>
    </row>
    <row r="1091" spans="1:26" x14ac:dyDescent="0.35">
      <c r="A1091" t="s">
        <v>122</v>
      </c>
      <c r="B1091" t="s">
        <v>122</v>
      </c>
      <c r="C1091" t="s">
        <v>123</v>
      </c>
      <c r="D1091" t="s">
        <v>101</v>
      </c>
      <c r="E1091" t="s">
        <v>99</v>
      </c>
      <c r="F1091" t="s">
        <v>12</v>
      </c>
      <c r="G1091">
        <v>1</v>
      </c>
      <c r="H1091">
        <v>116</v>
      </c>
      <c r="I1091">
        <v>0.8</v>
      </c>
      <c r="J1091" s="25">
        <f t="shared" ref="J1091:J1154" si="56">H1091/(H1091+Q1091)</f>
        <v>0.8</v>
      </c>
      <c r="K1091">
        <v>1357</v>
      </c>
      <c r="L1091">
        <v>0</v>
      </c>
      <c r="M1091">
        <v>0</v>
      </c>
      <c r="N1091" s="25">
        <f t="shared" si="55"/>
        <v>0</v>
      </c>
      <c r="O1091">
        <v>1</v>
      </c>
      <c r="P1091" s="25">
        <f t="shared" ref="P1091:P1154" si="57">K1091/(K1091+L1091)</f>
        <v>1</v>
      </c>
      <c r="Q1091">
        <v>29</v>
      </c>
      <c r="R1091" t="s">
        <v>124</v>
      </c>
      <c r="S1091" t="s">
        <v>124</v>
      </c>
      <c r="T1091" t="s">
        <v>124</v>
      </c>
      <c r="U1091" t="s">
        <v>124</v>
      </c>
      <c r="X1091" s="19">
        <f t="shared" si="53"/>
        <v>0.8</v>
      </c>
      <c r="Y1091" s="19">
        <f t="shared" si="54"/>
        <v>0</v>
      </c>
      <c r="Z1091" s="26"/>
    </row>
    <row r="1092" spans="1:26" x14ac:dyDescent="0.35">
      <c r="A1092" t="s">
        <v>122</v>
      </c>
      <c r="B1092" t="s">
        <v>122</v>
      </c>
      <c r="C1092" t="s">
        <v>123</v>
      </c>
      <c r="D1092" t="s">
        <v>101</v>
      </c>
      <c r="E1092" t="s">
        <v>99</v>
      </c>
      <c r="F1092" t="s">
        <v>12</v>
      </c>
      <c r="G1092">
        <v>1</v>
      </c>
      <c r="H1092">
        <v>116</v>
      </c>
      <c r="I1092">
        <v>0.8</v>
      </c>
      <c r="J1092" s="25">
        <f t="shared" si="56"/>
        <v>0.8</v>
      </c>
      <c r="K1092">
        <v>1357</v>
      </c>
      <c r="L1092">
        <v>0</v>
      </c>
      <c r="M1092">
        <v>0</v>
      </c>
      <c r="N1092" s="25">
        <f t="shared" si="55"/>
        <v>0</v>
      </c>
      <c r="O1092">
        <v>1</v>
      </c>
      <c r="P1092" s="25">
        <f t="shared" si="57"/>
        <v>1</v>
      </c>
      <c r="Q1092">
        <v>29</v>
      </c>
      <c r="R1092" t="s">
        <v>124</v>
      </c>
      <c r="S1092" t="s">
        <v>124</v>
      </c>
      <c r="T1092" t="s">
        <v>124</v>
      </c>
      <c r="U1092" t="s">
        <v>124</v>
      </c>
      <c r="X1092" s="19">
        <f t="shared" si="53"/>
        <v>0.8</v>
      </c>
      <c r="Y1092" s="19">
        <f t="shared" si="54"/>
        <v>0</v>
      </c>
      <c r="Z1092" s="26"/>
    </row>
    <row r="1093" spans="1:26" x14ac:dyDescent="0.35">
      <c r="A1093" t="s">
        <v>122</v>
      </c>
      <c r="B1093" t="s">
        <v>122</v>
      </c>
      <c r="C1093" t="s">
        <v>123</v>
      </c>
      <c r="D1093" t="s">
        <v>101</v>
      </c>
      <c r="E1093" t="s">
        <v>99</v>
      </c>
      <c r="F1093" t="s">
        <v>12</v>
      </c>
      <c r="G1093">
        <v>1</v>
      </c>
      <c r="H1093">
        <v>116</v>
      </c>
      <c r="I1093">
        <v>0.8</v>
      </c>
      <c r="J1093" s="25">
        <f t="shared" si="56"/>
        <v>0.8</v>
      </c>
      <c r="K1093">
        <v>1357</v>
      </c>
      <c r="L1093">
        <v>0</v>
      </c>
      <c r="M1093">
        <v>0</v>
      </c>
      <c r="N1093" s="25">
        <f t="shared" si="55"/>
        <v>0</v>
      </c>
      <c r="O1093">
        <v>1</v>
      </c>
      <c r="P1093" s="25">
        <f t="shared" si="57"/>
        <v>1</v>
      </c>
      <c r="Q1093">
        <v>29</v>
      </c>
      <c r="R1093" t="s">
        <v>124</v>
      </c>
      <c r="S1093" t="s">
        <v>124</v>
      </c>
      <c r="T1093" t="s">
        <v>124</v>
      </c>
      <c r="U1093" t="s">
        <v>124</v>
      </c>
      <c r="X1093" s="19">
        <f t="shared" si="53"/>
        <v>0.8</v>
      </c>
      <c r="Y1093" s="19">
        <f t="shared" si="54"/>
        <v>0</v>
      </c>
      <c r="Z1093" s="26"/>
    </row>
    <row r="1094" spans="1:26" x14ac:dyDescent="0.35">
      <c r="A1094" t="s">
        <v>122</v>
      </c>
      <c r="B1094" t="s">
        <v>122</v>
      </c>
      <c r="C1094" t="s">
        <v>123</v>
      </c>
      <c r="D1094" t="s">
        <v>101</v>
      </c>
      <c r="E1094" t="s">
        <v>99</v>
      </c>
      <c r="F1094" t="s">
        <v>12</v>
      </c>
      <c r="G1094">
        <v>1</v>
      </c>
      <c r="H1094">
        <v>116</v>
      </c>
      <c r="I1094">
        <v>0.8</v>
      </c>
      <c r="J1094" s="25">
        <f t="shared" si="56"/>
        <v>0.8</v>
      </c>
      <c r="K1094">
        <v>1357</v>
      </c>
      <c r="L1094">
        <v>0</v>
      </c>
      <c r="M1094">
        <v>0</v>
      </c>
      <c r="N1094" s="25">
        <f t="shared" si="55"/>
        <v>0</v>
      </c>
      <c r="O1094">
        <v>1</v>
      </c>
      <c r="P1094" s="25">
        <f t="shared" si="57"/>
        <v>1</v>
      </c>
      <c r="Q1094">
        <v>29</v>
      </c>
      <c r="R1094" t="s">
        <v>124</v>
      </c>
      <c r="S1094" t="s">
        <v>124</v>
      </c>
      <c r="T1094" t="s">
        <v>124</v>
      </c>
      <c r="U1094" t="s">
        <v>124</v>
      </c>
      <c r="X1094" s="19">
        <f t="shared" si="53"/>
        <v>0.8</v>
      </c>
      <c r="Y1094" s="19">
        <f t="shared" si="54"/>
        <v>0</v>
      </c>
      <c r="Z1094" s="26"/>
    </row>
    <row r="1095" spans="1:26" x14ac:dyDescent="0.35">
      <c r="A1095" t="s">
        <v>122</v>
      </c>
      <c r="B1095" t="s">
        <v>122</v>
      </c>
      <c r="C1095" t="s">
        <v>123</v>
      </c>
      <c r="D1095" t="s">
        <v>101</v>
      </c>
      <c r="E1095" t="s">
        <v>99</v>
      </c>
      <c r="F1095" t="s">
        <v>12</v>
      </c>
      <c r="G1095">
        <v>1</v>
      </c>
      <c r="H1095">
        <v>116</v>
      </c>
      <c r="I1095">
        <v>0.8</v>
      </c>
      <c r="J1095" s="25">
        <f t="shared" si="56"/>
        <v>0.8</v>
      </c>
      <c r="K1095">
        <v>1357</v>
      </c>
      <c r="L1095">
        <v>0</v>
      </c>
      <c r="M1095">
        <v>0</v>
      </c>
      <c r="N1095" s="25">
        <f t="shared" si="55"/>
        <v>0</v>
      </c>
      <c r="O1095">
        <v>1</v>
      </c>
      <c r="P1095" s="25">
        <f t="shared" si="57"/>
        <v>1</v>
      </c>
      <c r="Q1095">
        <v>29</v>
      </c>
      <c r="R1095" t="s">
        <v>124</v>
      </c>
      <c r="S1095" t="s">
        <v>124</v>
      </c>
      <c r="T1095" t="s">
        <v>124</v>
      </c>
      <c r="U1095" t="s">
        <v>124</v>
      </c>
      <c r="X1095" s="19">
        <f t="shared" si="53"/>
        <v>0.8</v>
      </c>
      <c r="Y1095" s="19">
        <f t="shared" si="54"/>
        <v>0</v>
      </c>
      <c r="Z1095" s="26"/>
    </row>
    <row r="1096" spans="1:26" x14ac:dyDescent="0.35">
      <c r="A1096" t="s">
        <v>122</v>
      </c>
      <c r="B1096" t="s">
        <v>122</v>
      </c>
      <c r="C1096" t="s">
        <v>123</v>
      </c>
      <c r="D1096" t="s">
        <v>101</v>
      </c>
      <c r="E1096" t="s">
        <v>99</v>
      </c>
      <c r="F1096" t="s">
        <v>12</v>
      </c>
      <c r="G1096">
        <v>1</v>
      </c>
      <c r="H1096">
        <v>116</v>
      </c>
      <c r="I1096">
        <v>0.8</v>
      </c>
      <c r="J1096" s="25">
        <f t="shared" si="56"/>
        <v>0.8</v>
      </c>
      <c r="K1096">
        <v>1357</v>
      </c>
      <c r="L1096">
        <v>0</v>
      </c>
      <c r="M1096">
        <v>0</v>
      </c>
      <c r="N1096" s="25">
        <f t="shared" si="55"/>
        <v>0</v>
      </c>
      <c r="O1096">
        <v>1</v>
      </c>
      <c r="P1096" s="25">
        <f t="shared" si="57"/>
        <v>1</v>
      </c>
      <c r="Q1096">
        <v>29</v>
      </c>
      <c r="R1096" t="s">
        <v>124</v>
      </c>
      <c r="S1096" t="s">
        <v>124</v>
      </c>
      <c r="T1096" t="s">
        <v>124</v>
      </c>
      <c r="U1096" t="s">
        <v>124</v>
      </c>
      <c r="X1096" s="19">
        <f t="shared" si="53"/>
        <v>0.8</v>
      </c>
      <c r="Y1096" s="19">
        <f t="shared" si="54"/>
        <v>0</v>
      </c>
      <c r="Z1096" s="26"/>
    </row>
    <row r="1097" spans="1:26" x14ac:dyDescent="0.35">
      <c r="A1097" t="s">
        <v>122</v>
      </c>
      <c r="B1097" t="s">
        <v>122</v>
      </c>
      <c r="C1097" t="s">
        <v>123</v>
      </c>
      <c r="D1097" t="s">
        <v>101</v>
      </c>
      <c r="E1097" t="s">
        <v>99</v>
      </c>
      <c r="F1097" t="s">
        <v>12</v>
      </c>
      <c r="G1097">
        <v>1</v>
      </c>
      <c r="H1097">
        <v>116</v>
      </c>
      <c r="I1097">
        <v>0.8</v>
      </c>
      <c r="J1097" s="25">
        <f t="shared" si="56"/>
        <v>0.8</v>
      </c>
      <c r="K1097">
        <v>1357</v>
      </c>
      <c r="L1097">
        <v>0</v>
      </c>
      <c r="M1097">
        <v>0</v>
      </c>
      <c r="N1097" s="25">
        <f t="shared" si="55"/>
        <v>0</v>
      </c>
      <c r="O1097">
        <v>1</v>
      </c>
      <c r="P1097" s="25">
        <f t="shared" si="57"/>
        <v>1</v>
      </c>
      <c r="Q1097">
        <v>29</v>
      </c>
      <c r="R1097" t="s">
        <v>124</v>
      </c>
      <c r="S1097" t="s">
        <v>124</v>
      </c>
      <c r="T1097" t="s">
        <v>124</v>
      </c>
      <c r="U1097" t="s">
        <v>124</v>
      </c>
      <c r="X1097" s="19">
        <f t="shared" si="53"/>
        <v>0.8</v>
      </c>
      <c r="Y1097" s="19">
        <f t="shared" si="54"/>
        <v>0</v>
      </c>
      <c r="Z1097" s="26"/>
    </row>
    <row r="1098" spans="1:26" x14ac:dyDescent="0.35">
      <c r="A1098" t="s">
        <v>122</v>
      </c>
      <c r="B1098" t="s">
        <v>122</v>
      </c>
      <c r="C1098" t="s">
        <v>123</v>
      </c>
      <c r="D1098" t="s">
        <v>101</v>
      </c>
      <c r="E1098" t="s">
        <v>99</v>
      </c>
      <c r="F1098" t="s">
        <v>12</v>
      </c>
      <c r="G1098">
        <v>1</v>
      </c>
      <c r="H1098">
        <v>116</v>
      </c>
      <c r="I1098">
        <v>0.8</v>
      </c>
      <c r="J1098" s="25">
        <f t="shared" si="56"/>
        <v>0.8</v>
      </c>
      <c r="K1098">
        <v>1357</v>
      </c>
      <c r="L1098">
        <v>0</v>
      </c>
      <c r="M1098">
        <v>0</v>
      </c>
      <c r="N1098" s="25">
        <f t="shared" si="55"/>
        <v>0</v>
      </c>
      <c r="O1098">
        <v>1</v>
      </c>
      <c r="P1098" s="25">
        <f t="shared" si="57"/>
        <v>1</v>
      </c>
      <c r="Q1098">
        <v>29</v>
      </c>
      <c r="R1098" t="s">
        <v>124</v>
      </c>
      <c r="S1098" t="s">
        <v>124</v>
      </c>
      <c r="T1098" t="s">
        <v>124</v>
      </c>
      <c r="U1098" t="s">
        <v>124</v>
      </c>
      <c r="X1098" s="19">
        <f t="shared" si="53"/>
        <v>0.8</v>
      </c>
      <c r="Y1098" s="19">
        <f t="shared" si="54"/>
        <v>0</v>
      </c>
      <c r="Z1098" s="26"/>
    </row>
    <row r="1099" spans="1:26" x14ac:dyDescent="0.35">
      <c r="A1099" t="s">
        <v>122</v>
      </c>
      <c r="B1099" t="s">
        <v>122</v>
      </c>
      <c r="C1099" t="s">
        <v>123</v>
      </c>
      <c r="D1099" t="s">
        <v>101</v>
      </c>
      <c r="E1099" t="s">
        <v>99</v>
      </c>
      <c r="F1099" t="s">
        <v>12</v>
      </c>
      <c r="G1099">
        <v>1</v>
      </c>
      <c r="H1099">
        <v>116</v>
      </c>
      <c r="I1099">
        <v>0.8</v>
      </c>
      <c r="J1099" s="25">
        <f t="shared" si="56"/>
        <v>0.8</v>
      </c>
      <c r="K1099">
        <v>1357</v>
      </c>
      <c r="L1099">
        <v>0</v>
      </c>
      <c r="M1099">
        <v>0</v>
      </c>
      <c r="N1099" s="25">
        <f t="shared" si="55"/>
        <v>0</v>
      </c>
      <c r="O1099">
        <v>1</v>
      </c>
      <c r="P1099" s="25">
        <f t="shared" si="57"/>
        <v>1</v>
      </c>
      <c r="Q1099">
        <v>29</v>
      </c>
      <c r="R1099" t="s">
        <v>124</v>
      </c>
      <c r="S1099" t="s">
        <v>124</v>
      </c>
      <c r="T1099" t="s">
        <v>124</v>
      </c>
      <c r="U1099" t="s">
        <v>124</v>
      </c>
      <c r="X1099" s="19">
        <f t="shared" si="53"/>
        <v>0.8</v>
      </c>
      <c r="Y1099" s="19">
        <f t="shared" si="54"/>
        <v>0</v>
      </c>
      <c r="Z1099" s="26"/>
    </row>
    <row r="1100" spans="1:26" x14ac:dyDescent="0.35">
      <c r="A1100" t="s">
        <v>122</v>
      </c>
      <c r="B1100" t="s">
        <v>122</v>
      </c>
      <c r="C1100" t="s">
        <v>123</v>
      </c>
      <c r="D1100" t="s">
        <v>101</v>
      </c>
      <c r="E1100" t="s">
        <v>99</v>
      </c>
      <c r="F1100" t="s">
        <v>12</v>
      </c>
      <c r="G1100">
        <v>1</v>
      </c>
      <c r="H1100">
        <v>116</v>
      </c>
      <c r="I1100">
        <v>0.8</v>
      </c>
      <c r="J1100" s="25">
        <f t="shared" si="56"/>
        <v>0.8</v>
      </c>
      <c r="K1100">
        <v>1357</v>
      </c>
      <c r="L1100">
        <v>0</v>
      </c>
      <c r="M1100">
        <v>0</v>
      </c>
      <c r="N1100" s="25">
        <f t="shared" si="55"/>
        <v>0</v>
      </c>
      <c r="O1100">
        <v>1</v>
      </c>
      <c r="P1100" s="25">
        <f t="shared" si="57"/>
        <v>1</v>
      </c>
      <c r="Q1100">
        <v>29</v>
      </c>
      <c r="R1100" t="s">
        <v>124</v>
      </c>
      <c r="S1100" t="s">
        <v>124</v>
      </c>
      <c r="T1100" t="s">
        <v>124</v>
      </c>
      <c r="U1100" t="s">
        <v>124</v>
      </c>
      <c r="X1100" s="19">
        <f t="shared" si="53"/>
        <v>0.8</v>
      </c>
      <c r="Y1100" s="19">
        <f t="shared" si="54"/>
        <v>0</v>
      </c>
      <c r="Z1100" s="26"/>
    </row>
    <row r="1101" spans="1:26" x14ac:dyDescent="0.35">
      <c r="A1101" t="s">
        <v>122</v>
      </c>
      <c r="B1101" t="s">
        <v>122</v>
      </c>
      <c r="C1101" t="s">
        <v>123</v>
      </c>
      <c r="D1101" t="s">
        <v>101</v>
      </c>
      <c r="E1101" t="s">
        <v>99</v>
      </c>
      <c r="F1101" t="s">
        <v>12</v>
      </c>
      <c r="G1101">
        <v>1</v>
      </c>
      <c r="H1101">
        <v>116</v>
      </c>
      <c r="I1101">
        <v>0.8</v>
      </c>
      <c r="J1101" s="25">
        <f t="shared" si="56"/>
        <v>0.8</v>
      </c>
      <c r="K1101">
        <v>1357</v>
      </c>
      <c r="L1101">
        <v>0</v>
      </c>
      <c r="M1101">
        <v>0</v>
      </c>
      <c r="N1101" s="25">
        <f t="shared" si="55"/>
        <v>0</v>
      </c>
      <c r="O1101">
        <v>1</v>
      </c>
      <c r="P1101" s="25">
        <f t="shared" si="57"/>
        <v>1</v>
      </c>
      <c r="Q1101">
        <v>29</v>
      </c>
      <c r="R1101" t="s">
        <v>124</v>
      </c>
      <c r="S1101" t="s">
        <v>124</v>
      </c>
      <c r="T1101" t="s">
        <v>124</v>
      </c>
      <c r="U1101" t="s">
        <v>124</v>
      </c>
      <c r="X1101" s="19">
        <f t="shared" si="53"/>
        <v>0.8</v>
      </c>
      <c r="Y1101" s="19">
        <f t="shared" si="54"/>
        <v>0</v>
      </c>
      <c r="Z1101" s="26"/>
    </row>
    <row r="1102" spans="1:26" x14ac:dyDescent="0.35">
      <c r="A1102" t="s">
        <v>122</v>
      </c>
      <c r="B1102" t="s">
        <v>122</v>
      </c>
      <c r="C1102" t="s">
        <v>123</v>
      </c>
      <c r="D1102" t="s">
        <v>101</v>
      </c>
      <c r="E1102" t="s">
        <v>99</v>
      </c>
      <c r="F1102" t="s">
        <v>12</v>
      </c>
      <c r="G1102">
        <v>1</v>
      </c>
      <c r="H1102">
        <v>116</v>
      </c>
      <c r="I1102">
        <v>0.8</v>
      </c>
      <c r="J1102" s="25">
        <f t="shared" si="56"/>
        <v>0.8</v>
      </c>
      <c r="K1102">
        <v>1357</v>
      </c>
      <c r="L1102">
        <v>0</v>
      </c>
      <c r="M1102">
        <v>0</v>
      </c>
      <c r="N1102" s="25">
        <f t="shared" si="55"/>
        <v>0</v>
      </c>
      <c r="O1102">
        <v>1</v>
      </c>
      <c r="P1102" s="25">
        <f t="shared" si="57"/>
        <v>1</v>
      </c>
      <c r="Q1102">
        <v>29</v>
      </c>
      <c r="R1102" t="s">
        <v>124</v>
      </c>
      <c r="S1102" t="s">
        <v>124</v>
      </c>
      <c r="T1102" t="s">
        <v>124</v>
      </c>
      <c r="U1102" t="s">
        <v>124</v>
      </c>
      <c r="X1102" s="19">
        <f t="shared" si="53"/>
        <v>0.8</v>
      </c>
      <c r="Y1102" s="19">
        <f t="shared" si="54"/>
        <v>0</v>
      </c>
      <c r="Z1102" s="26"/>
    </row>
    <row r="1103" spans="1:26" x14ac:dyDescent="0.35">
      <c r="A1103" t="s">
        <v>122</v>
      </c>
      <c r="B1103" t="s">
        <v>122</v>
      </c>
      <c r="C1103" t="s">
        <v>123</v>
      </c>
      <c r="D1103" t="s">
        <v>101</v>
      </c>
      <c r="E1103" t="s">
        <v>99</v>
      </c>
      <c r="F1103" t="s">
        <v>12</v>
      </c>
      <c r="G1103">
        <v>1</v>
      </c>
      <c r="H1103">
        <v>116</v>
      </c>
      <c r="I1103">
        <v>0.8</v>
      </c>
      <c r="J1103" s="25">
        <f t="shared" si="56"/>
        <v>0.8</v>
      </c>
      <c r="K1103">
        <v>1357</v>
      </c>
      <c r="L1103">
        <v>0</v>
      </c>
      <c r="M1103">
        <v>0</v>
      </c>
      <c r="N1103" s="25">
        <f t="shared" si="55"/>
        <v>0</v>
      </c>
      <c r="O1103">
        <v>1</v>
      </c>
      <c r="P1103" s="25">
        <f t="shared" si="57"/>
        <v>1</v>
      </c>
      <c r="Q1103">
        <v>29</v>
      </c>
      <c r="R1103" t="s">
        <v>124</v>
      </c>
      <c r="S1103" t="s">
        <v>124</v>
      </c>
      <c r="T1103" t="s">
        <v>124</v>
      </c>
      <c r="U1103" t="s">
        <v>124</v>
      </c>
      <c r="X1103" s="19">
        <f t="shared" si="53"/>
        <v>0.8</v>
      </c>
      <c r="Y1103" s="19">
        <f t="shared" si="54"/>
        <v>0</v>
      </c>
      <c r="Z1103" s="26"/>
    </row>
    <row r="1104" spans="1:26" x14ac:dyDescent="0.35">
      <c r="A1104" t="s">
        <v>122</v>
      </c>
      <c r="B1104" t="s">
        <v>122</v>
      </c>
      <c r="C1104" t="s">
        <v>123</v>
      </c>
      <c r="D1104" t="s">
        <v>101</v>
      </c>
      <c r="E1104" t="s">
        <v>99</v>
      </c>
      <c r="F1104" t="s">
        <v>12</v>
      </c>
      <c r="G1104">
        <v>1</v>
      </c>
      <c r="H1104">
        <v>116</v>
      </c>
      <c r="I1104">
        <v>0.8</v>
      </c>
      <c r="J1104" s="25">
        <f t="shared" si="56"/>
        <v>0.8</v>
      </c>
      <c r="K1104">
        <v>1357</v>
      </c>
      <c r="L1104">
        <v>0</v>
      </c>
      <c r="M1104">
        <v>0</v>
      </c>
      <c r="N1104" s="25">
        <f t="shared" si="55"/>
        <v>0</v>
      </c>
      <c r="O1104">
        <v>1</v>
      </c>
      <c r="P1104" s="25">
        <f t="shared" si="57"/>
        <v>1</v>
      </c>
      <c r="Q1104">
        <v>29</v>
      </c>
      <c r="R1104" t="s">
        <v>124</v>
      </c>
      <c r="S1104" t="s">
        <v>124</v>
      </c>
      <c r="T1104" t="s">
        <v>124</v>
      </c>
      <c r="U1104" t="s">
        <v>124</v>
      </c>
      <c r="X1104" s="19">
        <f t="shared" si="53"/>
        <v>0.8</v>
      </c>
      <c r="Y1104" s="19">
        <f t="shared" si="54"/>
        <v>0</v>
      </c>
      <c r="Z1104" s="26"/>
    </row>
    <row r="1105" spans="1:26" x14ac:dyDescent="0.35">
      <c r="A1105" t="s">
        <v>122</v>
      </c>
      <c r="B1105" t="s">
        <v>122</v>
      </c>
      <c r="C1105" t="s">
        <v>123</v>
      </c>
      <c r="D1105" t="s">
        <v>101</v>
      </c>
      <c r="E1105" t="s">
        <v>99</v>
      </c>
      <c r="F1105" t="s">
        <v>12</v>
      </c>
      <c r="G1105">
        <v>1</v>
      </c>
      <c r="H1105">
        <v>116</v>
      </c>
      <c r="I1105">
        <v>0.8</v>
      </c>
      <c r="J1105" s="25">
        <f t="shared" si="56"/>
        <v>0.8</v>
      </c>
      <c r="K1105">
        <v>1357</v>
      </c>
      <c r="L1105">
        <v>0</v>
      </c>
      <c r="M1105">
        <v>0</v>
      </c>
      <c r="N1105" s="25">
        <f t="shared" si="55"/>
        <v>0</v>
      </c>
      <c r="O1105">
        <v>1</v>
      </c>
      <c r="P1105" s="25">
        <f t="shared" si="57"/>
        <v>1</v>
      </c>
      <c r="Q1105">
        <v>29</v>
      </c>
      <c r="R1105" t="s">
        <v>124</v>
      </c>
      <c r="S1105" t="s">
        <v>124</v>
      </c>
      <c r="T1105" t="s">
        <v>124</v>
      </c>
      <c r="U1105" t="s">
        <v>124</v>
      </c>
      <c r="X1105" s="19">
        <f t="shared" si="53"/>
        <v>0.8</v>
      </c>
      <c r="Y1105" s="19">
        <f t="shared" si="54"/>
        <v>0</v>
      </c>
      <c r="Z1105" s="26"/>
    </row>
    <row r="1106" spans="1:26" x14ac:dyDescent="0.35">
      <c r="A1106" t="s">
        <v>122</v>
      </c>
      <c r="B1106" t="s">
        <v>122</v>
      </c>
      <c r="C1106" t="s">
        <v>123</v>
      </c>
      <c r="D1106" t="s">
        <v>101</v>
      </c>
      <c r="E1106" t="s">
        <v>99</v>
      </c>
      <c r="F1106" t="s">
        <v>12</v>
      </c>
      <c r="G1106">
        <v>1</v>
      </c>
      <c r="H1106">
        <v>116</v>
      </c>
      <c r="I1106">
        <v>0.8</v>
      </c>
      <c r="J1106" s="25">
        <f t="shared" si="56"/>
        <v>0.8</v>
      </c>
      <c r="K1106">
        <v>1357</v>
      </c>
      <c r="L1106">
        <v>0</v>
      </c>
      <c r="M1106">
        <v>0</v>
      </c>
      <c r="N1106" s="25">
        <f t="shared" si="55"/>
        <v>0</v>
      </c>
      <c r="O1106">
        <v>1</v>
      </c>
      <c r="P1106" s="25">
        <f t="shared" si="57"/>
        <v>1</v>
      </c>
      <c r="Q1106">
        <v>29</v>
      </c>
      <c r="R1106" t="s">
        <v>124</v>
      </c>
      <c r="S1106" t="s">
        <v>124</v>
      </c>
      <c r="T1106" t="s">
        <v>124</v>
      </c>
      <c r="U1106" t="s">
        <v>124</v>
      </c>
      <c r="X1106" s="19">
        <f t="shared" si="53"/>
        <v>0.8</v>
      </c>
      <c r="Y1106" s="19">
        <f t="shared" si="54"/>
        <v>0</v>
      </c>
      <c r="Z1106" s="26"/>
    </row>
    <row r="1107" spans="1:26" x14ac:dyDescent="0.35">
      <c r="A1107" t="s">
        <v>122</v>
      </c>
      <c r="B1107" t="s">
        <v>122</v>
      </c>
      <c r="C1107" t="s">
        <v>123</v>
      </c>
      <c r="D1107" t="s">
        <v>101</v>
      </c>
      <c r="E1107" t="s">
        <v>99</v>
      </c>
      <c r="F1107" t="s">
        <v>12</v>
      </c>
      <c r="G1107">
        <v>1</v>
      </c>
      <c r="H1107">
        <v>116</v>
      </c>
      <c r="I1107">
        <v>0.8</v>
      </c>
      <c r="J1107" s="25">
        <f t="shared" si="56"/>
        <v>0.8</v>
      </c>
      <c r="K1107">
        <v>1357</v>
      </c>
      <c r="L1107">
        <v>0</v>
      </c>
      <c r="M1107">
        <v>0</v>
      </c>
      <c r="N1107" s="25">
        <f t="shared" si="55"/>
        <v>0</v>
      </c>
      <c r="O1107">
        <v>1</v>
      </c>
      <c r="P1107" s="25">
        <f t="shared" si="57"/>
        <v>1</v>
      </c>
      <c r="Q1107">
        <v>29</v>
      </c>
      <c r="R1107" t="s">
        <v>124</v>
      </c>
      <c r="S1107" t="s">
        <v>124</v>
      </c>
      <c r="T1107" t="s">
        <v>124</v>
      </c>
      <c r="U1107" t="s">
        <v>124</v>
      </c>
      <c r="X1107" s="19">
        <f t="shared" si="53"/>
        <v>0.8</v>
      </c>
      <c r="Y1107" s="19">
        <f t="shared" si="54"/>
        <v>0</v>
      </c>
      <c r="Z1107" s="26"/>
    </row>
    <row r="1108" spans="1:26" x14ac:dyDescent="0.35">
      <c r="A1108" t="s">
        <v>122</v>
      </c>
      <c r="B1108" t="s">
        <v>122</v>
      </c>
      <c r="C1108" t="s">
        <v>123</v>
      </c>
      <c r="D1108" t="s">
        <v>101</v>
      </c>
      <c r="E1108" t="s">
        <v>99</v>
      </c>
      <c r="F1108" t="s">
        <v>12</v>
      </c>
      <c r="G1108">
        <v>1</v>
      </c>
      <c r="H1108">
        <v>116</v>
      </c>
      <c r="I1108">
        <v>0.8</v>
      </c>
      <c r="J1108" s="25">
        <f t="shared" si="56"/>
        <v>0.8</v>
      </c>
      <c r="K1108">
        <v>1357</v>
      </c>
      <c r="L1108">
        <v>0</v>
      </c>
      <c r="M1108">
        <v>0</v>
      </c>
      <c r="N1108" s="25">
        <f t="shared" si="55"/>
        <v>0</v>
      </c>
      <c r="O1108">
        <v>1</v>
      </c>
      <c r="P1108" s="25">
        <f t="shared" si="57"/>
        <v>1</v>
      </c>
      <c r="Q1108">
        <v>29</v>
      </c>
      <c r="R1108" t="s">
        <v>124</v>
      </c>
      <c r="S1108" t="s">
        <v>124</v>
      </c>
      <c r="T1108" t="s">
        <v>124</v>
      </c>
      <c r="U1108" t="s">
        <v>124</v>
      </c>
      <c r="X1108" s="19">
        <f t="shared" si="53"/>
        <v>0.8</v>
      </c>
      <c r="Y1108" s="19">
        <f t="shared" si="54"/>
        <v>0</v>
      </c>
      <c r="Z1108" s="26"/>
    </row>
    <row r="1109" spans="1:26" x14ac:dyDescent="0.35">
      <c r="A1109" t="s">
        <v>122</v>
      </c>
      <c r="B1109" t="s">
        <v>122</v>
      </c>
      <c r="C1109" t="s">
        <v>123</v>
      </c>
      <c r="D1109" t="s">
        <v>101</v>
      </c>
      <c r="E1109" t="s">
        <v>99</v>
      </c>
      <c r="F1109" t="s">
        <v>12</v>
      </c>
      <c r="G1109">
        <v>1</v>
      </c>
      <c r="H1109">
        <v>116</v>
      </c>
      <c r="I1109">
        <v>0.8</v>
      </c>
      <c r="J1109" s="25">
        <f t="shared" si="56"/>
        <v>0.8</v>
      </c>
      <c r="K1109">
        <v>1357</v>
      </c>
      <c r="L1109">
        <v>0</v>
      </c>
      <c r="M1109">
        <v>0</v>
      </c>
      <c r="N1109" s="25">
        <f t="shared" si="55"/>
        <v>0</v>
      </c>
      <c r="O1109">
        <v>1</v>
      </c>
      <c r="P1109" s="25">
        <f t="shared" si="57"/>
        <v>1</v>
      </c>
      <c r="Q1109">
        <v>29</v>
      </c>
      <c r="R1109" t="s">
        <v>124</v>
      </c>
      <c r="S1109" t="s">
        <v>124</v>
      </c>
      <c r="T1109" t="s">
        <v>124</v>
      </c>
      <c r="U1109" t="s">
        <v>124</v>
      </c>
      <c r="X1109" s="19">
        <f t="shared" si="53"/>
        <v>0.8</v>
      </c>
      <c r="Y1109" s="19">
        <f t="shared" si="54"/>
        <v>0</v>
      </c>
      <c r="Z1109" s="26"/>
    </row>
    <row r="1110" spans="1:26" x14ac:dyDescent="0.35">
      <c r="A1110" t="s">
        <v>122</v>
      </c>
      <c r="B1110" t="s">
        <v>122</v>
      </c>
      <c r="C1110" t="s">
        <v>123</v>
      </c>
      <c r="D1110" t="s">
        <v>101</v>
      </c>
      <c r="E1110" t="s">
        <v>99</v>
      </c>
      <c r="F1110" t="s">
        <v>12</v>
      </c>
      <c r="G1110">
        <v>1</v>
      </c>
      <c r="H1110">
        <v>116</v>
      </c>
      <c r="I1110">
        <v>0.8</v>
      </c>
      <c r="J1110" s="25">
        <f t="shared" si="56"/>
        <v>0.8</v>
      </c>
      <c r="K1110">
        <v>1357</v>
      </c>
      <c r="L1110">
        <v>0</v>
      </c>
      <c r="M1110">
        <v>0</v>
      </c>
      <c r="N1110" s="25">
        <f t="shared" si="55"/>
        <v>0</v>
      </c>
      <c r="O1110">
        <v>1</v>
      </c>
      <c r="P1110" s="25">
        <f t="shared" si="57"/>
        <v>1</v>
      </c>
      <c r="Q1110">
        <v>29</v>
      </c>
      <c r="R1110" t="s">
        <v>124</v>
      </c>
      <c r="S1110" t="s">
        <v>124</v>
      </c>
      <c r="T1110" t="s">
        <v>124</v>
      </c>
      <c r="U1110" t="s">
        <v>124</v>
      </c>
      <c r="X1110" s="19">
        <f t="shared" si="53"/>
        <v>0.8</v>
      </c>
      <c r="Y1110" s="19">
        <f t="shared" si="54"/>
        <v>0</v>
      </c>
      <c r="Z1110" s="26"/>
    </row>
    <row r="1111" spans="1:26" x14ac:dyDescent="0.35">
      <c r="A1111" t="s">
        <v>122</v>
      </c>
      <c r="B1111" t="s">
        <v>122</v>
      </c>
      <c r="C1111" t="s">
        <v>123</v>
      </c>
      <c r="D1111" t="s">
        <v>101</v>
      </c>
      <c r="E1111" t="s">
        <v>99</v>
      </c>
      <c r="F1111" t="s">
        <v>12</v>
      </c>
      <c r="G1111">
        <v>1</v>
      </c>
      <c r="H1111">
        <v>116</v>
      </c>
      <c r="I1111">
        <v>0.8</v>
      </c>
      <c r="J1111" s="25">
        <f t="shared" si="56"/>
        <v>0.8</v>
      </c>
      <c r="K1111">
        <v>1357</v>
      </c>
      <c r="L1111">
        <v>0</v>
      </c>
      <c r="M1111">
        <v>0</v>
      </c>
      <c r="N1111" s="25">
        <f t="shared" si="55"/>
        <v>0</v>
      </c>
      <c r="O1111">
        <v>1</v>
      </c>
      <c r="P1111" s="25">
        <f t="shared" si="57"/>
        <v>1</v>
      </c>
      <c r="Q1111">
        <v>29</v>
      </c>
      <c r="R1111" t="s">
        <v>124</v>
      </c>
      <c r="S1111" t="s">
        <v>124</v>
      </c>
      <c r="T1111" t="s">
        <v>124</v>
      </c>
      <c r="U1111" t="s">
        <v>124</v>
      </c>
      <c r="X1111" s="19">
        <f t="shared" si="53"/>
        <v>0.8</v>
      </c>
      <c r="Y1111" s="19">
        <f t="shared" si="54"/>
        <v>0</v>
      </c>
      <c r="Z1111" s="26"/>
    </row>
    <row r="1112" spans="1:26" x14ac:dyDescent="0.35">
      <c r="A1112" t="s">
        <v>122</v>
      </c>
      <c r="B1112" t="s">
        <v>122</v>
      </c>
      <c r="C1112" t="s">
        <v>123</v>
      </c>
      <c r="D1112" t="s">
        <v>101</v>
      </c>
      <c r="E1112" t="s">
        <v>99</v>
      </c>
      <c r="F1112" t="s">
        <v>12</v>
      </c>
      <c r="G1112">
        <v>1</v>
      </c>
      <c r="H1112">
        <v>116</v>
      </c>
      <c r="I1112">
        <v>0.8</v>
      </c>
      <c r="J1112" s="25">
        <f t="shared" si="56"/>
        <v>0.8</v>
      </c>
      <c r="K1112">
        <v>1357</v>
      </c>
      <c r="L1112">
        <v>0</v>
      </c>
      <c r="M1112">
        <v>0</v>
      </c>
      <c r="N1112" s="25">
        <f t="shared" si="55"/>
        <v>0</v>
      </c>
      <c r="O1112">
        <v>1</v>
      </c>
      <c r="P1112" s="25">
        <f t="shared" si="57"/>
        <v>1</v>
      </c>
      <c r="Q1112">
        <v>29</v>
      </c>
      <c r="R1112" t="s">
        <v>124</v>
      </c>
      <c r="S1112" t="s">
        <v>124</v>
      </c>
      <c r="T1112" t="s">
        <v>124</v>
      </c>
      <c r="U1112" t="s">
        <v>124</v>
      </c>
      <c r="X1112" s="19">
        <f t="shared" si="53"/>
        <v>0.8</v>
      </c>
      <c r="Y1112" s="19">
        <f t="shared" si="54"/>
        <v>0</v>
      </c>
      <c r="Z1112" s="26"/>
    </row>
    <row r="1113" spans="1:26" x14ac:dyDescent="0.35">
      <c r="A1113" t="s">
        <v>122</v>
      </c>
      <c r="B1113" t="s">
        <v>122</v>
      </c>
      <c r="C1113" t="s">
        <v>123</v>
      </c>
      <c r="D1113" t="s">
        <v>101</v>
      </c>
      <c r="E1113" t="s">
        <v>99</v>
      </c>
      <c r="F1113" t="s">
        <v>12</v>
      </c>
      <c r="G1113">
        <v>1</v>
      </c>
      <c r="H1113">
        <v>116</v>
      </c>
      <c r="I1113">
        <v>0.8</v>
      </c>
      <c r="J1113" s="25">
        <f t="shared" si="56"/>
        <v>0.8</v>
      </c>
      <c r="K1113">
        <v>1357</v>
      </c>
      <c r="L1113">
        <v>0</v>
      </c>
      <c r="M1113">
        <v>0</v>
      </c>
      <c r="N1113" s="25">
        <f t="shared" si="55"/>
        <v>0</v>
      </c>
      <c r="O1113">
        <v>1</v>
      </c>
      <c r="P1113" s="25">
        <f t="shared" si="57"/>
        <v>1</v>
      </c>
      <c r="Q1113">
        <v>29</v>
      </c>
      <c r="R1113" t="s">
        <v>124</v>
      </c>
      <c r="S1113" t="s">
        <v>124</v>
      </c>
      <c r="T1113" t="s">
        <v>124</v>
      </c>
      <c r="U1113" t="s">
        <v>124</v>
      </c>
      <c r="X1113" s="19">
        <f t="shared" si="53"/>
        <v>0.8</v>
      </c>
      <c r="Y1113" s="19">
        <f t="shared" si="54"/>
        <v>0</v>
      </c>
      <c r="Z1113" s="26"/>
    </row>
    <row r="1114" spans="1:26" x14ac:dyDescent="0.35">
      <c r="A1114" t="s">
        <v>122</v>
      </c>
      <c r="B1114" t="s">
        <v>122</v>
      </c>
      <c r="C1114" t="s">
        <v>123</v>
      </c>
      <c r="D1114" t="s">
        <v>101</v>
      </c>
      <c r="E1114" t="s">
        <v>99</v>
      </c>
      <c r="F1114" t="s">
        <v>12</v>
      </c>
      <c r="G1114">
        <v>1</v>
      </c>
      <c r="H1114">
        <v>116</v>
      </c>
      <c r="I1114">
        <v>0.8</v>
      </c>
      <c r="J1114" s="25">
        <f t="shared" si="56"/>
        <v>0.8</v>
      </c>
      <c r="K1114">
        <v>1357</v>
      </c>
      <c r="L1114">
        <v>0</v>
      </c>
      <c r="M1114">
        <v>0</v>
      </c>
      <c r="N1114" s="25">
        <f t="shared" si="55"/>
        <v>0</v>
      </c>
      <c r="O1114">
        <v>1</v>
      </c>
      <c r="P1114" s="25">
        <f t="shared" si="57"/>
        <v>1</v>
      </c>
      <c r="Q1114">
        <v>29</v>
      </c>
      <c r="R1114" t="s">
        <v>124</v>
      </c>
      <c r="S1114" t="s">
        <v>124</v>
      </c>
      <c r="T1114" t="s">
        <v>124</v>
      </c>
      <c r="U1114" t="s">
        <v>124</v>
      </c>
      <c r="X1114" s="19">
        <f t="shared" si="53"/>
        <v>0.8</v>
      </c>
      <c r="Y1114" s="19">
        <f t="shared" si="54"/>
        <v>0</v>
      </c>
      <c r="Z1114" s="26"/>
    </row>
    <row r="1115" spans="1:26" x14ac:dyDescent="0.35">
      <c r="A1115" t="s">
        <v>122</v>
      </c>
      <c r="B1115" t="s">
        <v>122</v>
      </c>
      <c r="C1115" t="s">
        <v>123</v>
      </c>
      <c r="D1115" t="s">
        <v>101</v>
      </c>
      <c r="E1115" t="s">
        <v>99</v>
      </c>
      <c r="F1115" t="s">
        <v>12</v>
      </c>
      <c r="G1115">
        <v>1</v>
      </c>
      <c r="H1115">
        <v>116</v>
      </c>
      <c r="I1115">
        <v>0.8</v>
      </c>
      <c r="J1115" s="25">
        <f t="shared" si="56"/>
        <v>0.8</v>
      </c>
      <c r="K1115">
        <v>1357</v>
      </c>
      <c r="L1115">
        <v>0</v>
      </c>
      <c r="M1115">
        <v>0</v>
      </c>
      <c r="N1115" s="25">
        <f t="shared" si="55"/>
        <v>0</v>
      </c>
      <c r="O1115">
        <v>1</v>
      </c>
      <c r="P1115" s="25">
        <f t="shared" si="57"/>
        <v>1</v>
      </c>
      <c r="Q1115">
        <v>29</v>
      </c>
      <c r="R1115" t="s">
        <v>124</v>
      </c>
      <c r="S1115" t="s">
        <v>124</v>
      </c>
      <c r="T1115" t="s">
        <v>124</v>
      </c>
      <c r="U1115" t="s">
        <v>124</v>
      </c>
      <c r="X1115" s="19">
        <f t="shared" si="53"/>
        <v>0.8</v>
      </c>
      <c r="Y1115" s="19">
        <f t="shared" si="54"/>
        <v>0</v>
      </c>
      <c r="Z1115" s="26"/>
    </row>
    <row r="1116" spans="1:26" x14ac:dyDescent="0.35">
      <c r="A1116" t="s">
        <v>122</v>
      </c>
      <c r="B1116" t="s">
        <v>122</v>
      </c>
      <c r="C1116" t="s">
        <v>123</v>
      </c>
      <c r="D1116" t="s">
        <v>101</v>
      </c>
      <c r="E1116" t="s">
        <v>99</v>
      </c>
      <c r="F1116" t="s">
        <v>12</v>
      </c>
      <c r="G1116">
        <v>1</v>
      </c>
      <c r="H1116">
        <v>116</v>
      </c>
      <c r="I1116">
        <v>0.8</v>
      </c>
      <c r="J1116" s="25">
        <f t="shared" si="56"/>
        <v>0.8</v>
      </c>
      <c r="K1116">
        <v>1357</v>
      </c>
      <c r="L1116">
        <v>0</v>
      </c>
      <c r="M1116">
        <v>0</v>
      </c>
      <c r="N1116" s="25">
        <f t="shared" si="55"/>
        <v>0</v>
      </c>
      <c r="O1116">
        <v>1</v>
      </c>
      <c r="P1116" s="25">
        <f t="shared" si="57"/>
        <v>1</v>
      </c>
      <c r="Q1116">
        <v>29</v>
      </c>
      <c r="R1116" t="s">
        <v>124</v>
      </c>
      <c r="S1116" t="s">
        <v>124</v>
      </c>
      <c r="T1116" t="s">
        <v>124</v>
      </c>
      <c r="U1116" t="s">
        <v>124</v>
      </c>
      <c r="X1116" s="19">
        <f t="shared" si="53"/>
        <v>0.8</v>
      </c>
      <c r="Y1116" s="19">
        <f t="shared" si="54"/>
        <v>0</v>
      </c>
      <c r="Z1116" s="26"/>
    </row>
    <row r="1117" spans="1:26" x14ac:dyDescent="0.35">
      <c r="A1117" t="s">
        <v>122</v>
      </c>
      <c r="B1117" t="s">
        <v>122</v>
      </c>
      <c r="C1117" t="s">
        <v>123</v>
      </c>
      <c r="D1117" t="s">
        <v>101</v>
      </c>
      <c r="E1117" t="s">
        <v>99</v>
      </c>
      <c r="F1117" t="s">
        <v>12</v>
      </c>
      <c r="G1117">
        <v>1</v>
      </c>
      <c r="H1117">
        <v>116</v>
      </c>
      <c r="I1117">
        <v>0.8</v>
      </c>
      <c r="J1117" s="25">
        <f t="shared" si="56"/>
        <v>0.8</v>
      </c>
      <c r="K1117">
        <v>1357</v>
      </c>
      <c r="L1117">
        <v>0</v>
      </c>
      <c r="M1117">
        <v>0</v>
      </c>
      <c r="N1117" s="25">
        <f t="shared" si="55"/>
        <v>0</v>
      </c>
      <c r="O1117">
        <v>1</v>
      </c>
      <c r="P1117" s="25">
        <f t="shared" si="57"/>
        <v>1</v>
      </c>
      <c r="Q1117">
        <v>29</v>
      </c>
      <c r="R1117" t="s">
        <v>124</v>
      </c>
      <c r="S1117" t="s">
        <v>124</v>
      </c>
      <c r="T1117" t="s">
        <v>124</v>
      </c>
      <c r="U1117" t="s">
        <v>124</v>
      </c>
      <c r="X1117" s="19">
        <f t="shared" si="53"/>
        <v>0.8</v>
      </c>
      <c r="Y1117" s="19">
        <f t="shared" si="54"/>
        <v>0</v>
      </c>
      <c r="Z1117" s="26"/>
    </row>
    <row r="1118" spans="1:26" x14ac:dyDescent="0.35">
      <c r="A1118" t="s">
        <v>122</v>
      </c>
      <c r="B1118" t="s">
        <v>122</v>
      </c>
      <c r="C1118" t="s">
        <v>123</v>
      </c>
      <c r="D1118" t="s">
        <v>101</v>
      </c>
      <c r="E1118" t="s">
        <v>99</v>
      </c>
      <c r="F1118" t="s">
        <v>12</v>
      </c>
      <c r="G1118">
        <v>1</v>
      </c>
      <c r="H1118">
        <v>116</v>
      </c>
      <c r="I1118">
        <v>0.8</v>
      </c>
      <c r="J1118" s="25">
        <f t="shared" si="56"/>
        <v>0.8</v>
      </c>
      <c r="K1118">
        <v>1357</v>
      </c>
      <c r="L1118">
        <v>0</v>
      </c>
      <c r="M1118">
        <v>0</v>
      </c>
      <c r="N1118" s="25">
        <f t="shared" si="55"/>
        <v>0</v>
      </c>
      <c r="O1118">
        <v>1</v>
      </c>
      <c r="P1118" s="25">
        <f t="shared" si="57"/>
        <v>1</v>
      </c>
      <c r="Q1118">
        <v>29</v>
      </c>
      <c r="R1118" t="s">
        <v>124</v>
      </c>
      <c r="S1118" t="s">
        <v>124</v>
      </c>
      <c r="T1118" t="s">
        <v>124</v>
      </c>
      <c r="U1118" t="s">
        <v>124</v>
      </c>
      <c r="X1118" s="19">
        <f t="shared" si="53"/>
        <v>0.8</v>
      </c>
      <c r="Y1118" s="19">
        <f t="shared" si="54"/>
        <v>0</v>
      </c>
      <c r="Z1118" s="26"/>
    </row>
    <row r="1119" spans="1:26" x14ac:dyDescent="0.35">
      <c r="A1119" t="s">
        <v>122</v>
      </c>
      <c r="B1119" t="s">
        <v>122</v>
      </c>
      <c r="C1119" t="s">
        <v>123</v>
      </c>
      <c r="D1119" t="s">
        <v>101</v>
      </c>
      <c r="E1119" t="s">
        <v>99</v>
      </c>
      <c r="F1119" t="s">
        <v>12</v>
      </c>
      <c r="G1119">
        <v>1</v>
      </c>
      <c r="H1119">
        <v>116</v>
      </c>
      <c r="I1119">
        <v>0.8</v>
      </c>
      <c r="J1119" s="25">
        <f t="shared" si="56"/>
        <v>0.8</v>
      </c>
      <c r="K1119">
        <v>1357</v>
      </c>
      <c r="L1119">
        <v>0</v>
      </c>
      <c r="M1119">
        <v>0</v>
      </c>
      <c r="N1119" s="25">
        <f t="shared" si="55"/>
        <v>0</v>
      </c>
      <c r="O1119">
        <v>1</v>
      </c>
      <c r="P1119" s="25">
        <f t="shared" si="57"/>
        <v>1</v>
      </c>
      <c r="Q1119">
        <v>29</v>
      </c>
      <c r="R1119" t="s">
        <v>124</v>
      </c>
      <c r="S1119" t="s">
        <v>124</v>
      </c>
      <c r="T1119" t="s">
        <v>124</v>
      </c>
      <c r="U1119" t="s">
        <v>124</v>
      </c>
      <c r="X1119" s="19">
        <f t="shared" si="53"/>
        <v>0.8</v>
      </c>
      <c r="Y1119" s="19">
        <f t="shared" si="54"/>
        <v>0</v>
      </c>
      <c r="Z1119" s="26"/>
    </row>
    <row r="1120" spans="1:26" x14ac:dyDescent="0.35">
      <c r="A1120" t="s">
        <v>122</v>
      </c>
      <c r="B1120" t="s">
        <v>122</v>
      </c>
      <c r="C1120" t="s">
        <v>123</v>
      </c>
      <c r="D1120" t="s">
        <v>101</v>
      </c>
      <c r="E1120" t="s">
        <v>99</v>
      </c>
      <c r="F1120" t="s">
        <v>12</v>
      </c>
      <c r="G1120">
        <v>1</v>
      </c>
      <c r="H1120">
        <v>116</v>
      </c>
      <c r="I1120">
        <v>0.8</v>
      </c>
      <c r="J1120" s="25">
        <f t="shared" si="56"/>
        <v>0.8</v>
      </c>
      <c r="K1120">
        <v>1357</v>
      </c>
      <c r="L1120">
        <v>0</v>
      </c>
      <c r="M1120">
        <v>0</v>
      </c>
      <c r="N1120" s="25">
        <f t="shared" si="55"/>
        <v>0</v>
      </c>
      <c r="O1120">
        <v>1</v>
      </c>
      <c r="P1120" s="25">
        <f t="shared" si="57"/>
        <v>1</v>
      </c>
      <c r="Q1120">
        <v>29</v>
      </c>
      <c r="R1120" t="s">
        <v>124</v>
      </c>
      <c r="S1120" t="s">
        <v>124</v>
      </c>
      <c r="T1120" t="s">
        <v>124</v>
      </c>
      <c r="U1120" t="s">
        <v>124</v>
      </c>
      <c r="X1120" s="19">
        <f t="shared" si="53"/>
        <v>0.8</v>
      </c>
      <c r="Y1120" s="19">
        <f t="shared" si="54"/>
        <v>0</v>
      </c>
      <c r="Z1120" s="26"/>
    </row>
    <row r="1121" spans="1:26" x14ac:dyDescent="0.35">
      <c r="A1121" t="s">
        <v>122</v>
      </c>
      <c r="B1121" t="s">
        <v>122</v>
      </c>
      <c r="C1121" t="s">
        <v>123</v>
      </c>
      <c r="D1121" t="s">
        <v>101</v>
      </c>
      <c r="E1121" t="s">
        <v>99</v>
      </c>
      <c r="F1121" t="s">
        <v>12</v>
      </c>
      <c r="G1121">
        <v>1</v>
      </c>
      <c r="H1121">
        <v>116</v>
      </c>
      <c r="I1121">
        <v>0.8</v>
      </c>
      <c r="J1121" s="25">
        <f t="shared" si="56"/>
        <v>0.8</v>
      </c>
      <c r="K1121">
        <v>1357</v>
      </c>
      <c r="L1121">
        <v>0</v>
      </c>
      <c r="M1121">
        <v>0</v>
      </c>
      <c r="N1121" s="25">
        <f t="shared" si="55"/>
        <v>0</v>
      </c>
      <c r="O1121">
        <v>1</v>
      </c>
      <c r="P1121" s="25">
        <f t="shared" si="57"/>
        <v>1</v>
      </c>
      <c r="Q1121">
        <v>29</v>
      </c>
      <c r="R1121" t="s">
        <v>124</v>
      </c>
      <c r="S1121" t="s">
        <v>124</v>
      </c>
      <c r="T1121" t="s">
        <v>124</v>
      </c>
      <c r="U1121" t="s">
        <v>124</v>
      </c>
      <c r="X1121" s="19">
        <f t="shared" si="53"/>
        <v>0.8</v>
      </c>
      <c r="Y1121" s="19">
        <f t="shared" si="54"/>
        <v>0</v>
      </c>
      <c r="Z1121" s="26"/>
    </row>
    <row r="1122" spans="1:26" x14ac:dyDescent="0.35">
      <c r="A1122" t="s">
        <v>122</v>
      </c>
      <c r="B1122" t="s">
        <v>122</v>
      </c>
      <c r="C1122" t="s">
        <v>123</v>
      </c>
      <c r="D1122" t="s">
        <v>101</v>
      </c>
      <c r="E1122" t="s">
        <v>99</v>
      </c>
      <c r="F1122" t="s">
        <v>12</v>
      </c>
      <c r="G1122">
        <v>1</v>
      </c>
      <c r="H1122">
        <v>116</v>
      </c>
      <c r="I1122">
        <v>0.8</v>
      </c>
      <c r="J1122" s="25">
        <f t="shared" si="56"/>
        <v>0.8</v>
      </c>
      <c r="K1122">
        <v>1357</v>
      </c>
      <c r="L1122">
        <v>0</v>
      </c>
      <c r="M1122">
        <v>0</v>
      </c>
      <c r="N1122" s="25">
        <f t="shared" si="55"/>
        <v>0</v>
      </c>
      <c r="O1122">
        <v>1</v>
      </c>
      <c r="P1122" s="25">
        <f t="shared" si="57"/>
        <v>1</v>
      </c>
      <c r="Q1122">
        <v>29</v>
      </c>
      <c r="R1122" t="s">
        <v>124</v>
      </c>
      <c r="S1122" t="s">
        <v>124</v>
      </c>
      <c r="T1122" t="s">
        <v>124</v>
      </c>
      <c r="U1122" t="s">
        <v>124</v>
      </c>
      <c r="X1122" s="19">
        <f t="shared" si="53"/>
        <v>0.8</v>
      </c>
      <c r="Y1122" s="19">
        <f t="shared" si="54"/>
        <v>0</v>
      </c>
      <c r="Z1122" s="26"/>
    </row>
    <row r="1123" spans="1:26" x14ac:dyDescent="0.35">
      <c r="A1123" t="s">
        <v>122</v>
      </c>
      <c r="B1123" t="s">
        <v>122</v>
      </c>
      <c r="C1123" t="s">
        <v>123</v>
      </c>
      <c r="D1123" t="s">
        <v>101</v>
      </c>
      <c r="E1123" t="s">
        <v>99</v>
      </c>
      <c r="F1123" t="s">
        <v>12</v>
      </c>
      <c r="G1123">
        <v>1</v>
      </c>
      <c r="H1123">
        <v>116</v>
      </c>
      <c r="I1123">
        <v>0.8</v>
      </c>
      <c r="J1123" s="25">
        <f t="shared" si="56"/>
        <v>0.8</v>
      </c>
      <c r="K1123">
        <v>1357</v>
      </c>
      <c r="L1123">
        <v>0</v>
      </c>
      <c r="M1123">
        <v>0</v>
      </c>
      <c r="N1123" s="25">
        <f t="shared" si="55"/>
        <v>0</v>
      </c>
      <c r="O1123">
        <v>1</v>
      </c>
      <c r="P1123" s="25">
        <f t="shared" si="57"/>
        <v>1</v>
      </c>
      <c r="Q1123">
        <v>29</v>
      </c>
      <c r="R1123" t="s">
        <v>124</v>
      </c>
      <c r="S1123" t="s">
        <v>124</v>
      </c>
      <c r="T1123" t="s">
        <v>124</v>
      </c>
      <c r="U1123" t="s">
        <v>124</v>
      </c>
      <c r="X1123" s="19">
        <f t="shared" si="53"/>
        <v>0.8</v>
      </c>
      <c r="Y1123" s="19">
        <f t="shared" si="54"/>
        <v>0</v>
      </c>
      <c r="Z1123" s="26"/>
    </row>
    <row r="1124" spans="1:26" x14ac:dyDescent="0.35">
      <c r="A1124" t="s">
        <v>122</v>
      </c>
      <c r="B1124" t="s">
        <v>122</v>
      </c>
      <c r="C1124" t="s">
        <v>123</v>
      </c>
      <c r="D1124" t="s">
        <v>101</v>
      </c>
      <c r="E1124" t="s">
        <v>99</v>
      </c>
      <c r="F1124" t="s">
        <v>12</v>
      </c>
      <c r="G1124">
        <v>1</v>
      </c>
      <c r="H1124">
        <v>116</v>
      </c>
      <c r="I1124">
        <v>0.8</v>
      </c>
      <c r="J1124" s="25">
        <f t="shared" si="56"/>
        <v>0.8</v>
      </c>
      <c r="K1124">
        <v>1357</v>
      </c>
      <c r="L1124">
        <v>0</v>
      </c>
      <c r="M1124">
        <v>0</v>
      </c>
      <c r="N1124" s="25">
        <f t="shared" si="55"/>
        <v>0</v>
      </c>
      <c r="O1124">
        <v>1</v>
      </c>
      <c r="P1124" s="25">
        <f t="shared" si="57"/>
        <v>1</v>
      </c>
      <c r="Q1124">
        <v>29</v>
      </c>
      <c r="R1124" t="s">
        <v>124</v>
      </c>
      <c r="S1124" t="s">
        <v>124</v>
      </c>
      <c r="T1124" t="s">
        <v>124</v>
      </c>
      <c r="U1124" t="s">
        <v>124</v>
      </c>
      <c r="X1124" s="19">
        <f t="shared" si="53"/>
        <v>0.8</v>
      </c>
      <c r="Y1124" s="19">
        <f t="shared" si="54"/>
        <v>0</v>
      </c>
      <c r="Z1124" s="26"/>
    </row>
    <row r="1125" spans="1:26" x14ac:dyDescent="0.35">
      <c r="A1125" t="s">
        <v>122</v>
      </c>
      <c r="B1125" t="s">
        <v>122</v>
      </c>
      <c r="C1125" t="s">
        <v>123</v>
      </c>
      <c r="D1125" t="s">
        <v>101</v>
      </c>
      <c r="E1125" t="s">
        <v>99</v>
      </c>
      <c r="F1125" t="s">
        <v>12</v>
      </c>
      <c r="G1125">
        <v>1</v>
      </c>
      <c r="H1125">
        <v>116</v>
      </c>
      <c r="I1125">
        <v>0.8</v>
      </c>
      <c r="J1125" s="25">
        <f t="shared" si="56"/>
        <v>0.8</v>
      </c>
      <c r="K1125">
        <v>1357</v>
      </c>
      <c r="L1125">
        <v>0</v>
      </c>
      <c r="M1125">
        <v>0</v>
      </c>
      <c r="N1125" s="25">
        <f t="shared" si="55"/>
        <v>0</v>
      </c>
      <c r="O1125">
        <v>1</v>
      </c>
      <c r="P1125" s="25">
        <f t="shared" si="57"/>
        <v>1</v>
      </c>
      <c r="Q1125">
        <v>29</v>
      </c>
      <c r="R1125" t="s">
        <v>124</v>
      </c>
      <c r="S1125" t="s">
        <v>124</v>
      </c>
      <c r="T1125" t="s">
        <v>124</v>
      </c>
      <c r="U1125" t="s">
        <v>124</v>
      </c>
      <c r="X1125" s="19">
        <f t="shared" si="53"/>
        <v>0.8</v>
      </c>
      <c r="Y1125" s="19">
        <f t="shared" si="54"/>
        <v>0</v>
      </c>
      <c r="Z1125" s="26"/>
    </row>
    <row r="1126" spans="1:26" x14ac:dyDescent="0.35">
      <c r="A1126" t="s">
        <v>122</v>
      </c>
      <c r="B1126" t="s">
        <v>122</v>
      </c>
      <c r="C1126" t="s">
        <v>123</v>
      </c>
      <c r="D1126" t="s">
        <v>101</v>
      </c>
      <c r="E1126" t="s">
        <v>99</v>
      </c>
      <c r="F1126" t="s">
        <v>12</v>
      </c>
      <c r="G1126">
        <v>1</v>
      </c>
      <c r="H1126">
        <v>116</v>
      </c>
      <c r="I1126">
        <v>0.8</v>
      </c>
      <c r="J1126" s="25">
        <f t="shared" si="56"/>
        <v>0.8</v>
      </c>
      <c r="K1126">
        <v>1357</v>
      </c>
      <c r="L1126">
        <v>0</v>
      </c>
      <c r="M1126">
        <v>0</v>
      </c>
      <c r="N1126" s="25">
        <f t="shared" si="55"/>
        <v>0</v>
      </c>
      <c r="O1126">
        <v>1</v>
      </c>
      <c r="P1126" s="25">
        <f t="shared" si="57"/>
        <v>1</v>
      </c>
      <c r="Q1126">
        <v>29</v>
      </c>
      <c r="R1126" t="s">
        <v>124</v>
      </c>
      <c r="S1126" t="s">
        <v>124</v>
      </c>
      <c r="T1126" t="s">
        <v>124</v>
      </c>
      <c r="U1126" t="s">
        <v>124</v>
      </c>
      <c r="X1126" s="19">
        <f t="shared" si="53"/>
        <v>0.8</v>
      </c>
      <c r="Y1126" s="19">
        <f t="shared" si="54"/>
        <v>0</v>
      </c>
      <c r="Z1126" s="26"/>
    </row>
    <row r="1127" spans="1:26" x14ac:dyDescent="0.35">
      <c r="A1127" t="s">
        <v>122</v>
      </c>
      <c r="B1127" t="s">
        <v>122</v>
      </c>
      <c r="C1127" t="s">
        <v>123</v>
      </c>
      <c r="D1127" t="s">
        <v>101</v>
      </c>
      <c r="E1127" t="s">
        <v>99</v>
      </c>
      <c r="F1127" t="s">
        <v>12</v>
      </c>
      <c r="G1127">
        <v>1</v>
      </c>
      <c r="H1127">
        <v>116</v>
      </c>
      <c r="I1127">
        <v>0.8</v>
      </c>
      <c r="J1127" s="25">
        <f t="shared" si="56"/>
        <v>0.8</v>
      </c>
      <c r="K1127">
        <v>1357</v>
      </c>
      <c r="L1127">
        <v>0</v>
      </c>
      <c r="M1127">
        <v>0</v>
      </c>
      <c r="N1127" s="25">
        <f t="shared" si="55"/>
        <v>0</v>
      </c>
      <c r="O1127">
        <v>1</v>
      </c>
      <c r="P1127" s="25">
        <f t="shared" si="57"/>
        <v>1</v>
      </c>
      <c r="Q1127">
        <v>29</v>
      </c>
      <c r="R1127" t="s">
        <v>124</v>
      </c>
      <c r="S1127" t="s">
        <v>124</v>
      </c>
      <c r="T1127" t="s">
        <v>124</v>
      </c>
      <c r="U1127" t="s">
        <v>124</v>
      </c>
      <c r="X1127" s="19">
        <f t="shared" si="53"/>
        <v>0.8</v>
      </c>
      <c r="Y1127" s="19">
        <f t="shared" si="54"/>
        <v>0</v>
      </c>
      <c r="Z1127" s="26"/>
    </row>
    <row r="1128" spans="1:26" x14ac:dyDescent="0.35">
      <c r="A1128" t="s">
        <v>122</v>
      </c>
      <c r="B1128" t="s">
        <v>122</v>
      </c>
      <c r="C1128" t="s">
        <v>123</v>
      </c>
      <c r="D1128" t="s">
        <v>101</v>
      </c>
      <c r="E1128" t="s">
        <v>99</v>
      </c>
      <c r="F1128" t="s">
        <v>12</v>
      </c>
      <c r="G1128">
        <v>1</v>
      </c>
      <c r="H1128">
        <v>116</v>
      </c>
      <c r="I1128">
        <v>0.8</v>
      </c>
      <c r="J1128" s="25">
        <f t="shared" si="56"/>
        <v>0.8</v>
      </c>
      <c r="K1128">
        <v>1357</v>
      </c>
      <c r="L1128">
        <v>0</v>
      </c>
      <c r="M1128">
        <v>0</v>
      </c>
      <c r="N1128" s="25">
        <f t="shared" si="55"/>
        <v>0</v>
      </c>
      <c r="O1128">
        <v>1</v>
      </c>
      <c r="P1128" s="25">
        <f t="shared" si="57"/>
        <v>1</v>
      </c>
      <c r="Q1128">
        <v>29</v>
      </c>
      <c r="R1128" t="s">
        <v>124</v>
      </c>
      <c r="S1128" t="s">
        <v>124</v>
      </c>
      <c r="T1128" t="s">
        <v>124</v>
      </c>
      <c r="U1128" t="s">
        <v>124</v>
      </c>
      <c r="X1128" s="19">
        <f t="shared" si="53"/>
        <v>0.8</v>
      </c>
      <c r="Y1128" s="19">
        <f t="shared" si="54"/>
        <v>0</v>
      </c>
      <c r="Z1128" s="26"/>
    </row>
    <row r="1129" spans="1:26" x14ac:dyDescent="0.35">
      <c r="A1129" t="s">
        <v>122</v>
      </c>
      <c r="B1129" t="s">
        <v>122</v>
      </c>
      <c r="C1129" t="s">
        <v>123</v>
      </c>
      <c r="D1129" t="s">
        <v>101</v>
      </c>
      <c r="E1129" t="s">
        <v>99</v>
      </c>
      <c r="F1129" t="s">
        <v>12</v>
      </c>
      <c r="G1129">
        <v>1</v>
      </c>
      <c r="H1129">
        <v>116</v>
      </c>
      <c r="I1129">
        <v>0.8</v>
      </c>
      <c r="J1129" s="25">
        <f t="shared" si="56"/>
        <v>0.8</v>
      </c>
      <c r="K1129">
        <v>1357</v>
      </c>
      <c r="L1129">
        <v>0</v>
      </c>
      <c r="M1129">
        <v>0</v>
      </c>
      <c r="N1129" s="25">
        <f t="shared" si="55"/>
        <v>0</v>
      </c>
      <c r="O1129">
        <v>1</v>
      </c>
      <c r="P1129" s="25">
        <f t="shared" si="57"/>
        <v>1</v>
      </c>
      <c r="Q1129">
        <v>29</v>
      </c>
      <c r="R1129" t="s">
        <v>124</v>
      </c>
      <c r="S1129" t="s">
        <v>124</v>
      </c>
      <c r="T1129" t="s">
        <v>124</v>
      </c>
      <c r="U1129" t="s">
        <v>124</v>
      </c>
      <c r="X1129" s="19">
        <f t="shared" si="53"/>
        <v>0.8</v>
      </c>
      <c r="Y1129" s="19">
        <f t="shared" si="54"/>
        <v>0</v>
      </c>
      <c r="Z1129" s="26"/>
    </row>
    <row r="1130" spans="1:26" x14ac:dyDescent="0.35">
      <c r="A1130" t="s">
        <v>122</v>
      </c>
      <c r="B1130" t="s">
        <v>122</v>
      </c>
      <c r="C1130" t="s">
        <v>123</v>
      </c>
      <c r="D1130" t="s">
        <v>101</v>
      </c>
      <c r="E1130" t="s">
        <v>99</v>
      </c>
      <c r="F1130" t="s">
        <v>12</v>
      </c>
      <c r="G1130">
        <v>1</v>
      </c>
      <c r="H1130">
        <v>116</v>
      </c>
      <c r="I1130">
        <v>0.8</v>
      </c>
      <c r="J1130" s="25">
        <f t="shared" si="56"/>
        <v>0.8</v>
      </c>
      <c r="K1130">
        <v>1357</v>
      </c>
      <c r="L1130">
        <v>0</v>
      </c>
      <c r="M1130">
        <v>0</v>
      </c>
      <c r="N1130" s="25">
        <f t="shared" si="55"/>
        <v>0</v>
      </c>
      <c r="O1130">
        <v>1</v>
      </c>
      <c r="P1130" s="25">
        <f t="shared" si="57"/>
        <v>1</v>
      </c>
      <c r="Q1130">
        <v>29</v>
      </c>
      <c r="R1130" t="s">
        <v>124</v>
      </c>
      <c r="S1130" t="s">
        <v>124</v>
      </c>
      <c r="T1130" t="s">
        <v>124</v>
      </c>
      <c r="U1130" t="s">
        <v>124</v>
      </c>
      <c r="X1130" s="19">
        <f t="shared" si="53"/>
        <v>0.8</v>
      </c>
      <c r="Y1130" s="19">
        <f t="shared" si="54"/>
        <v>0</v>
      </c>
      <c r="Z1130" s="26"/>
    </row>
    <row r="1131" spans="1:26" x14ac:dyDescent="0.35">
      <c r="A1131" t="s">
        <v>122</v>
      </c>
      <c r="B1131" t="s">
        <v>122</v>
      </c>
      <c r="C1131" t="s">
        <v>123</v>
      </c>
      <c r="D1131" t="s">
        <v>101</v>
      </c>
      <c r="E1131" t="s">
        <v>99</v>
      </c>
      <c r="F1131" t="s">
        <v>12</v>
      </c>
      <c r="G1131">
        <v>1</v>
      </c>
      <c r="H1131">
        <v>116</v>
      </c>
      <c r="I1131">
        <v>0.8</v>
      </c>
      <c r="J1131" s="25">
        <f t="shared" si="56"/>
        <v>0.8</v>
      </c>
      <c r="K1131">
        <v>1357</v>
      </c>
      <c r="L1131">
        <v>0</v>
      </c>
      <c r="M1131">
        <v>0</v>
      </c>
      <c r="N1131" s="25">
        <f t="shared" si="55"/>
        <v>0</v>
      </c>
      <c r="O1131">
        <v>1</v>
      </c>
      <c r="P1131" s="25">
        <f t="shared" si="57"/>
        <v>1</v>
      </c>
      <c r="Q1131">
        <v>29</v>
      </c>
      <c r="R1131" t="s">
        <v>124</v>
      </c>
      <c r="S1131" t="s">
        <v>124</v>
      </c>
      <c r="T1131" t="s">
        <v>124</v>
      </c>
      <c r="U1131" t="s">
        <v>124</v>
      </c>
      <c r="X1131" s="19">
        <f t="shared" si="53"/>
        <v>0.8</v>
      </c>
      <c r="Y1131" s="19">
        <f t="shared" si="54"/>
        <v>0</v>
      </c>
      <c r="Z1131" s="26"/>
    </row>
    <row r="1132" spans="1:26" x14ac:dyDescent="0.35">
      <c r="A1132" t="s">
        <v>122</v>
      </c>
      <c r="B1132" t="s">
        <v>122</v>
      </c>
      <c r="C1132" t="s">
        <v>123</v>
      </c>
      <c r="D1132" t="s">
        <v>101</v>
      </c>
      <c r="E1132" t="s">
        <v>99</v>
      </c>
      <c r="F1132" t="s">
        <v>12</v>
      </c>
      <c r="G1132">
        <v>1</v>
      </c>
      <c r="H1132">
        <v>116</v>
      </c>
      <c r="I1132">
        <v>0.8</v>
      </c>
      <c r="J1132" s="25">
        <f t="shared" si="56"/>
        <v>0.8</v>
      </c>
      <c r="K1132">
        <v>1357</v>
      </c>
      <c r="L1132">
        <v>0</v>
      </c>
      <c r="M1132">
        <v>0</v>
      </c>
      <c r="N1132" s="25">
        <f t="shared" si="55"/>
        <v>0</v>
      </c>
      <c r="O1132">
        <v>1</v>
      </c>
      <c r="P1132" s="25">
        <f t="shared" si="57"/>
        <v>1</v>
      </c>
      <c r="Q1132">
        <v>29</v>
      </c>
      <c r="R1132" t="s">
        <v>124</v>
      </c>
      <c r="S1132" t="s">
        <v>124</v>
      </c>
      <c r="T1132" t="s">
        <v>124</v>
      </c>
      <c r="U1132" t="s">
        <v>124</v>
      </c>
      <c r="X1132" s="19">
        <f t="shared" si="53"/>
        <v>0.8</v>
      </c>
      <c r="Y1132" s="19">
        <f t="shared" si="54"/>
        <v>0</v>
      </c>
      <c r="Z1132" s="26"/>
    </row>
    <row r="1133" spans="1:26" x14ac:dyDescent="0.35">
      <c r="A1133" t="s">
        <v>122</v>
      </c>
      <c r="B1133" t="s">
        <v>122</v>
      </c>
      <c r="C1133" t="s">
        <v>123</v>
      </c>
      <c r="D1133" t="s">
        <v>101</v>
      </c>
      <c r="E1133" t="s">
        <v>99</v>
      </c>
      <c r="F1133" t="s">
        <v>12</v>
      </c>
      <c r="G1133">
        <v>1</v>
      </c>
      <c r="H1133">
        <v>116</v>
      </c>
      <c r="I1133">
        <v>0.8</v>
      </c>
      <c r="J1133" s="25">
        <f t="shared" si="56"/>
        <v>0.8</v>
      </c>
      <c r="K1133">
        <v>1357</v>
      </c>
      <c r="L1133">
        <v>0</v>
      </c>
      <c r="M1133">
        <v>0</v>
      </c>
      <c r="N1133" s="25">
        <f t="shared" si="55"/>
        <v>0</v>
      </c>
      <c r="O1133">
        <v>1</v>
      </c>
      <c r="P1133" s="25">
        <f t="shared" si="57"/>
        <v>1</v>
      </c>
      <c r="Q1133">
        <v>29</v>
      </c>
      <c r="R1133" t="s">
        <v>124</v>
      </c>
      <c r="S1133" t="s">
        <v>124</v>
      </c>
      <c r="T1133" t="s">
        <v>124</v>
      </c>
      <c r="U1133" t="s">
        <v>124</v>
      </c>
      <c r="X1133" s="19">
        <f t="shared" si="53"/>
        <v>0.8</v>
      </c>
      <c r="Y1133" s="19">
        <f t="shared" si="54"/>
        <v>0</v>
      </c>
      <c r="Z1133" s="26"/>
    </row>
    <row r="1134" spans="1:26" x14ac:dyDescent="0.35">
      <c r="A1134" t="s">
        <v>122</v>
      </c>
      <c r="B1134" t="s">
        <v>122</v>
      </c>
      <c r="C1134" t="s">
        <v>123</v>
      </c>
      <c r="D1134" t="s">
        <v>101</v>
      </c>
      <c r="E1134" t="s">
        <v>99</v>
      </c>
      <c r="F1134" t="s">
        <v>12</v>
      </c>
      <c r="G1134">
        <v>1</v>
      </c>
      <c r="H1134">
        <v>116</v>
      </c>
      <c r="I1134">
        <v>0.8</v>
      </c>
      <c r="J1134" s="25">
        <f t="shared" si="56"/>
        <v>0.8</v>
      </c>
      <c r="K1134">
        <v>1357</v>
      </c>
      <c r="L1134">
        <v>0</v>
      </c>
      <c r="M1134">
        <v>0</v>
      </c>
      <c r="N1134" s="25">
        <f t="shared" si="55"/>
        <v>0</v>
      </c>
      <c r="O1134">
        <v>1</v>
      </c>
      <c r="P1134" s="25">
        <f t="shared" si="57"/>
        <v>1</v>
      </c>
      <c r="Q1134">
        <v>29</v>
      </c>
      <c r="R1134" t="s">
        <v>124</v>
      </c>
      <c r="S1134" t="s">
        <v>124</v>
      </c>
      <c r="T1134" t="s">
        <v>124</v>
      </c>
      <c r="U1134" t="s">
        <v>124</v>
      </c>
      <c r="X1134" s="19">
        <f t="shared" ref="X1134:X1197" si="58">J1134</f>
        <v>0.8</v>
      </c>
      <c r="Y1134" s="19">
        <f t="shared" ref="Y1134:Y1197" si="59">N1134</f>
        <v>0</v>
      </c>
      <c r="Z1134" s="26"/>
    </row>
    <row r="1135" spans="1:26" x14ac:dyDescent="0.35">
      <c r="A1135" t="s">
        <v>122</v>
      </c>
      <c r="B1135" t="s">
        <v>122</v>
      </c>
      <c r="C1135" t="s">
        <v>123</v>
      </c>
      <c r="D1135" t="s">
        <v>101</v>
      </c>
      <c r="E1135" t="s">
        <v>99</v>
      </c>
      <c r="F1135" t="s">
        <v>12</v>
      </c>
      <c r="G1135">
        <v>1</v>
      </c>
      <c r="H1135">
        <v>116</v>
      </c>
      <c r="I1135">
        <v>0.8</v>
      </c>
      <c r="J1135" s="25">
        <f t="shared" si="56"/>
        <v>0.8</v>
      </c>
      <c r="K1135">
        <v>1357</v>
      </c>
      <c r="L1135">
        <v>0</v>
      </c>
      <c r="M1135">
        <v>0</v>
      </c>
      <c r="N1135" s="25">
        <f t="shared" si="55"/>
        <v>0</v>
      </c>
      <c r="O1135">
        <v>1</v>
      </c>
      <c r="P1135" s="25">
        <f t="shared" si="57"/>
        <v>1</v>
      </c>
      <c r="Q1135">
        <v>29</v>
      </c>
      <c r="R1135" t="s">
        <v>124</v>
      </c>
      <c r="S1135" t="s">
        <v>124</v>
      </c>
      <c r="T1135" t="s">
        <v>124</v>
      </c>
      <c r="U1135" t="s">
        <v>124</v>
      </c>
      <c r="X1135" s="19">
        <f t="shared" si="58"/>
        <v>0.8</v>
      </c>
      <c r="Y1135" s="19">
        <f t="shared" si="59"/>
        <v>0</v>
      </c>
      <c r="Z1135" s="26"/>
    </row>
    <row r="1136" spans="1:26" x14ac:dyDescent="0.35">
      <c r="A1136" t="s">
        <v>122</v>
      </c>
      <c r="B1136" t="s">
        <v>122</v>
      </c>
      <c r="C1136" t="s">
        <v>123</v>
      </c>
      <c r="D1136" t="s">
        <v>101</v>
      </c>
      <c r="E1136" t="s">
        <v>99</v>
      </c>
      <c r="F1136" t="s">
        <v>12</v>
      </c>
      <c r="G1136">
        <v>1</v>
      </c>
      <c r="H1136">
        <v>116</v>
      </c>
      <c r="I1136">
        <v>0.8</v>
      </c>
      <c r="J1136" s="25">
        <f t="shared" si="56"/>
        <v>0.8</v>
      </c>
      <c r="K1136">
        <v>1357</v>
      </c>
      <c r="L1136">
        <v>0</v>
      </c>
      <c r="M1136">
        <v>0</v>
      </c>
      <c r="N1136" s="25">
        <f t="shared" si="55"/>
        <v>0</v>
      </c>
      <c r="O1136">
        <v>1</v>
      </c>
      <c r="P1136" s="25">
        <f t="shared" si="57"/>
        <v>1</v>
      </c>
      <c r="Q1136">
        <v>29</v>
      </c>
      <c r="R1136" t="s">
        <v>124</v>
      </c>
      <c r="S1136" t="s">
        <v>124</v>
      </c>
      <c r="T1136" t="s">
        <v>124</v>
      </c>
      <c r="U1136" t="s">
        <v>124</v>
      </c>
      <c r="X1136" s="19">
        <f t="shared" si="58"/>
        <v>0.8</v>
      </c>
      <c r="Y1136" s="19">
        <f t="shared" si="59"/>
        <v>0</v>
      </c>
      <c r="Z1136" s="26"/>
    </row>
    <row r="1137" spans="1:26" x14ac:dyDescent="0.35">
      <c r="A1137" t="s">
        <v>122</v>
      </c>
      <c r="B1137" t="s">
        <v>122</v>
      </c>
      <c r="C1137" t="s">
        <v>123</v>
      </c>
      <c r="D1137" t="s">
        <v>101</v>
      </c>
      <c r="E1137" t="s">
        <v>99</v>
      </c>
      <c r="F1137" t="s">
        <v>12</v>
      </c>
      <c r="G1137">
        <v>1</v>
      </c>
      <c r="H1137">
        <v>116</v>
      </c>
      <c r="I1137">
        <v>0.8</v>
      </c>
      <c r="J1137" s="25">
        <f t="shared" si="56"/>
        <v>0.8</v>
      </c>
      <c r="K1137">
        <v>1357</v>
      </c>
      <c r="L1137">
        <v>0</v>
      </c>
      <c r="M1137">
        <v>0</v>
      </c>
      <c r="N1137" s="25">
        <f t="shared" si="55"/>
        <v>0</v>
      </c>
      <c r="O1137">
        <v>1</v>
      </c>
      <c r="P1137" s="25">
        <f t="shared" si="57"/>
        <v>1</v>
      </c>
      <c r="Q1137">
        <v>29</v>
      </c>
      <c r="R1137" t="s">
        <v>124</v>
      </c>
      <c r="S1137" t="s">
        <v>124</v>
      </c>
      <c r="T1137" t="s">
        <v>124</v>
      </c>
      <c r="U1137" t="s">
        <v>124</v>
      </c>
      <c r="X1137" s="19">
        <f t="shared" si="58"/>
        <v>0.8</v>
      </c>
      <c r="Y1137" s="19">
        <f t="shared" si="59"/>
        <v>0</v>
      </c>
      <c r="Z1137" s="26"/>
    </row>
    <row r="1138" spans="1:26" x14ac:dyDescent="0.35">
      <c r="A1138" t="s">
        <v>122</v>
      </c>
      <c r="B1138" t="s">
        <v>122</v>
      </c>
      <c r="C1138" t="s">
        <v>123</v>
      </c>
      <c r="D1138" t="s">
        <v>101</v>
      </c>
      <c r="E1138" t="s">
        <v>99</v>
      </c>
      <c r="F1138" t="s">
        <v>12</v>
      </c>
      <c r="G1138">
        <v>1</v>
      </c>
      <c r="H1138">
        <v>116</v>
      </c>
      <c r="I1138">
        <v>0.8</v>
      </c>
      <c r="J1138" s="25">
        <f t="shared" si="56"/>
        <v>0.8</v>
      </c>
      <c r="K1138">
        <v>1357</v>
      </c>
      <c r="L1138">
        <v>0</v>
      </c>
      <c r="M1138">
        <v>0</v>
      </c>
      <c r="N1138" s="25">
        <f t="shared" si="55"/>
        <v>0</v>
      </c>
      <c r="O1138">
        <v>1</v>
      </c>
      <c r="P1138" s="25">
        <f t="shared" si="57"/>
        <v>1</v>
      </c>
      <c r="Q1138">
        <v>29</v>
      </c>
      <c r="R1138" t="s">
        <v>124</v>
      </c>
      <c r="S1138" t="s">
        <v>124</v>
      </c>
      <c r="T1138" t="s">
        <v>124</v>
      </c>
      <c r="U1138" t="s">
        <v>124</v>
      </c>
      <c r="X1138" s="19">
        <f t="shared" si="58"/>
        <v>0.8</v>
      </c>
      <c r="Y1138" s="19">
        <f t="shared" si="59"/>
        <v>0</v>
      </c>
      <c r="Z1138" s="26"/>
    </row>
    <row r="1139" spans="1:26" x14ac:dyDescent="0.35">
      <c r="A1139" t="s">
        <v>122</v>
      </c>
      <c r="B1139" t="s">
        <v>122</v>
      </c>
      <c r="C1139" t="s">
        <v>123</v>
      </c>
      <c r="D1139" t="s">
        <v>101</v>
      </c>
      <c r="E1139" t="s">
        <v>99</v>
      </c>
      <c r="F1139" t="s">
        <v>12</v>
      </c>
      <c r="G1139">
        <v>1</v>
      </c>
      <c r="H1139">
        <v>116</v>
      </c>
      <c r="I1139">
        <v>0.8</v>
      </c>
      <c r="J1139" s="25">
        <f t="shared" si="56"/>
        <v>0.8</v>
      </c>
      <c r="K1139">
        <v>1357</v>
      </c>
      <c r="L1139">
        <v>0</v>
      </c>
      <c r="M1139">
        <v>0</v>
      </c>
      <c r="N1139" s="25">
        <f t="shared" si="55"/>
        <v>0</v>
      </c>
      <c r="O1139">
        <v>1</v>
      </c>
      <c r="P1139" s="25">
        <f t="shared" si="57"/>
        <v>1</v>
      </c>
      <c r="Q1139">
        <v>29</v>
      </c>
      <c r="R1139" t="s">
        <v>124</v>
      </c>
      <c r="S1139" t="s">
        <v>124</v>
      </c>
      <c r="T1139" t="s">
        <v>124</v>
      </c>
      <c r="U1139" t="s">
        <v>124</v>
      </c>
      <c r="X1139" s="19">
        <f t="shared" si="58"/>
        <v>0.8</v>
      </c>
      <c r="Y1139" s="19">
        <f t="shared" si="59"/>
        <v>0</v>
      </c>
      <c r="Z1139" s="26"/>
    </row>
    <row r="1140" spans="1:26" x14ac:dyDescent="0.35">
      <c r="A1140" t="s">
        <v>122</v>
      </c>
      <c r="B1140" t="s">
        <v>122</v>
      </c>
      <c r="C1140" t="s">
        <v>123</v>
      </c>
      <c r="D1140" t="s">
        <v>101</v>
      </c>
      <c r="E1140" t="s">
        <v>99</v>
      </c>
      <c r="F1140" t="s">
        <v>12</v>
      </c>
      <c r="G1140">
        <v>1</v>
      </c>
      <c r="H1140">
        <v>116</v>
      </c>
      <c r="I1140">
        <v>0.8</v>
      </c>
      <c r="J1140" s="25">
        <f t="shared" si="56"/>
        <v>0.8</v>
      </c>
      <c r="K1140">
        <v>1357</v>
      </c>
      <c r="L1140">
        <v>0</v>
      </c>
      <c r="M1140">
        <v>0</v>
      </c>
      <c r="N1140" s="25">
        <f t="shared" si="55"/>
        <v>0</v>
      </c>
      <c r="O1140">
        <v>1</v>
      </c>
      <c r="P1140" s="25">
        <f t="shared" si="57"/>
        <v>1</v>
      </c>
      <c r="Q1140">
        <v>29</v>
      </c>
      <c r="R1140" t="s">
        <v>124</v>
      </c>
      <c r="S1140" t="s">
        <v>124</v>
      </c>
      <c r="T1140" t="s">
        <v>124</v>
      </c>
      <c r="U1140" t="s">
        <v>124</v>
      </c>
      <c r="X1140" s="19">
        <f t="shared" si="58"/>
        <v>0.8</v>
      </c>
      <c r="Y1140" s="19">
        <f t="shared" si="59"/>
        <v>0</v>
      </c>
      <c r="Z1140" s="26"/>
    </row>
    <row r="1141" spans="1:26" x14ac:dyDescent="0.35">
      <c r="A1141" t="s">
        <v>122</v>
      </c>
      <c r="B1141" t="s">
        <v>122</v>
      </c>
      <c r="C1141" t="s">
        <v>123</v>
      </c>
      <c r="D1141" t="s">
        <v>101</v>
      </c>
      <c r="E1141" t="s">
        <v>99</v>
      </c>
      <c r="F1141" t="s">
        <v>12</v>
      </c>
      <c r="G1141">
        <v>1</v>
      </c>
      <c r="H1141">
        <v>116</v>
      </c>
      <c r="I1141">
        <v>0.8</v>
      </c>
      <c r="J1141" s="25">
        <f t="shared" si="56"/>
        <v>0.8</v>
      </c>
      <c r="K1141">
        <v>1357</v>
      </c>
      <c r="L1141">
        <v>0</v>
      </c>
      <c r="M1141">
        <v>0</v>
      </c>
      <c r="N1141" s="25">
        <f t="shared" si="55"/>
        <v>0</v>
      </c>
      <c r="O1141">
        <v>1</v>
      </c>
      <c r="P1141" s="25">
        <f t="shared" si="57"/>
        <v>1</v>
      </c>
      <c r="Q1141">
        <v>29</v>
      </c>
      <c r="R1141" t="s">
        <v>124</v>
      </c>
      <c r="S1141" t="s">
        <v>124</v>
      </c>
      <c r="T1141" t="s">
        <v>124</v>
      </c>
      <c r="U1141" t="s">
        <v>124</v>
      </c>
      <c r="X1141" s="19">
        <f t="shared" si="58"/>
        <v>0.8</v>
      </c>
      <c r="Y1141" s="19">
        <f t="shared" si="59"/>
        <v>0</v>
      </c>
      <c r="Z1141" s="26"/>
    </row>
    <row r="1142" spans="1:26" x14ac:dyDescent="0.35">
      <c r="A1142" t="s">
        <v>122</v>
      </c>
      <c r="B1142" t="s">
        <v>122</v>
      </c>
      <c r="C1142" t="s">
        <v>123</v>
      </c>
      <c r="D1142" t="s">
        <v>101</v>
      </c>
      <c r="E1142" t="s">
        <v>99</v>
      </c>
      <c r="F1142" t="s">
        <v>12</v>
      </c>
      <c r="G1142">
        <v>1</v>
      </c>
      <c r="H1142">
        <v>116</v>
      </c>
      <c r="I1142">
        <v>0.8</v>
      </c>
      <c r="J1142" s="25">
        <f t="shared" si="56"/>
        <v>0.8</v>
      </c>
      <c r="K1142">
        <v>1357</v>
      </c>
      <c r="L1142">
        <v>0</v>
      </c>
      <c r="M1142">
        <v>0</v>
      </c>
      <c r="N1142" s="25">
        <f t="shared" si="55"/>
        <v>0</v>
      </c>
      <c r="O1142">
        <v>1</v>
      </c>
      <c r="P1142" s="25">
        <f t="shared" si="57"/>
        <v>1</v>
      </c>
      <c r="Q1142">
        <v>29</v>
      </c>
      <c r="R1142" t="s">
        <v>124</v>
      </c>
      <c r="S1142" t="s">
        <v>124</v>
      </c>
      <c r="T1142" t="s">
        <v>124</v>
      </c>
      <c r="U1142" t="s">
        <v>124</v>
      </c>
      <c r="X1142" s="19">
        <f t="shared" si="58"/>
        <v>0.8</v>
      </c>
      <c r="Y1142" s="19">
        <f t="shared" si="59"/>
        <v>0</v>
      </c>
      <c r="Z1142" s="26"/>
    </row>
    <row r="1143" spans="1:26" x14ac:dyDescent="0.35">
      <c r="A1143" t="s">
        <v>122</v>
      </c>
      <c r="B1143" t="s">
        <v>122</v>
      </c>
      <c r="C1143" t="s">
        <v>123</v>
      </c>
      <c r="D1143" t="s">
        <v>101</v>
      </c>
      <c r="E1143" t="s">
        <v>99</v>
      </c>
      <c r="F1143" t="s">
        <v>12</v>
      </c>
      <c r="G1143">
        <v>1</v>
      </c>
      <c r="H1143">
        <v>116</v>
      </c>
      <c r="I1143">
        <v>0.8</v>
      </c>
      <c r="J1143" s="25">
        <f t="shared" si="56"/>
        <v>0.8</v>
      </c>
      <c r="K1143">
        <v>1357</v>
      </c>
      <c r="L1143">
        <v>0</v>
      </c>
      <c r="M1143">
        <v>0</v>
      </c>
      <c r="N1143" s="25">
        <f t="shared" si="55"/>
        <v>0</v>
      </c>
      <c r="O1143">
        <v>1</v>
      </c>
      <c r="P1143" s="25">
        <f t="shared" si="57"/>
        <v>1</v>
      </c>
      <c r="Q1143">
        <v>29</v>
      </c>
      <c r="R1143" t="s">
        <v>124</v>
      </c>
      <c r="S1143" t="s">
        <v>124</v>
      </c>
      <c r="T1143" t="s">
        <v>124</v>
      </c>
      <c r="U1143" t="s">
        <v>124</v>
      </c>
      <c r="X1143" s="19">
        <f t="shared" si="58"/>
        <v>0.8</v>
      </c>
      <c r="Y1143" s="19">
        <f t="shared" si="59"/>
        <v>0</v>
      </c>
      <c r="Z1143" s="26"/>
    </row>
    <row r="1144" spans="1:26" x14ac:dyDescent="0.35">
      <c r="A1144" t="s">
        <v>122</v>
      </c>
      <c r="B1144" t="s">
        <v>122</v>
      </c>
      <c r="C1144" t="s">
        <v>123</v>
      </c>
      <c r="D1144" t="s">
        <v>101</v>
      </c>
      <c r="E1144" t="s">
        <v>99</v>
      </c>
      <c r="F1144" t="s">
        <v>12</v>
      </c>
      <c r="G1144">
        <v>1</v>
      </c>
      <c r="H1144">
        <v>116</v>
      </c>
      <c r="I1144">
        <v>0.8</v>
      </c>
      <c r="J1144" s="25">
        <f t="shared" si="56"/>
        <v>0.8</v>
      </c>
      <c r="K1144">
        <v>1357</v>
      </c>
      <c r="L1144">
        <v>0</v>
      </c>
      <c r="M1144">
        <v>0</v>
      </c>
      <c r="N1144" s="25">
        <f t="shared" si="55"/>
        <v>0</v>
      </c>
      <c r="O1144">
        <v>1</v>
      </c>
      <c r="P1144" s="25">
        <f t="shared" si="57"/>
        <v>1</v>
      </c>
      <c r="Q1144">
        <v>29</v>
      </c>
      <c r="R1144" t="s">
        <v>124</v>
      </c>
      <c r="S1144" t="s">
        <v>124</v>
      </c>
      <c r="T1144" t="s">
        <v>124</v>
      </c>
      <c r="U1144" t="s">
        <v>124</v>
      </c>
      <c r="X1144" s="19">
        <f t="shared" si="58"/>
        <v>0.8</v>
      </c>
      <c r="Y1144" s="19">
        <f t="shared" si="59"/>
        <v>0</v>
      </c>
      <c r="Z1144" s="26"/>
    </row>
    <row r="1145" spans="1:26" x14ac:dyDescent="0.35">
      <c r="A1145" t="s">
        <v>122</v>
      </c>
      <c r="B1145" t="s">
        <v>122</v>
      </c>
      <c r="C1145" t="s">
        <v>123</v>
      </c>
      <c r="D1145" t="s">
        <v>101</v>
      </c>
      <c r="E1145" t="s">
        <v>99</v>
      </c>
      <c r="F1145" t="s">
        <v>12</v>
      </c>
      <c r="G1145">
        <v>1</v>
      </c>
      <c r="H1145">
        <v>116</v>
      </c>
      <c r="I1145">
        <v>0.8</v>
      </c>
      <c r="J1145" s="25">
        <f t="shared" si="56"/>
        <v>0.8</v>
      </c>
      <c r="K1145">
        <v>1357</v>
      </c>
      <c r="L1145">
        <v>0</v>
      </c>
      <c r="M1145">
        <v>0</v>
      </c>
      <c r="N1145" s="25">
        <f t="shared" si="55"/>
        <v>0</v>
      </c>
      <c r="O1145">
        <v>1</v>
      </c>
      <c r="P1145" s="25">
        <f t="shared" si="57"/>
        <v>1</v>
      </c>
      <c r="Q1145">
        <v>29</v>
      </c>
      <c r="R1145" t="s">
        <v>124</v>
      </c>
      <c r="S1145" t="s">
        <v>124</v>
      </c>
      <c r="T1145" t="s">
        <v>124</v>
      </c>
      <c r="U1145" t="s">
        <v>124</v>
      </c>
      <c r="X1145" s="19">
        <f t="shared" si="58"/>
        <v>0.8</v>
      </c>
      <c r="Y1145" s="19">
        <f t="shared" si="59"/>
        <v>0</v>
      </c>
      <c r="Z1145" s="26"/>
    </row>
    <row r="1146" spans="1:26" x14ac:dyDescent="0.35">
      <c r="A1146" t="s">
        <v>122</v>
      </c>
      <c r="B1146" t="s">
        <v>122</v>
      </c>
      <c r="C1146" t="s">
        <v>123</v>
      </c>
      <c r="D1146" t="s">
        <v>101</v>
      </c>
      <c r="E1146" t="s">
        <v>99</v>
      </c>
      <c r="F1146" t="s">
        <v>12</v>
      </c>
      <c r="G1146">
        <v>1</v>
      </c>
      <c r="H1146">
        <v>116</v>
      </c>
      <c r="I1146">
        <v>0.8</v>
      </c>
      <c r="J1146" s="25">
        <f t="shared" si="56"/>
        <v>0.8</v>
      </c>
      <c r="K1146">
        <v>1357</v>
      </c>
      <c r="L1146">
        <v>0</v>
      </c>
      <c r="M1146">
        <v>0</v>
      </c>
      <c r="N1146" s="25">
        <f t="shared" si="55"/>
        <v>0</v>
      </c>
      <c r="O1146">
        <v>1</v>
      </c>
      <c r="P1146" s="25">
        <f t="shared" si="57"/>
        <v>1</v>
      </c>
      <c r="Q1146">
        <v>29</v>
      </c>
      <c r="R1146" t="s">
        <v>124</v>
      </c>
      <c r="S1146" t="s">
        <v>124</v>
      </c>
      <c r="T1146" t="s">
        <v>124</v>
      </c>
      <c r="U1146" t="s">
        <v>124</v>
      </c>
      <c r="X1146" s="19">
        <f t="shared" si="58"/>
        <v>0.8</v>
      </c>
      <c r="Y1146" s="19">
        <f t="shared" si="59"/>
        <v>0</v>
      </c>
      <c r="Z1146" s="26"/>
    </row>
    <row r="1147" spans="1:26" x14ac:dyDescent="0.35">
      <c r="A1147" t="s">
        <v>122</v>
      </c>
      <c r="B1147" t="s">
        <v>122</v>
      </c>
      <c r="C1147" t="s">
        <v>123</v>
      </c>
      <c r="D1147" t="s">
        <v>101</v>
      </c>
      <c r="E1147" t="s">
        <v>99</v>
      </c>
      <c r="F1147" t="s">
        <v>12</v>
      </c>
      <c r="G1147">
        <v>1</v>
      </c>
      <c r="H1147">
        <v>116</v>
      </c>
      <c r="I1147">
        <v>0.8</v>
      </c>
      <c r="J1147" s="25">
        <f t="shared" si="56"/>
        <v>0.8</v>
      </c>
      <c r="K1147">
        <v>1357</v>
      </c>
      <c r="L1147">
        <v>0</v>
      </c>
      <c r="M1147">
        <v>0</v>
      </c>
      <c r="N1147" s="25">
        <f t="shared" si="55"/>
        <v>0</v>
      </c>
      <c r="O1147">
        <v>1</v>
      </c>
      <c r="P1147" s="25">
        <f t="shared" si="57"/>
        <v>1</v>
      </c>
      <c r="Q1147">
        <v>29</v>
      </c>
      <c r="R1147" t="s">
        <v>124</v>
      </c>
      <c r="S1147" t="s">
        <v>124</v>
      </c>
      <c r="T1147" t="s">
        <v>124</v>
      </c>
      <c r="U1147" t="s">
        <v>124</v>
      </c>
      <c r="X1147" s="19">
        <f t="shared" si="58"/>
        <v>0.8</v>
      </c>
      <c r="Y1147" s="19">
        <f t="shared" si="59"/>
        <v>0</v>
      </c>
      <c r="Z1147" s="26"/>
    </row>
    <row r="1148" spans="1:26" x14ac:dyDescent="0.35">
      <c r="A1148" t="s">
        <v>122</v>
      </c>
      <c r="B1148" t="s">
        <v>122</v>
      </c>
      <c r="C1148" t="s">
        <v>123</v>
      </c>
      <c r="D1148" t="s">
        <v>101</v>
      </c>
      <c r="E1148" t="s">
        <v>99</v>
      </c>
      <c r="F1148" t="s">
        <v>12</v>
      </c>
      <c r="G1148">
        <v>1</v>
      </c>
      <c r="H1148">
        <v>116</v>
      </c>
      <c r="I1148">
        <v>0.8</v>
      </c>
      <c r="J1148" s="25">
        <f t="shared" si="56"/>
        <v>0.8</v>
      </c>
      <c r="K1148">
        <v>1357</v>
      </c>
      <c r="L1148">
        <v>0</v>
      </c>
      <c r="M1148">
        <v>0</v>
      </c>
      <c r="N1148" s="25">
        <f t="shared" si="55"/>
        <v>0</v>
      </c>
      <c r="O1148">
        <v>1</v>
      </c>
      <c r="P1148" s="25">
        <f t="shared" si="57"/>
        <v>1</v>
      </c>
      <c r="Q1148">
        <v>29</v>
      </c>
      <c r="R1148" t="s">
        <v>124</v>
      </c>
      <c r="S1148" t="s">
        <v>124</v>
      </c>
      <c r="T1148" t="s">
        <v>124</v>
      </c>
      <c r="U1148" t="s">
        <v>124</v>
      </c>
      <c r="X1148" s="19">
        <f t="shared" si="58"/>
        <v>0.8</v>
      </c>
      <c r="Y1148" s="19">
        <f t="shared" si="59"/>
        <v>0</v>
      </c>
      <c r="Z1148" s="26"/>
    </row>
    <row r="1149" spans="1:26" x14ac:dyDescent="0.35">
      <c r="A1149" t="s">
        <v>122</v>
      </c>
      <c r="B1149" t="s">
        <v>122</v>
      </c>
      <c r="C1149" t="s">
        <v>123</v>
      </c>
      <c r="D1149" t="s">
        <v>101</v>
      </c>
      <c r="E1149" t="s">
        <v>99</v>
      </c>
      <c r="F1149" t="s">
        <v>12</v>
      </c>
      <c r="G1149">
        <v>1</v>
      </c>
      <c r="H1149">
        <v>116</v>
      </c>
      <c r="I1149">
        <v>0.8</v>
      </c>
      <c r="J1149" s="25">
        <f t="shared" si="56"/>
        <v>0.8</v>
      </c>
      <c r="K1149">
        <v>1357</v>
      </c>
      <c r="L1149">
        <v>0</v>
      </c>
      <c r="M1149">
        <v>0</v>
      </c>
      <c r="N1149" s="25">
        <f t="shared" si="55"/>
        <v>0</v>
      </c>
      <c r="O1149">
        <v>1</v>
      </c>
      <c r="P1149" s="25">
        <f t="shared" si="57"/>
        <v>1</v>
      </c>
      <c r="Q1149">
        <v>29</v>
      </c>
      <c r="R1149" t="s">
        <v>124</v>
      </c>
      <c r="S1149" t="s">
        <v>124</v>
      </c>
      <c r="T1149" t="s">
        <v>124</v>
      </c>
      <c r="U1149" t="s">
        <v>124</v>
      </c>
      <c r="X1149" s="19">
        <f t="shared" si="58"/>
        <v>0.8</v>
      </c>
      <c r="Y1149" s="19">
        <f t="shared" si="59"/>
        <v>0</v>
      </c>
      <c r="Z1149" s="26"/>
    </row>
    <row r="1150" spans="1:26" x14ac:dyDescent="0.35">
      <c r="A1150" t="s">
        <v>122</v>
      </c>
      <c r="B1150" t="s">
        <v>122</v>
      </c>
      <c r="C1150" t="s">
        <v>123</v>
      </c>
      <c r="D1150" t="s">
        <v>101</v>
      </c>
      <c r="E1150" t="s">
        <v>99</v>
      </c>
      <c r="F1150" t="s">
        <v>12</v>
      </c>
      <c r="G1150">
        <v>1</v>
      </c>
      <c r="H1150">
        <v>116</v>
      </c>
      <c r="I1150">
        <v>0.8</v>
      </c>
      <c r="J1150" s="25">
        <f t="shared" si="56"/>
        <v>0.8</v>
      </c>
      <c r="K1150">
        <v>1357</v>
      </c>
      <c r="L1150">
        <v>0</v>
      </c>
      <c r="M1150">
        <v>0</v>
      </c>
      <c r="N1150" s="25">
        <f t="shared" si="55"/>
        <v>0</v>
      </c>
      <c r="O1150">
        <v>1</v>
      </c>
      <c r="P1150" s="25">
        <f t="shared" si="57"/>
        <v>1</v>
      </c>
      <c r="Q1150">
        <v>29</v>
      </c>
      <c r="R1150" t="s">
        <v>124</v>
      </c>
      <c r="S1150" t="s">
        <v>124</v>
      </c>
      <c r="T1150" t="s">
        <v>124</v>
      </c>
      <c r="U1150" t="s">
        <v>124</v>
      </c>
      <c r="X1150" s="19">
        <f t="shared" si="58"/>
        <v>0.8</v>
      </c>
      <c r="Y1150" s="19">
        <f t="shared" si="59"/>
        <v>0</v>
      </c>
      <c r="Z1150" s="26"/>
    </row>
    <row r="1151" spans="1:26" x14ac:dyDescent="0.35">
      <c r="A1151" t="s">
        <v>122</v>
      </c>
      <c r="B1151" t="s">
        <v>122</v>
      </c>
      <c r="C1151" t="s">
        <v>123</v>
      </c>
      <c r="D1151" t="s">
        <v>101</v>
      </c>
      <c r="E1151" t="s">
        <v>99</v>
      </c>
      <c r="F1151" t="s">
        <v>12</v>
      </c>
      <c r="G1151">
        <v>1</v>
      </c>
      <c r="H1151">
        <v>116</v>
      </c>
      <c r="I1151">
        <v>0.8</v>
      </c>
      <c r="J1151" s="25">
        <f t="shared" si="56"/>
        <v>0.8</v>
      </c>
      <c r="K1151">
        <v>1357</v>
      </c>
      <c r="L1151">
        <v>0</v>
      </c>
      <c r="M1151">
        <v>0</v>
      </c>
      <c r="N1151" s="25">
        <f t="shared" si="55"/>
        <v>0</v>
      </c>
      <c r="O1151">
        <v>1</v>
      </c>
      <c r="P1151" s="25">
        <f t="shared" si="57"/>
        <v>1</v>
      </c>
      <c r="Q1151">
        <v>29</v>
      </c>
      <c r="R1151" t="s">
        <v>124</v>
      </c>
      <c r="S1151" t="s">
        <v>124</v>
      </c>
      <c r="T1151" t="s">
        <v>124</v>
      </c>
      <c r="U1151" t="s">
        <v>124</v>
      </c>
      <c r="X1151" s="19">
        <f t="shared" si="58"/>
        <v>0.8</v>
      </c>
      <c r="Y1151" s="19">
        <f t="shared" si="59"/>
        <v>0</v>
      </c>
      <c r="Z1151" s="26"/>
    </row>
    <row r="1152" spans="1:26" x14ac:dyDescent="0.35">
      <c r="A1152" t="s">
        <v>122</v>
      </c>
      <c r="B1152" t="s">
        <v>122</v>
      </c>
      <c r="C1152" t="s">
        <v>123</v>
      </c>
      <c r="D1152" t="s">
        <v>101</v>
      </c>
      <c r="E1152" t="s">
        <v>99</v>
      </c>
      <c r="F1152" t="s">
        <v>12</v>
      </c>
      <c r="G1152">
        <v>1</v>
      </c>
      <c r="H1152">
        <v>116</v>
      </c>
      <c r="I1152">
        <v>0.8</v>
      </c>
      <c r="J1152" s="25">
        <f t="shared" si="56"/>
        <v>0.8</v>
      </c>
      <c r="K1152">
        <v>1357</v>
      </c>
      <c r="L1152">
        <v>0</v>
      </c>
      <c r="M1152">
        <v>0</v>
      </c>
      <c r="N1152" s="25">
        <f t="shared" si="55"/>
        <v>0</v>
      </c>
      <c r="O1152">
        <v>1</v>
      </c>
      <c r="P1152" s="25">
        <f t="shared" si="57"/>
        <v>1</v>
      </c>
      <c r="Q1152">
        <v>29</v>
      </c>
      <c r="R1152" t="s">
        <v>124</v>
      </c>
      <c r="S1152" t="s">
        <v>124</v>
      </c>
      <c r="T1152" t="s">
        <v>124</v>
      </c>
      <c r="U1152" t="s">
        <v>124</v>
      </c>
      <c r="X1152" s="19">
        <f t="shared" si="58"/>
        <v>0.8</v>
      </c>
      <c r="Y1152" s="19">
        <f t="shared" si="59"/>
        <v>0</v>
      </c>
      <c r="Z1152" s="26"/>
    </row>
    <row r="1153" spans="1:26" x14ac:dyDescent="0.35">
      <c r="A1153" t="s">
        <v>122</v>
      </c>
      <c r="B1153" t="s">
        <v>122</v>
      </c>
      <c r="C1153" t="s">
        <v>123</v>
      </c>
      <c r="D1153" t="s">
        <v>101</v>
      </c>
      <c r="E1153" t="s">
        <v>99</v>
      </c>
      <c r="F1153" t="s">
        <v>12</v>
      </c>
      <c r="G1153">
        <v>1</v>
      </c>
      <c r="H1153">
        <v>116</v>
      </c>
      <c r="I1153">
        <v>0.8</v>
      </c>
      <c r="J1153" s="25">
        <f t="shared" si="56"/>
        <v>0.8</v>
      </c>
      <c r="K1153">
        <v>1357</v>
      </c>
      <c r="L1153">
        <v>0</v>
      </c>
      <c r="M1153">
        <v>0</v>
      </c>
      <c r="N1153" s="25">
        <f t="shared" si="55"/>
        <v>0</v>
      </c>
      <c r="O1153">
        <v>1</v>
      </c>
      <c r="P1153" s="25">
        <f t="shared" si="57"/>
        <v>1</v>
      </c>
      <c r="Q1153">
        <v>29</v>
      </c>
      <c r="R1153" t="s">
        <v>124</v>
      </c>
      <c r="S1153" t="s">
        <v>124</v>
      </c>
      <c r="T1153" t="s">
        <v>124</v>
      </c>
      <c r="U1153" t="s">
        <v>124</v>
      </c>
      <c r="X1153" s="19">
        <f t="shared" si="58"/>
        <v>0.8</v>
      </c>
      <c r="Y1153" s="19">
        <f t="shared" si="59"/>
        <v>0</v>
      </c>
      <c r="Z1153" s="26"/>
    </row>
    <row r="1154" spans="1:26" x14ac:dyDescent="0.35">
      <c r="A1154" t="s">
        <v>122</v>
      </c>
      <c r="B1154" t="s">
        <v>122</v>
      </c>
      <c r="C1154" t="s">
        <v>123</v>
      </c>
      <c r="D1154" t="s">
        <v>101</v>
      </c>
      <c r="E1154" t="s">
        <v>99</v>
      </c>
      <c r="F1154" t="s">
        <v>12</v>
      </c>
      <c r="G1154">
        <v>1</v>
      </c>
      <c r="H1154">
        <v>116</v>
      </c>
      <c r="I1154">
        <v>0.8</v>
      </c>
      <c r="J1154" s="25">
        <f t="shared" si="56"/>
        <v>0.8</v>
      </c>
      <c r="K1154">
        <v>1357</v>
      </c>
      <c r="L1154">
        <v>0</v>
      </c>
      <c r="M1154">
        <v>0</v>
      </c>
      <c r="N1154" s="25">
        <f t="shared" ref="N1154:N1217" si="60">1-P1154</f>
        <v>0</v>
      </c>
      <c r="O1154">
        <v>1</v>
      </c>
      <c r="P1154" s="25">
        <f t="shared" si="57"/>
        <v>1</v>
      </c>
      <c r="Q1154">
        <v>29</v>
      </c>
      <c r="R1154" t="s">
        <v>124</v>
      </c>
      <c r="S1154" t="s">
        <v>124</v>
      </c>
      <c r="T1154" t="s">
        <v>124</v>
      </c>
      <c r="U1154" t="s">
        <v>124</v>
      </c>
      <c r="X1154" s="19">
        <f t="shared" si="58"/>
        <v>0.8</v>
      </c>
      <c r="Y1154" s="19">
        <f t="shared" si="59"/>
        <v>0</v>
      </c>
      <c r="Z1154" s="26"/>
    </row>
    <row r="1155" spans="1:26" x14ac:dyDescent="0.35">
      <c r="A1155" t="s">
        <v>122</v>
      </c>
      <c r="B1155" t="s">
        <v>122</v>
      </c>
      <c r="C1155" t="s">
        <v>123</v>
      </c>
      <c r="D1155" t="s">
        <v>101</v>
      </c>
      <c r="E1155" t="s">
        <v>99</v>
      </c>
      <c r="F1155" t="s">
        <v>12</v>
      </c>
      <c r="G1155">
        <v>1</v>
      </c>
      <c r="H1155">
        <v>116</v>
      </c>
      <c r="I1155">
        <v>0.8</v>
      </c>
      <c r="J1155" s="25">
        <f t="shared" ref="J1155:J1218" si="61">H1155/(H1155+Q1155)</f>
        <v>0.8</v>
      </c>
      <c r="K1155">
        <v>1357</v>
      </c>
      <c r="L1155">
        <v>0</v>
      </c>
      <c r="M1155">
        <v>0</v>
      </c>
      <c r="N1155" s="25">
        <f t="shared" si="60"/>
        <v>0</v>
      </c>
      <c r="O1155">
        <v>1</v>
      </c>
      <c r="P1155" s="25">
        <f t="shared" ref="P1155:P1218" si="62">K1155/(K1155+L1155)</f>
        <v>1</v>
      </c>
      <c r="Q1155">
        <v>29</v>
      </c>
      <c r="R1155" t="s">
        <v>124</v>
      </c>
      <c r="S1155" t="s">
        <v>124</v>
      </c>
      <c r="T1155" t="s">
        <v>124</v>
      </c>
      <c r="U1155" t="s">
        <v>124</v>
      </c>
      <c r="X1155" s="19">
        <f t="shared" si="58"/>
        <v>0.8</v>
      </c>
      <c r="Y1155" s="19">
        <f t="shared" si="59"/>
        <v>0</v>
      </c>
      <c r="Z1155" s="26"/>
    </row>
    <row r="1156" spans="1:26" x14ac:dyDescent="0.35">
      <c r="A1156" t="s">
        <v>122</v>
      </c>
      <c r="B1156" t="s">
        <v>122</v>
      </c>
      <c r="C1156" t="s">
        <v>123</v>
      </c>
      <c r="D1156" t="s">
        <v>101</v>
      </c>
      <c r="E1156" t="s">
        <v>99</v>
      </c>
      <c r="F1156" t="s">
        <v>12</v>
      </c>
      <c r="G1156">
        <v>1</v>
      </c>
      <c r="H1156">
        <v>116</v>
      </c>
      <c r="I1156">
        <v>0.8</v>
      </c>
      <c r="J1156" s="25">
        <f t="shared" si="61"/>
        <v>0.8</v>
      </c>
      <c r="K1156">
        <v>1357</v>
      </c>
      <c r="L1156">
        <v>0</v>
      </c>
      <c r="M1156">
        <v>0</v>
      </c>
      <c r="N1156" s="25">
        <f t="shared" si="60"/>
        <v>0</v>
      </c>
      <c r="O1156">
        <v>1</v>
      </c>
      <c r="P1156" s="25">
        <f t="shared" si="62"/>
        <v>1</v>
      </c>
      <c r="Q1156">
        <v>29</v>
      </c>
      <c r="R1156" t="s">
        <v>124</v>
      </c>
      <c r="S1156" t="s">
        <v>124</v>
      </c>
      <c r="T1156" t="s">
        <v>124</v>
      </c>
      <c r="U1156" t="s">
        <v>124</v>
      </c>
      <c r="X1156" s="19">
        <f t="shared" si="58"/>
        <v>0.8</v>
      </c>
      <c r="Y1156" s="19">
        <f t="shared" si="59"/>
        <v>0</v>
      </c>
      <c r="Z1156" s="26"/>
    </row>
    <row r="1157" spans="1:26" x14ac:dyDescent="0.35">
      <c r="A1157" t="s">
        <v>122</v>
      </c>
      <c r="B1157" t="s">
        <v>122</v>
      </c>
      <c r="C1157" t="s">
        <v>123</v>
      </c>
      <c r="D1157" t="s">
        <v>101</v>
      </c>
      <c r="E1157" t="s">
        <v>99</v>
      </c>
      <c r="F1157" t="s">
        <v>12</v>
      </c>
      <c r="G1157">
        <v>1</v>
      </c>
      <c r="H1157">
        <v>116</v>
      </c>
      <c r="I1157">
        <v>0.8</v>
      </c>
      <c r="J1157" s="25">
        <f t="shared" si="61"/>
        <v>0.8</v>
      </c>
      <c r="K1157">
        <v>1357</v>
      </c>
      <c r="L1157">
        <v>0</v>
      </c>
      <c r="M1157">
        <v>0</v>
      </c>
      <c r="N1157" s="25">
        <f t="shared" si="60"/>
        <v>0</v>
      </c>
      <c r="O1157">
        <v>1</v>
      </c>
      <c r="P1157" s="25">
        <f t="shared" si="62"/>
        <v>1</v>
      </c>
      <c r="Q1157">
        <v>29</v>
      </c>
      <c r="R1157" t="s">
        <v>124</v>
      </c>
      <c r="S1157" t="s">
        <v>124</v>
      </c>
      <c r="T1157" t="s">
        <v>124</v>
      </c>
      <c r="U1157" t="s">
        <v>124</v>
      </c>
      <c r="X1157" s="19">
        <f t="shared" si="58"/>
        <v>0.8</v>
      </c>
      <c r="Y1157" s="19">
        <f t="shared" si="59"/>
        <v>0</v>
      </c>
      <c r="Z1157" s="26"/>
    </row>
    <row r="1158" spans="1:26" x14ac:dyDescent="0.35">
      <c r="A1158" t="s">
        <v>122</v>
      </c>
      <c r="B1158" t="s">
        <v>122</v>
      </c>
      <c r="C1158" t="s">
        <v>123</v>
      </c>
      <c r="D1158" t="s">
        <v>101</v>
      </c>
      <c r="E1158" t="s">
        <v>99</v>
      </c>
      <c r="F1158" t="s">
        <v>12</v>
      </c>
      <c r="G1158">
        <v>1</v>
      </c>
      <c r="H1158">
        <v>116</v>
      </c>
      <c r="I1158">
        <v>0.8</v>
      </c>
      <c r="J1158" s="25">
        <f t="shared" si="61"/>
        <v>0.8</v>
      </c>
      <c r="K1158">
        <v>1357</v>
      </c>
      <c r="L1158">
        <v>0</v>
      </c>
      <c r="M1158">
        <v>0</v>
      </c>
      <c r="N1158" s="25">
        <f t="shared" si="60"/>
        <v>0</v>
      </c>
      <c r="O1158">
        <v>1</v>
      </c>
      <c r="P1158" s="25">
        <f t="shared" si="62"/>
        <v>1</v>
      </c>
      <c r="Q1158">
        <v>29</v>
      </c>
      <c r="R1158" t="s">
        <v>124</v>
      </c>
      <c r="S1158" t="s">
        <v>124</v>
      </c>
      <c r="T1158" t="s">
        <v>124</v>
      </c>
      <c r="U1158" t="s">
        <v>124</v>
      </c>
      <c r="X1158" s="19">
        <f t="shared" si="58"/>
        <v>0.8</v>
      </c>
      <c r="Y1158" s="19">
        <f t="shared" si="59"/>
        <v>0</v>
      </c>
      <c r="Z1158" s="26"/>
    </row>
    <row r="1159" spans="1:26" x14ac:dyDescent="0.35">
      <c r="A1159" t="s">
        <v>122</v>
      </c>
      <c r="B1159" t="s">
        <v>122</v>
      </c>
      <c r="C1159" t="s">
        <v>123</v>
      </c>
      <c r="D1159" t="s">
        <v>101</v>
      </c>
      <c r="E1159" t="s">
        <v>99</v>
      </c>
      <c r="F1159" t="s">
        <v>12</v>
      </c>
      <c r="G1159">
        <v>1</v>
      </c>
      <c r="H1159">
        <v>116</v>
      </c>
      <c r="I1159">
        <v>0.8</v>
      </c>
      <c r="J1159" s="25">
        <f t="shared" si="61"/>
        <v>0.8</v>
      </c>
      <c r="K1159">
        <v>1357</v>
      </c>
      <c r="L1159">
        <v>0</v>
      </c>
      <c r="M1159">
        <v>0</v>
      </c>
      <c r="N1159" s="25">
        <f t="shared" si="60"/>
        <v>0</v>
      </c>
      <c r="O1159">
        <v>1</v>
      </c>
      <c r="P1159" s="25">
        <f t="shared" si="62"/>
        <v>1</v>
      </c>
      <c r="Q1159">
        <v>29</v>
      </c>
      <c r="R1159" t="s">
        <v>124</v>
      </c>
      <c r="S1159" t="s">
        <v>124</v>
      </c>
      <c r="T1159" t="s">
        <v>124</v>
      </c>
      <c r="U1159" t="s">
        <v>124</v>
      </c>
      <c r="X1159" s="19">
        <f t="shared" si="58"/>
        <v>0.8</v>
      </c>
      <c r="Y1159" s="19">
        <f t="shared" si="59"/>
        <v>0</v>
      </c>
      <c r="Z1159" s="26"/>
    </row>
    <row r="1160" spans="1:26" x14ac:dyDescent="0.35">
      <c r="A1160" t="s">
        <v>122</v>
      </c>
      <c r="B1160" t="s">
        <v>122</v>
      </c>
      <c r="C1160" t="s">
        <v>123</v>
      </c>
      <c r="D1160" t="s">
        <v>101</v>
      </c>
      <c r="E1160" t="s">
        <v>99</v>
      </c>
      <c r="F1160" t="s">
        <v>12</v>
      </c>
      <c r="G1160">
        <v>1</v>
      </c>
      <c r="H1160">
        <v>116</v>
      </c>
      <c r="I1160">
        <v>0.8</v>
      </c>
      <c r="J1160" s="25">
        <f t="shared" si="61"/>
        <v>0.8</v>
      </c>
      <c r="K1160">
        <v>1357</v>
      </c>
      <c r="L1160">
        <v>0</v>
      </c>
      <c r="M1160">
        <v>0</v>
      </c>
      <c r="N1160" s="25">
        <f t="shared" si="60"/>
        <v>0</v>
      </c>
      <c r="O1160">
        <v>1</v>
      </c>
      <c r="P1160" s="25">
        <f t="shared" si="62"/>
        <v>1</v>
      </c>
      <c r="Q1160">
        <v>29</v>
      </c>
      <c r="R1160" t="s">
        <v>124</v>
      </c>
      <c r="S1160" t="s">
        <v>124</v>
      </c>
      <c r="T1160" t="s">
        <v>124</v>
      </c>
      <c r="U1160" t="s">
        <v>124</v>
      </c>
      <c r="X1160" s="19">
        <f t="shared" si="58"/>
        <v>0.8</v>
      </c>
      <c r="Y1160" s="19">
        <f t="shared" si="59"/>
        <v>0</v>
      </c>
      <c r="Z1160" s="26"/>
    </row>
    <row r="1161" spans="1:26" x14ac:dyDescent="0.35">
      <c r="A1161" t="s">
        <v>122</v>
      </c>
      <c r="B1161" t="s">
        <v>122</v>
      </c>
      <c r="C1161" t="s">
        <v>123</v>
      </c>
      <c r="D1161" t="s">
        <v>101</v>
      </c>
      <c r="E1161" t="s">
        <v>99</v>
      </c>
      <c r="F1161" t="s">
        <v>12</v>
      </c>
      <c r="G1161">
        <v>1</v>
      </c>
      <c r="H1161">
        <v>116</v>
      </c>
      <c r="I1161">
        <v>0.8</v>
      </c>
      <c r="J1161" s="25">
        <f t="shared" si="61"/>
        <v>0.8</v>
      </c>
      <c r="K1161">
        <v>1357</v>
      </c>
      <c r="L1161">
        <v>0</v>
      </c>
      <c r="M1161">
        <v>0</v>
      </c>
      <c r="N1161" s="25">
        <f t="shared" si="60"/>
        <v>0</v>
      </c>
      <c r="O1161">
        <v>1</v>
      </c>
      <c r="P1161" s="25">
        <f t="shared" si="62"/>
        <v>1</v>
      </c>
      <c r="Q1161">
        <v>29</v>
      </c>
      <c r="R1161" t="s">
        <v>124</v>
      </c>
      <c r="S1161" t="s">
        <v>124</v>
      </c>
      <c r="T1161" t="s">
        <v>124</v>
      </c>
      <c r="U1161" t="s">
        <v>124</v>
      </c>
      <c r="X1161" s="19">
        <f t="shared" si="58"/>
        <v>0.8</v>
      </c>
      <c r="Y1161" s="19">
        <f t="shared" si="59"/>
        <v>0</v>
      </c>
      <c r="Z1161" s="26"/>
    </row>
    <row r="1162" spans="1:26" x14ac:dyDescent="0.35">
      <c r="A1162" t="s">
        <v>122</v>
      </c>
      <c r="B1162" t="s">
        <v>122</v>
      </c>
      <c r="C1162" t="s">
        <v>123</v>
      </c>
      <c r="D1162" t="s">
        <v>101</v>
      </c>
      <c r="E1162" t="s">
        <v>99</v>
      </c>
      <c r="F1162" t="s">
        <v>12</v>
      </c>
      <c r="G1162">
        <v>1</v>
      </c>
      <c r="H1162">
        <v>116</v>
      </c>
      <c r="I1162">
        <v>0.8</v>
      </c>
      <c r="J1162" s="25">
        <f t="shared" si="61"/>
        <v>0.8</v>
      </c>
      <c r="K1162">
        <v>1357</v>
      </c>
      <c r="L1162">
        <v>0</v>
      </c>
      <c r="M1162">
        <v>0</v>
      </c>
      <c r="N1162" s="25">
        <f t="shared" si="60"/>
        <v>0</v>
      </c>
      <c r="O1162">
        <v>1</v>
      </c>
      <c r="P1162" s="25">
        <f t="shared" si="62"/>
        <v>1</v>
      </c>
      <c r="Q1162">
        <v>29</v>
      </c>
      <c r="R1162" t="s">
        <v>124</v>
      </c>
      <c r="S1162" t="s">
        <v>124</v>
      </c>
      <c r="T1162" t="s">
        <v>124</v>
      </c>
      <c r="U1162" t="s">
        <v>124</v>
      </c>
      <c r="X1162" s="19">
        <f t="shared" si="58"/>
        <v>0.8</v>
      </c>
      <c r="Y1162" s="19">
        <f t="shared" si="59"/>
        <v>0</v>
      </c>
      <c r="Z1162" s="26"/>
    </row>
    <row r="1163" spans="1:26" x14ac:dyDescent="0.35">
      <c r="A1163" t="s">
        <v>122</v>
      </c>
      <c r="B1163" t="s">
        <v>122</v>
      </c>
      <c r="C1163" t="s">
        <v>123</v>
      </c>
      <c r="D1163" t="s">
        <v>101</v>
      </c>
      <c r="E1163" t="s">
        <v>99</v>
      </c>
      <c r="F1163" t="s">
        <v>12</v>
      </c>
      <c r="G1163">
        <v>1</v>
      </c>
      <c r="H1163">
        <v>116</v>
      </c>
      <c r="I1163">
        <v>0.8</v>
      </c>
      <c r="J1163" s="25">
        <f t="shared" si="61"/>
        <v>0.8</v>
      </c>
      <c r="K1163">
        <v>1357</v>
      </c>
      <c r="L1163">
        <v>0</v>
      </c>
      <c r="M1163">
        <v>0</v>
      </c>
      <c r="N1163" s="25">
        <f t="shared" si="60"/>
        <v>0</v>
      </c>
      <c r="O1163">
        <v>1</v>
      </c>
      <c r="P1163" s="25">
        <f t="shared" si="62"/>
        <v>1</v>
      </c>
      <c r="Q1163">
        <v>29</v>
      </c>
      <c r="R1163" t="s">
        <v>124</v>
      </c>
      <c r="S1163" t="s">
        <v>124</v>
      </c>
      <c r="T1163" t="s">
        <v>124</v>
      </c>
      <c r="U1163" t="s">
        <v>124</v>
      </c>
      <c r="X1163" s="19">
        <f t="shared" si="58"/>
        <v>0.8</v>
      </c>
      <c r="Y1163" s="19">
        <f t="shared" si="59"/>
        <v>0</v>
      </c>
      <c r="Z1163" s="26"/>
    </row>
    <row r="1164" spans="1:26" x14ac:dyDescent="0.35">
      <c r="A1164" t="s">
        <v>122</v>
      </c>
      <c r="B1164" t="s">
        <v>122</v>
      </c>
      <c r="C1164" t="s">
        <v>123</v>
      </c>
      <c r="D1164" t="s">
        <v>101</v>
      </c>
      <c r="E1164" t="s">
        <v>99</v>
      </c>
      <c r="F1164" t="s">
        <v>12</v>
      </c>
      <c r="G1164">
        <v>1</v>
      </c>
      <c r="H1164">
        <v>116</v>
      </c>
      <c r="I1164">
        <v>0.8</v>
      </c>
      <c r="J1164" s="25">
        <f t="shared" si="61"/>
        <v>0.8</v>
      </c>
      <c r="K1164">
        <v>1357</v>
      </c>
      <c r="L1164">
        <v>0</v>
      </c>
      <c r="M1164">
        <v>0</v>
      </c>
      <c r="N1164" s="25">
        <f t="shared" si="60"/>
        <v>0</v>
      </c>
      <c r="O1164">
        <v>1</v>
      </c>
      <c r="P1164" s="25">
        <f t="shared" si="62"/>
        <v>1</v>
      </c>
      <c r="Q1164">
        <v>29</v>
      </c>
      <c r="R1164" t="s">
        <v>124</v>
      </c>
      <c r="S1164" t="s">
        <v>124</v>
      </c>
      <c r="T1164" t="s">
        <v>124</v>
      </c>
      <c r="U1164" t="s">
        <v>124</v>
      </c>
      <c r="X1164" s="19">
        <f t="shared" si="58"/>
        <v>0.8</v>
      </c>
      <c r="Y1164" s="19">
        <f t="shared" si="59"/>
        <v>0</v>
      </c>
      <c r="Z1164" s="26"/>
    </row>
    <row r="1165" spans="1:26" x14ac:dyDescent="0.35">
      <c r="A1165" t="s">
        <v>122</v>
      </c>
      <c r="B1165" t="s">
        <v>122</v>
      </c>
      <c r="C1165" t="s">
        <v>123</v>
      </c>
      <c r="D1165" t="s">
        <v>101</v>
      </c>
      <c r="E1165" t="s">
        <v>99</v>
      </c>
      <c r="F1165" t="s">
        <v>12</v>
      </c>
      <c r="G1165">
        <v>1</v>
      </c>
      <c r="H1165">
        <v>116</v>
      </c>
      <c r="I1165">
        <v>0.8</v>
      </c>
      <c r="J1165" s="25">
        <f t="shared" si="61"/>
        <v>0.8</v>
      </c>
      <c r="K1165">
        <v>1357</v>
      </c>
      <c r="L1165">
        <v>0</v>
      </c>
      <c r="M1165">
        <v>0</v>
      </c>
      <c r="N1165" s="25">
        <f t="shared" si="60"/>
        <v>0</v>
      </c>
      <c r="O1165">
        <v>1</v>
      </c>
      <c r="P1165" s="25">
        <f t="shared" si="62"/>
        <v>1</v>
      </c>
      <c r="Q1165">
        <v>29</v>
      </c>
      <c r="R1165" t="s">
        <v>124</v>
      </c>
      <c r="S1165" t="s">
        <v>124</v>
      </c>
      <c r="T1165" t="s">
        <v>124</v>
      </c>
      <c r="U1165" t="s">
        <v>124</v>
      </c>
      <c r="X1165" s="19">
        <f t="shared" si="58"/>
        <v>0.8</v>
      </c>
      <c r="Y1165" s="19">
        <f t="shared" si="59"/>
        <v>0</v>
      </c>
      <c r="Z1165" s="26"/>
    </row>
    <row r="1166" spans="1:26" x14ac:dyDescent="0.35">
      <c r="A1166" t="s">
        <v>122</v>
      </c>
      <c r="B1166" t="s">
        <v>122</v>
      </c>
      <c r="C1166" t="s">
        <v>123</v>
      </c>
      <c r="D1166" t="s">
        <v>101</v>
      </c>
      <c r="E1166" t="s">
        <v>99</v>
      </c>
      <c r="F1166" t="s">
        <v>12</v>
      </c>
      <c r="G1166">
        <v>1</v>
      </c>
      <c r="H1166">
        <v>116</v>
      </c>
      <c r="I1166">
        <v>0.8</v>
      </c>
      <c r="J1166" s="25">
        <f t="shared" si="61"/>
        <v>0.8</v>
      </c>
      <c r="K1166">
        <v>1357</v>
      </c>
      <c r="L1166">
        <v>0</v>
      </c>
      <c r="M1166">
        <v>0</v>
      </c>
      <c r="N1166" s="25">
        <f t="shared" si="60"/>
        <v>0</v>
      </c>
      <c r="O1166">
        <v>1</v>
      </c>
      <c r="P1166" s="25">
        <f t="shared" si="62"/>
        <v>1</v>
      </c>
      <c r="Q1166">
        <v>29</v>
      </c>
      <c r="R1166" t="s">
        <v>124</v>
      </c>
      <c r="S1166" t="s">
        <v>124</v>
      </c>
      <c r="T1166" t="s">
        <v>124</v>
      </c>
      <c r="U1166" t="s">
        <v>124</v>
      </c>
      <c r="X1166" s="19">
        <f t="shared" si="58"/>
        <v>0.8</v>
      </c>
      <c r="Y1166" s="19">
        <f t="shared" si="59"/>
        <v>0</v>
      </c>
      <c r="Z1166" s="26"/>
    </row>
    <row r="1167" spans="1:26" x14ac:dyDescent="0.35">
      <c r="A1167" t="s">
        <v>122</v>
      </c>
      <c r="B1167" t="s">
        <v>122</v>
      </c>
      <c r="C1167" t="s">
        <v>123</v>
      </c>
      <c r="D1167" t="s">
        <v>101</v>
      </c>
      <c r="E1167" t="s">
        <v>99</v>
      </c>
      <c r="F1167" t="s">
        <v>12</v>
      </c>
      <c r="G1167">
        <v>1</v>
      </c>
      <c r="H1167">
        <v>116</v>
      </c>
      <c r="I1167">
        <v>0.8</v>
      </c>
      <c r="J1167" s="25">
        <f t="shared" si="61"/>
        <v>0.8</v>
      </c>
      <c r="K1167">
        <v>1357</v>
      </c>
      <c r="L1167">
        <v>0</v>
      </c>
      <c r="M1167">
        <v>0</v>
      </c>
      <c r="N1167" s="25">
        <f t="shared" si="60"/>
        <v>0</v>
      </c>
      <c r="O1167">
        <v>1</v>
      </c>
      <c r="P1167" s="25">
        <f t="shared" si="62"/>
        <v>1</v>
      </c>
      <c r="Q1167">
        <v>29</v>
      </c>
      <c r="R1167" t="s">
        <v>124</v>
      </c>
      <c r="S1167" t="s">
        <v>124</v>
      </c>
      <c r="T1167" t="s">
        <v>124</v>
      </c>
      <c r="U1167" t="s">
        <v>124</v>
      </c>
      <c r="X1167" s="19">
        <f t="shared" si="58"/>
        <v>0.8</v>
      </c>
      <c r="Y1167" s="19">
        <f t="shared" si="59"/>
        <v>0</v>
      </c>
      <c r="Z1167" s="26"/>
    </row>
    <row r="1168" spans="1:26" x14ac:dyDescent="0.35">
      <c r="A1168" t="s">
        <v>122</v>
      </c>
      <c r="B1168" t="s">
        <v>122</v>
      </c>
      <c r="C1168" t="s">
        <v>123</v>
      </c>
      <c r="D1168" t="s">
        <v>101</v>
      </c>
      <c r="E1168" t="s">
        <v>99</v>
      </c>
      <c r="F1168" t="s">
        <v>12</v>
      </c>
      <c r="G1168">
        <v>1</v>
      </c>
      <c r="H1168">
        <v>116</v>
      </c>
      <c r="I1168">
        <v>0.8</v>
      </c>
      <c r="J1168" s="25">
        <f t="shared" si="61"/>
        <v>0.8</v>
      </c>
      <c r="K1168">
        <v>1357</v>
      </c>
      <c r="L1168">
        <v>0</v>
      </c>
      <c r="M1168">
        <v>0</v>
      </c>
      <c r="N1168" s="25">
        <f t="shared" si="60"/>
        <v>0</v>
      </c>
      <c r="O1168">
        <v>1</v>
      </c>
      <c r="P1168" s="25">
        <f t="shared" si="62"/>
        <v>1</v>
      </c>
      <c r="Q1168">
        <v>29</v>
      </c>
      <c r="R1168" t="s">
        <v>124</v>
      </c>
      <c r="S1168" t="s">
        <v>124</v>
      </c>
      <c r="T1168" t="s">
        <v>124</v>
      </c>
      <c r="U1168" t="s">
        <v>124</v>
      </c>
      <c r="X1168" s="19">
        <f t="shared" si="58"/>
        <v>0.8</v>
      </c>
      <c r="Y1168" s="19">
        <f t="shared" si="59"/>
        <v>0</v>
      </c>
      <c r="Z1168" s="26"/>
    </row>
    <row r="1169" spans="1:26" x14ac:dyDescent="0.35">
      <c r="A1169" t="s">
        <v>122</v>
      </c>
      <c r="B1169" t="s">
        <v>122</v>
      </c>
      <c r="C1169" t="s">
        <v>123</v>
      </c>
      <c r="D1169" t="s">
        <v>101</v>
      </c>
      <c r="E1169" t="s">
        <v>99</v>
      </c>
      <c r="F1169" t="s">
        <v>12</v>
      </c>
      <c r="G1169">
        <v>1</v>
      </c>
      <c r="H1169">
        <v>116</v>
      </c>
      <c r="I1169">
        <v>0.8</v>
      </c>
      <c r="J1169" s="25">
        <f t="shared" si="61"/>
        <v>0.8</v>
      </c>
      <c r="K1169">
        <v>1357</v>
      </c>
      <c r="L1169">
        <v>0</v>
      </c>
      <c r="M1169">
        <v>0</v>
      </c>
      <c r="N1169" s="25">
        <f t="shared" si="60"/>
        <v>0</v>
      </c>
      <c r="O1169">
        <v>1</v>
      </c>
      <c r="P1169" s="25">
        <f t="shared" si="62"/>
        <v>1</v>
      </c>
      <c r="Q1169">
        <v>29</v>
      </c>
      <c r="R1169" t="s">
        <v>124</v>
      </c>
      <c r="S1169" t="s">
        <v>124</v>
      </c>
      <c r="T1169" t="s">
        <v>124</v>
      </c>
      <c r="U1169" t="s">
        <v>124</v>
      </c>
      <c r="X1169" s="19">
        <f t="shared" si="58"/>
        <v>0.8</v>
      </c>
      <c r="Y1169" s="19">
        <f t="shared" si="59"/>
        <v>0</v>
      </c>
      <c r="Z1169" s="26"/>
    </row>
    <row r="1170" spans="1:26" x14ac:dyDescent="0.35">
      <c r="A1170" t="s">
        <v>122</v>
      </c>
      <c r="B1170" t="s">
        <v>122</v>
      </c>
      <c r="C1170" t="s">
        <v>123</v>
      </c>
      <c r="D1170" t="s">
        <v>101</v>
      </c>
      <c r="E1170" t="s">
        <v>99</v>
      </c>
      <c r="F1170" t="s">
        <v>12</v>
      </c>
      <c r="G1170">
        <v>1</v>
      </c>
      <c r="H1170">
        <v>116</v>
      </c>
      <c r="I1170">
        <v>0.8</v>
      </c>
      <c r="J1170" s="25">
        <f t="shared" si="61"/>
        <v>0.8</v>
      </c>
      <c r="K1170">
        <v>1357</v>
      </c>
      <c r="L1170">
        <v>0</v>
      </c>
      <c r="M1170">
        <v>0</v>
      </c>
      <c r="N1170" s="25">
        <f t="shared" si="60"/>
        <v>0</v>
      </c>
      <c r="O1170">
        <v>1</v>
      </c>
      <c r="P1170" s="25">
        <f t="shared" si="62"/>
        <v>1</v>
      </c>
      <c r="Q1170">
        <v>29</v>
      </c>
      <c r="R1170" t="s">
        <v>124</v>
      </c>
      <c r="S1170" t="s">
        <v>124</v>
      </c>
      <c r="T1170" t="s">
        <v>124</v>
      </c>
      <c r="U1170" t="s">
        <v>124</v>
      </c>
      <c r="X1170" s="19">
        <f t="shared" si="58"/>
        <v>0.8</v>
      </c>
      <c r="Y1170" s="19">
        <f t="shared" si="59"/>
        <v>0</v>
      </c>
      <c r="Z1170" s="26"/>
    </row>
    <row r="1171" spans="1:26" x14ac:dyDescent="0.35">
      <c r="A1171" t="s">
        <v>122</v>
      </c>
      <c r="B1171" t="s">
        <v>122</v>
      </c>
      <c r="C1171" t="s">
        <v>123</v>
      </c>
      <c r="D1171" t="s">
        <v>101</v>
      </c>
      <c r="E1171" t="s">
        <v>99</v>
      </c>
      <c r="F1171" t="s">
        <v>12</v>
      </c>
      <c r="G1171">
        <v>1</v>
      </c>
      <c r="H1171">
        <v>116</v>
      </c>
      <c r="I1171">
        <v>0.8</v>
      </c>
      <c r="J1171" s="25">
        <f t="shared" si="61"/>
        <v>0.8</v>
      </c>
      <c r="K1171">
        <v>1357</v>
      </c>
      <c r="L1171">
        <v>0</v>
      </c>
      <c r="M1171">
        <v>0</v>
      </c>
      <c r="N1171" s="25">
        <f t="shared" si="60"/>
        <v>0</v>
      </c>
      <c r="O1171">
        <v>1</v>
      </c>
      <c r="P1171" s="25">
        <f t="shared" si="62"/>
        <v>1</v>
      </c>
      <c r="Q1171">
        <v>29</v>
      </c>
      <c r="R1171" t="s">
        <v>124</v>
      </c>
      <c r="S1171" t="s">
        <v>124</v>
      </c>
      <c r="T1171" t="s">
        <v>124</v>
      </c>
      <c r="U1171" t="s">
        <v>124</v>
      </c>
      <c r="X1171" s="19">
        <f t="shared" si="58"/>
        <v>0.8</v>
      </c>
      <c r="Y1171" s="19">
        <f t="shared" si="59"/>
        <v>0</v>
      </c>
      <c r="Z1171" s="26"/>
    </row>
    <row r="1172" spans="1:26" x14ac:dyDescent="0.35">
      <c r="A1172" t="s">
        <v>122</v>
      </c>
      <c r="B1172" t="s">
        <v>122</v>
      </c>
      <c r="C1172" t="s">
        <v>123</v>
      </c>
      <c r="D1172" t="s">
        <v>101</v>
      </c>
      <c r="E1172" t="s">
        <v>99</v>
      </c>
      <c r="F1172" t="s">
        <v>12</v>
      </c>
      <c r="G1172">
        <v>1</v>
      </c>
      <c r="H1172">
        <v>116</v>
      </c>
      <c r="I1172">
        <v>0.8</v>
      </c>
      <c r="J1172" s="25">
        <f t="shared" si="61"/>
        <v>0.8</v>
      </c>
      <c r="K1172">
        <v>1357</v>
      </c>
      <c r="L1172">
        <v>0</v>
      </c>
      <c r="M1172">
        <v>0</v>
      </c>
      <c r="N1172" s="25">
        <f t="shared" si="60"/>
        <v>0</v>
      </c>
      <c r="O1172">
        <v>1</v>
      </c>
      <c r="P1172" s="25">
        <f t="shared" si="62"/>
        <v>1</v>
      </c>
      <c r="Q1172">
        <v>29</v>
      </c>
      <c r="R1172" t="s">
        <v>124</v>
      </c>
      <c r="S1172" t="s">
        <v>124</v>
      </c>
      <c r="T1172" t="s">
        <v>124</v>
      </c>
      <c r="U1172" t="s">
        <v>124</v>
      </c>
      <c r="X1172" s="19">
        <f t="shared" si="58"/>
        <v>0.8</v>
      </c>
      <c r="Y1172" s="19">
        <f t="shared" si="59"/>
        <v>0</v>
      </c>
      <c r="Z1172" s="26"/>
    </row>
    <row r="1173" spans="1:26" x14ac:dyDescent="0.35">
      <c r="A1173" t="s">
        <v>122</v>
      </c>
      <c r="B1173" t="s">
        <v>122</v>
      </c>
      <c r="C1173" t="s">
        <v>123</v>
      </c>
      <c r="D1173" t="s">
        <v>101</v>
      </c>
      <c r="E1173" t="s">
        <v>99</v>
      </c>
      <c r="F1173" t="s">
        <v>12</v>
      </c>
      <c r="G1173">
        <v>1</v>
      </c>
      <c r="H1173">
        <v>116</v>
      </c>
      <c r="I1173">
        <v>0.8</v>
      </c>
      <c r="J1173" s="25">
        <f t="shared" si="61"/>
        <v>0.8</v>
      </c>
      <c r="K1173">
        <v>1357</v>
      </c>
      <c r="L1173">
        <v>0</v>
      </c>
      <c r="M1173">
        <v>0</v>
      </c>
      <c r="N1173" s="25">
        <f t="shared" si="60"/>
        <v>0</v>
      </c>
      <c r="O1173">
        <v>1</v>
      </c>
      <c r="P1173" s="25">
        <f t="shared" si="62"/>
        <v>1</v>
      </c>
      <c r="Q1173">
        <v>29</v>
      </c>
      <c r="R1173" t="s">
        <v>124</v>
      </c>
      <c r="S1173" t="s">
        <v>124</v>
      </c>
      <c r="T1173" t="s">
        <v>124</v>
      </c>
      <c r="U1173" t="s">
        <v>124</v>
      </c>
      <c r="X1173" s="19">
        <f t="shared" si="58"/>
        <v>0.8</v>
      </c>
      <c r="Y1173" s="19">
        <f t="shared" si="59"/>
        <v>0</v>
      </c>
      <c r="Z1173" s="26"/>
    </row>
    <row r="1174" spans="1:26" x14ac:dyDescent="0.35">
      <c r="A1174" t="s">
        <v>122</v>
      </c>
      <c r="B1174" t="s">
        <v>122</v>
      </c>
      <c r="C1174" t="s">
        <v>123</v>
      </c>
      <c r="D1174" t="s">
        <v>101</v>
      </c>
      <c r="E1174" t="s">
        <v>99</v>
      </c>
      <c r="F1174" t="s">
        <v>12</v>
      </c>
      <c r="G1174">
        <v>1</v>
      </c>
      <c r="H1174">
        <v>116</v>
      </c>
      <c r="I1174">
        <v>0.8</v>
      </c>
      <c r="J1174" s="25">
        <f t="shared" si="61"/>
        <v>0.8</v>
      </c>
      <c r="K1174">
        <v>1357</v>
      </c>
      <c r="L1174">
        <v>0</v>
      </c>
      <c r="M1174">
        <v>0</v>
      </c>
      <c r="N1174" s="25">
        <f t="shared" si="60"/>
        <v>0</v>
      </c>
      <c r="O1174">
        <v>1</v>
      </c>
      <c r="P1174" s="25">
        <f t="shared" si="62"/>
        <v>1</v>
      </c>
      <c r="Q1174">
        <v>29</v>
      </c>
      <c r="R1174" t="s">
        <v>124</v>
      </c>
      <c r="S1174" t="s">
        <v>124</v>
      </c>
      <c r="T1174" t="s">
        <v>124</v>
      </c>
      <c r="U1174" t="s">
        <v>124</v>
      </c>
      <c r="X1174" s="19">
        <f t="shared" si="58"/>
        <v>0.8</v>
      </c>
      <c r="Y1174" s="19">
        <f t="shared" si="59"/>
        <v>0</v>
      </c>
      <c r="Z1174" s="26"/>
    </row>
    <row r="1175" spans="1:26" x14ac:dyDescent="0.35">
      <c r="A1175" t="s">
        <v>122</v>
      </c>
      <c r="B1175" t="s">
        <v>122</v>
      </c>
      <c r="C1175" t="s">
        <v>123</v>
      </c>
      <c r="D1175" t="s">
        <v>101</v>
      </c>
      <c r="E1175" t="s">
        <v>99</v>
      </c>
      <c r="F1175" t="s">
        <v>12</v>
      </c>
      <c r="G1175">
        <v>1</v>
      </c>
      <c r="H1175">
        <v>116</v>
      </c>
      <c r="I1175">
        <v>0.8</v>
      </c>
      <c r="J1175" s="25">
        <f t="shared" si="61"/>
        <v>0.8</v>
      </c>
      <c r="K1175">
        <v>1357</v>
      </c>
      <c r="L1175">
        <v>0</v>
      </c>
      <c r="M1175">
        <v>0</v>
      </c>
      <c r="N1175" s="25">
        <f t="shared" si="60"/>
        <v>0</v>
      </c>
      <c r="O1175">
        <v>1</v>
      </c>
      <c r="P1175" s="25">
        <f t="shared" si="62"/>
        <v>1</v>
      </c>
      <c r="Q1175">
        <v>29</v>
      </c>
      <c r="R1175" t="s">
        <v>124</v>
      </c>
      <c r="S1175" t="s">
        <v>124</v>
      </c>
      <c r="T1175" t="s">
        <v>124</v>
      </c>
      <c r="U1175" t="s">
        <v>124</v>
      </c>
      <c r="X1175" s="19">
        <f t="shared" si="58"/>
        <v>0.8</v>
      </c>
      <c r="Y1175" s="19">
        <f t="shared" si="59"/>
        <v>0</v>
      </c>
      <c r="Z1175" s="26"/>
    </row>
    <row r="1176" spans="1:26" x14ac:dyDescent="0.35">
      <c r="A1176" t="s">
        <v>122</v>
      </c>
      <c r="B1176" t="s">
        <v>122</v>
      </c>
      <c r="C1176" t="s">
        <v>123</v>
      </c>
      <c r="D1176" t="s">
        <v>101</v>
      </c>
      <c r="E1176" t="s">
        <v>99</v>
      </c>
      <c r="F1176" t="s">
        <v>12</v>
      </c>
      <c r="G1176">
        <v>1</v>
      </c>
      <c r="H1176">
        <v>116</v>
      </c>
      <c r="I1176">
        <v>0.8</v>
      </c>
      <c r="J1176" s="25">
        <f t="shared" si="61"/>
        <v>0.8</v>
      </c>
      <c r="K1176">
        <v>1357</v>
      </c>
      <c r="L1176">
        <v>0</v>
      </c>
      <c r="M1176">
        <v>0</v>
      </c>
      <c r="N1176" s="25">
        <f t="shared" si="60"/>
        <v>0</v>
      </c>
      <c r="O1176">
        <v>1</v>
      </c>
      <c r="P1176" s="25">
        <f t="shared" si="62"/>
        <v>1</v>
      </c>
      <c r="Q1176">
        <v>29</v>
      </c>
      <c r="R1176" t="s">
        <v>124</v>
      </c>
      <c r="S1176" t="s">
        <v>124</v>
      </c>
      <c r="T1176" t="s">
        <v>124</v>
      </c>
      <c r="U1176" t="s">
        <v>124</v>
      </c>
      <c r="X1176" s="19">
        <f t="shared" si="58"/>
        <v>0.8</v>
      </c>
      <c r="Y1176" s="19">
        <f t="shared" si="59"/>
        <v>0</v>
      </c>
      <c r="Z1176" s="26"/>
    </row>
    <row r="1177" spans="1:26" x14ac:dyDescent="0.35">
      <c r="A1177" t="s">
        <v>122</v>
      </c>
      <c r="B1177" t="s">
        <v>122</v>
      </c>
      <c r="C1177" t="s">
        <v>123</v>
      </c>
      <c r="D1177" t="s">
        <v>101</v>
      </c>
      <c r="E1177" t="s">
        <v>99</v>
      </c>
      <c r="F1177" t="s">
        <v>12</v>
      </c>
      <c r="G1177">
        <v>1</v>
      </c>
      <c r="H1177">
        <v>116</v>
      </c>
      <c r="I1177">
        <v>0.8</v>
      </c>
      <c r="J1177" s="25">
        <f t="shared" si="61"/>
        <v>0.8</v>
      </c>
      <c r="K1177">
        <v>1357</v>
      </c>
      <c r="L1177">
        <v>0</v>
      </c>
      <c r="M1177">
        <v>0</v>
      </c>
      <c r="N1177" s="25">
        <f t="shared" si="60"/>
        <v>0</v>
      </c>
      <c r="O1177">
        <v>1</v>
      </c>
      <c r="P1177" s="25">
        <f t="shared" si="62"/>
        <v>1</v>
      </c>
      <c r="Q1177">
        <v>29</v>
      </c>
      <c r="R1177" t="s">
        <v>124</v>
      </c>
      <c r="S1177" t="s">
        <v>124</v>
      </c>
      <c r="T1177" t="s">
        <v>124</v>
      </c>
      <c r="U1177" t="s">
        <v>124</v>
      </c>
      <c r="X1177" s="19">
        <f t="shared" si="58"/>
        <v>0.8</v>
      </c>
      <c r="Y1177" s="19">
        <f t="shared" si="59"/>
        <v>0</v>
      </c>
      <c r="Z1177" s="26"/>
    </row>
    <row r="1178" spans="1:26" x14ac:dyDescent="0.35">
      <c r="A1178" t="s">
        <v>122</v>
      </c>
      <c r="B1178" t="s">
        <v>122</v>
      </c>
      <c r="C1178" t="s">
        <v>123</v>
      </c>
      <c r="D1178" t="s">
        <v>101</v>
      </c>
      <c r="E1178" t="s">
        <v>99</v>
      </c>
      <c r="F1178" t="s">
        <v>12</v>
      </c>
      <c r="G1178">
        <v>1</v>
      </c>
      <c r="H1178">
        <v>116</v>
      </c>
      <c r="I1178">
        <v>0.8</v>
      </c>
      <c r="J1178" s="25">
        <f t="shared" si="61"/>
        <v>0.8</v>
      </c>
      <c r="K1178">
        <v>1357</v>
      </c>
      <c r="L1178">
        <v>0</v>
      </c>
      <c r="M1178">
        <v>0</v>
      </c>
      <c r="N1178" s="25">
        <f t="shared" si="60"/>
        <v>0</v>
      </c>
      <c r="O1178">
        <v>1</v>
      </c>
      <c r="P1178" s="25">
        <f t="shared" si="62"/>
        <v>1</v>
      </c>
      <c r="Q1178">
        <v>29</v>
      </c>
      <c r="R1178" t="s">
        <v>124</v>
      </c>
      <c r="S1178" t="s">
        <v>124</v>
      </c>
      <c r="T1178" t="s">
        <v>124</v>
      </c>
      <c r="U1178" t="s">
        <v>124</v>
      </c>
      <c r="X1178" s="19">
        <f t="shared" si="58"/>
        <v>0.8</v>
      </c>
      <c r="Y1178" s="19">
        <f t="shared" si="59"/>
        <v>0</v>
      </c>
      <c r="Z1178" s="26"/>
    </row>
    <row r="1179" spans="1:26" x14ac:dyDescent="0.35">
      <c r="A1179" t="s">
        <v>122</v>
      </c>
      <c r="B1179" t="s">
        <v>122</v>
      </c>
      <c r="C1179" t="s">
        <v>123</v>
      </c>
      <c r="D1179" t="s">
        <v>101</v>
      </c>
      <c r="E1179" t="s">
        <v>99</v>
      </c>
      <c r="F1179" t="s">
        <v>12</v>
      </c>
      <c r="G1179">
        <v>1</v>
      </c>
      <c r="H1179">
        <v>116</v>
      </c>
      <c r="I1179">
        <v>0.8</v>
      </c>
      <c r="J1179" s="25">
        <f t="shared" si="61"/>
        <v>0.8</v>
      </c>
      <c r="K1179">
        <v>1357</v>
      </c>
      <c r="L1179">
        <v>0</v>
      </c>
      <c r="M1179">
        <v>0</v>
      </c>
      <c r="N1179" s="25">
        <f t="shared" si="60"/>
        <v>0</v>
      </c>
      <c r="O1179">
        <v>1</v>
      </c>
      <c r="P1179" s="25">
        <f t="shared" si="62"/>
        <v>1</v>
      </c>
      <c r="Q1179">
        <v>29</v>
      </c>
      <c r="R1179" t="s">
        <v>124</v>
      </c>
      <c r="S1179" t="s">
        <v>124</v>
      </c>
      <c r="T1179" t="s">
        <v>124</v>
      </c>
      <c r="U1179" t="s">
        <v>124</v>
      </c>
      <c r="X1179" s="19">
        <f t="shared" si="58"/>
        <v>0.8</v>
      </c>
      <c r="Y1179" s="19">
        <f t="shared" si="59"/>
        <v>0</v>
      </c>
      <c r="Z1179" s="26"/>
    </row>
    <row r="1180" spans="1:26" x14ac:dyDescent="0.35">
      <c r="A1180" t="s">
        <v>122</v>
      </c>
      <c r="B1180" t="s">
        <v>122</v>
      </c>
      <c r="C1180" t="s">
        <v>123</v>
      </c>
      <c r="D1180" t="s">
        <v>101</v>
      </c>
      <c r="E1180" t="s">
        <v>99</v>
      </c>
      <c r="F1180" t="s">
        <v>12</v>
      </c>
      <c r="G1180">
        <v>1</v>
      </c>
      <c r="H1180">
        <v>116</v>
      </c>
      <c r="I1180">
        <v>0.8</v>
      </c>
      <c r="J1180" s="25">
        <f t="shared" si="61"/>
        <v>0.8</v>
      </c>
      <c r="K1180">
        <v>1357</v>
      </c>
      <c r="L1180">
        <v>0</v>
      </c>
      <c r="M1180">
        <v>0</v>
      </c>
      <c r="N1180" s="25">
        <f t="shared" si="60"/>
        <v>0</v>
      </c>
      <c r="O1180">
        <v>1</v>
      </c>
      <c r="P1180" s="25">
        <f t="shared" si="62"/>
        <v>1</v>
      </c>
      <c r="Q1180">
        <v>29</v>
      </c>
      <c r="R1180" t="s">
        <v>124</v>
      </c>
      <c r="S1180" t="s">
        <v>124</v>
      </c>
      <c r="T1180" t="s">
        <v>124</v>
      </c>
      <c r="U1180" t="s">
        <v>124</v>
      </c>
      <c r="X1180" s="19">
        <f t="shared" si="58"/>
        <v>0.8</v>
      </c>
      <c r="Y1180" s="19">
        <f t="shared" si="59"/>
        <v>0</v>
      </c>
      <c r="Z1180" s="26"/>
    </row>
    <row r="1181" spans="1:26" x14ac:dyDescent="0.35">
      <c r="A1181" t="s">
        <v>122</v>
      </c>
      <c r="B1181" t="s">
        <v>122</v>
      </c>
      <c r="C1181" t="s">
        <v>123</v>
      </c>
      <c r="D1181" t="s">
        <v>101</v>
      </c>
      <c r="E1181" t="s">
        <v>99</v>
      </c>
      <c r="F1181" t="s">
        <v>12</v>
      </c>
      <c r="G1181">
        <v>1</v>
      </c>
      <c r="H1181">
        <v>116</v>
      </c>
      <c r="I1181">
        <v>0.8</v>
      </c>
      <c r="J1181" s="25">
        <f t="shared" si="61"/>
        <v>0.8</v>
      </c>
      <c r="K1181">
        <v>1357</v>
      </c>
      <c r="L1181">
        <v>0</v>
      </c>
      <c r="M1181">
        <v>0</v>
      </c>
      <c r="N1181" s="25">
        <f t="shared" si="60"/>
        <v>0</v>
      </c>
      <c r="O1181">
        <v>1</v>
      </c>
      <c r="P1181" s="25">
        <f t="shared" si="62"/>
        <v>1</v>
      </c>
      <c r="Q1181">
        <v>29</v>
      </c>
      <c r="R1181" t="s">
        <v>124</v>
      </c>
      <c r="S1181" t="s">
        <v>124</v>
      </c>
      <c r="T1181" t="s">
        <v>124</v>
      </c>
      <c r="U1181" t="s">
        <v>124</v>
      </c>
      <c r="X1181" s="19">
        <f t="shared" si="58"/>
        <v>0.8</v>
      </c>
      <c r="Y1181" s="19">
        <f t="shared" si="59"/>
        <v>0</v>
      </c>
      <c r="Z1181" s="26"/>
    </row>
    <row r="1182" spans="1:26" x14ac:dyDescent="0.35">
      <c r="A1182" t="s">
        <v>122</v>
      </c>
      <c r="B1182" t="s">
        <v>122</v>
      </c>
      <c r="C1182" t="s">
        <v>123</v>
      </c>
      <c r="D1182" t="s">
        <v>101</v>
      </c>
      <c r="E1182" t="s">
        <v>99</v>
      </c>
      <c r="F1182" t="s">
        <v>12</v>
      </c>
      <c r="G1182">
        <v>1</v>
      </c>
      <c r="H1182">
        <v>116</v>
      </c>
      <c r="I1182">
        <v>0.8</v>
      </c>
      <c r="J1182" s="25">
        <f t="shared" si="61"/>
        <v>0.8</v>
      </c>
      <c r="K1182">
        <v>1357</v>
      </c>
      <c r="L1182">
        <v>0</v>
      </c>
      <c r="M1182">
        <v>0</v>
      </c>
      <c r="N1182" s="25">
        <f t="shared" si="60"/>
        <v>0</v>
      </c>
      <c r="O1182">
        <v>1</v>
      </c>
      <c r="P1182" s="25">
        <f t="shared" si="62"/>
        <v>1</v>
      </c>
      <c r="Q1182">
        <v>29</v>
      </c>
      <c r="R1182" t="s">
        <v>124</v>
      </c>
      <c r="S1182" t="s">
        <v>124</v>
      </c>
      <c r="T1182" t="s">
        <v>124</v>
      </c>
      <c r="U1182" t="s">
        <v>124</v>
      </c>
      <c r="X1182" s="19">
        <f t="shared" si="58"/>
        <v>0.8</v>
      </c>
      <c r="Y1182" s="19">
        <f t="shared" si="59"/>
        <v>0</v>
      </c>
      <c r="Z1182" s="26"/>
    </row>
    <row r="1183" spans="1:26" x14ac:dyDescent="0.35">
      <c r="A1183" t="s">
        <v>122</v>
      </c>
      <c r="B1183" t="s">
        <v>122</v>
      </c>
      <c r="C1183" t="s">
        <v>123</v>
      </c>
      <c r="D1183" t="s">
        <v>101</v>
      </c>
      <c r="E1183" t="s">
        <v>99</v>
      </c>
      <c r="F1183" t="s">
        <v>12</v>
      </c>
      <c r="G1183">
        <v>1</v>
      </c>
      <c r="H1183">
        <v>116</v>
      </c>
      <c r="I1183">
        <v>0.8</v>
      </c>
      <c r="J1183" s="25">
        <f t="shared" si="61"/>
        <v>0.8</v>
      </c>
      <c r="K1183">
        <v>1357</v>
      </c>
      <c r="L1183">
        <v>0</v>
      </c>
      <c r="M1183">
        <v>0</v>
      </c>
      <c r="N1183" s="25">
        <f t="shared" si="60"/>
        <v>0</v>
      </c>
      <c r="O1183">
        <v>1</v>
      </c>
      <c r="P1183" s="25">
        <f t="shared" si="62"/>
        <v>1</v>
      </c>
      <c r="Q1183">
        <v>29</v>
      </c>
      <c r="R1183" t="s">
        <v>124</v>
      </c>
      <c r="S1183" t="s">
        <v>124</v>
      </c>
      <c r="T1183" t="s">
        <v>124</v>
      </c>
      <c r="U1183" t="s">
        <v>124</v>
      </c>
      <c r="X1183" s="19">
        <f t="shared" si="58"/>
        <v>0.8</v>
      </c>
      <c r="Y1183" s="19">
        <f t="shared" si="59"/>
        <v>0</v>
      </c>
      <c r="Z1183" s="26"/>
    </row>
    <row r="1184" spans="1:26" x14ac:dyDescent="0.35">
      <c r="A1184" t="s">
        <v>122</v>
      </c>
      <c r="B1184" t="s">
        <v>122</v>
      </c>
      <c r="C1184" t="s">
        <v>123</v>
      </c>
      <c r="D1184" t="s">
        <v>101</v>
      </c>
      <c r="E1184" t="s">
        <v>99</v>
      </c>
      <c r="F1184" t="s">
        <v>12</v>
      </c>
      <c r="G1184">
        <v>1</v>
      </c>
      <c r="H1184">
        <v>116</v>
      </c>
      <c r="I1184">
        <v>0.8</v>
      </c>
      <c r="J1184" s="25">
        <f t="shared" si="61"/>
        <v>0.8</v>
      </c>
      <c r="K1184">
        <v>1357</v>
      </c>
      <c r="L1184">
        <v>0</v>
      </c>
      <c r="M1184">
        <v>0</v>
      </c>
      <c r="N1184" s="25">
        <f t="shared" si="60"/>
        <v>0</v>
      </c>
      <c r="O1184">
        <v>1</v>
      </c>
      <c r="P1184" s="25">
        <f t="shared" si="62"/>
        <v>1</v>
      </c>
      <c r="Q1184">
        <v>29</v>
      </c>
      <c r="R1184" t="s">
        <v>124</v>
      </c>
      <c r="S1184" t="s">
        <v>124</v>
      </c>
      <c r="T1184" t="s">
        <v>124</v>
      </c>
      <c r="U1184" t="s">
        <v>124</v>
      </c>
      <c r="X1184" s="19">
        <f t="shared" si="58"/>
        <v>0.8</v>
      </c>
      <c r="Y1184" s="19">
        <f t="shared" si="59"/>
        <v>0</v>
      </c>
      <c r="Z1184" s="26"/>
    </row>
    <row r="1185" spans="1:26" x14ac:dyDescent="0.35">
      <c r="A1185" t="s">
        <v>122</v>
      </c>
      <c r="B1185" t="s">
        <v>122</v>
      </c>
      <c r="C1185" t="s">
        <v>123</v>
      </c>
      <c r="D1185" t="s">
        <v>101</v>
      </c>
      <c r="E1185" t="s">
        <v>99</v>
      </c>
      <c r="F1185" t="s">
        <v>12</v>
      </c>
      <c r="G1185">
        <v>1</v>
      </c>
      <c r="H1185">
        <v>116</v>
      </c>
      <c r="I1185">
        <v>0.8</v>
      </c>
      <c r="J1185" s="25">
        <f t="shared" si="61"/>
        <v>0.8</v>
      </c>
      <c r="K1185">
        <v>1357</v>
      </c>
      <c r="L1185">
        <v>0</v>
      </c>
      <c r="M1185">
        <v>0</v>
      </c>
      <c r="N1185" s="25">
        <f t="shared" si="60"/>
        <v>0</v>
      </c>
      <c r="O1185">
        <v>1</v>
      </c>
      <c r="P1185" s="25">
        <f t="shared" si="62"/>
        <v>1</v>
      </c>
      <c r="Q1185">
        <v>29</v>
      </c>
      <c r="R1185" t="s">
        <v>124</v>
      </c>
      <c r="S1185" t="s">
        <v>124</v>
      </c>
      <c r="T1185" t="s">
        <v>124</v>
      </c>
      <c r="U1185" t="s">
        <v>124</v>
      </c>
      <c r="X1185" s="19">
        <f t="shared" si="58"/>
        <v>0.8</v>
      </c>
      <c r="Y1185" s="19">
        <f t="shared" si="59"/>
        <v>0</v>
      </c>
      <c r="Z1185" s="26"/>
    </row>
    <row r="1186" spans="1:26" x14ac:dyDescent="0.35">
      <c r="A1186" t="s">
        <v>122</v>
      </c>
      <c r="B1186" t="s">
        <v>122</v>
      </c>
      <c r="C1186" t="s">
        <v>123</v>
      </c>
      <c r="D1186" t="s">
        <v>101</v>
      </c>
      <c r="E1186" t="s">
        <v>99</v>
      </c>
      <c r="F1186" t="s">
        <v>12</v>
      </c>
      <c r="G1186">
        <v>1</v>
      </c>
      <c r="H1186">
        <v>116</v>
      </c>
      <c r="I1186">
        <v>0.8</v>
      </c>
      <c r="J1186" s="25">
        <f t="shared" si="61"/>
        <v>0.8</v>
      </c>
      <c r="K1186">
        <v>1357</v>
      </c>
      <c r="L1186">
        <v>0</v>
      </c>
      <c r="M1186">
        <v>0</v>
      </c>
      <c r="N1186" s="25">
        <f t="shared" si="60"/>
        <v>0</v>
      </c>
      <c r="O1186">
        <v>1</v>
      </c>
      <c r="P1186" s="25">
        <f t="shared" si="62"/>
        <v>1</v>
      </c>
      <c r="Q1186">
        <v>29</v>
      </c>
      <c r="R1186" t="s">
        <v>124</v>
      </c>
      <c r="S1186" t="s">
        <v>124</v>
      </c>
      <c r="T1186" t="s">
        <v>124</v>
      </c>
      <c r="U1186" t="s">
        <v>124</v>
      </c>
      <c r="X1186" s="19">
        <f t="shared" si="58"/>
        <v>0.8</v>
      </c>
      <c r="Y1186" s="19">
        <f t="shared" si="59"/>
        <v>0</v>
      </c>
      <c r="Z1186" s="26"/>
    </row>
    <row r="1187" spans="1:26" x14ac:dyDescent="0.35">
      <c r="A1187" t="s">
        <v>122</v>
      </c>
      <c r="B1187" t="s">
        <v>122</v>
      </c>
      <c r="C1187" t="s">
        <v>123</v>
      </c>
      <c r="D1187" t="s">
        <v>101</v>
      </c>
      <c r="E1187" t="s">
        <v>99</v>
      </c>
      <c r="F1187" t="s">
        <v>12</v>
      </c>
      <c r="G1187">
        <v>1</v>
      </c>
      <c r="H1187">
        <v>116</v>
      </c>
      <c r="I1187">
        <v>0.8</v>
      </c>
      <c r="J1187" s="25">
        <f t="shared" si="61"/>
        <v>0.8</v>
      </c>
      <c r="K1187">
        <v>1357</v>
      </c>
      <c r="L1187">
        <v>0</v>
      </c>
      <c r="M1187">
        <v>0</v>
      </c>
      <c r="N1187" s="25">
        <f t="shared" si="60"/>
        <v>0</v>
      </c>
      <c r="O1187">
        <v>1</v>
      </c>
      <c r="P1187" s="25">
        <f t="shared" si="62"/>
        <v>1</v>
      </c>
      <c r="Q1187">
        <v>29</v>
      </c>
      <c r="R1187" t="s">
        <v>124</v>
      </c>
      <c r="S1187" t="s">
        <v>124</v>
      </c>
      <c r="T1187" t="s">
        <v>124</v>
      </c>
      <c r="U1187" t="s">
        <v>124</v>
      </c>
      <c r="X1187" s="19">
        <f t="shared" si="58"/>
        <v>0.8</v>
      </c>
      <c r="Y1187" s="19">
        <f t="shared" si="59"/>
        <v>0</v>
      </c>
      <c r="Z1187" s="26"/>
    </row>
    <row r="1188" spans="1:26" x14ac:dyDescent="0.35">
      <c r="A1188" t="s">
        <v>122</v>
      </c>
      <c r="B1188" t="s">
        <v>122</v>
      </c>
      <c r="C1188" t="s">
        <v>123</v>
      </c>
      <c r="D1188" t="s">
        <v>101</v>
      </c>
      <c r="E1188" t="s">
        <v>99</v>
      </c>
      <c r="F1188" t="s">
        <v>12</v>
      </c>
      <c r="G1188">
        <v>1</v>
      </c>
      <c r="H1188">
        <v>116</v>
      </c>
      <c r="I1188">
        <v>0.8</v>
      </c>
      <c r="J1188" s="25">
        <f t="shared" si="61"/>
        <v>0.8</v>
      </c>
      <c r="K1188">
        <v>1357</v>
      </c>
      <c r="L1188">
        <v>0</v>
      </c>
      <c r="M1188">
        <v>0</v>
      </c>
      <c r="N1188" s="25">
        <f t="shared" si="60"/>
        <v>0</v>
      </c>
      <c r="O1188">
        <v>1</v>
      </c>
      <c r="P1188" s="25">
        <f t="shared" si="62"/>
        <v>1</v>
      </c>
      <c r="Q1188">
        <v>29</v>
      </c>
      <c r="R1188" t="s">
        <v>124</v>
      </c>
      <c r="S1188" t="s">
        <v>124</v>
      </c>
      <c r="T1188" t="s">
        <v>124</v>
      </c>
      <c r="U1188" t="s">
        <v>124</v>
      </c>
      <c r="X1188" s="19">
        <f t="shared" si="58"/>
        <v>0.8</v>
      </c>
      <c r="Y1188" s="19">
        <f t="shared" si="59"/>
        <v>0</v>
      </c>
      <c r="Z1188" s="26"/>
    </row>
    <row r="1189" spans="1:26" x14ac:dyDescent="0.35">
      <c r="A1189" t="s">
        <v>122</v>
      </c>
      <c r="B1189" t="s">
        <v>122</v>
      </c>
      <c r="C1189" t="s">
        <v>123</v>
      </c>
      <c r="D1189" t="s">
        <v>101</v>
      </c>
      <c r="E1189" t="s">
        <v>99</v>
      </c>
      <c r="F1189" t="s">
        <v>12</v>
      </c>
      <c r="G1189">
        <v>1</v>
      </c>
      <c r="H1189">
        <v>116</v>
      </c>
      <c r="I1189">
        <v>0.8</v>
      </c>
      <c r="J1189" s="25">
        <f t="shared" si="61"/>
        <v>0.8</v>
      </c>
      <c r="K1189">
        <v>1357</v>
      </c>
      <c r="L1189">
        <v>0</v>
      </c>
      <c r="M1189">
        <v>0</v>
      </c>
      <c r="N1189" s="25">
        <f t="shared" si="60"/>
        <v>0</v>
      </c>
      <c r="O1189">
        <v>1</v>
      </c>
      <c r="P1189" s="25">
        <f t="shared" si="62"/>
        <v>1</v>
      </c>
      <c r="Q1189">
        <v>29</v>
      </c>
      <c r="R1189" t="s">
        <v>124</v>
      </c>
      <c r="S1189" t="s">
        <v>124</v>
      </c>
      <c r="T1189" t="s">
        <v>124</v>
      </c>
      <c r="U1189" t="s">
        <v>124</v>
      </c>
      <c r="X1189" s="19">
        <f t="shared" si="58"/>
        <v>0.8</v>
      </c>
      <c r="Y1189" s="19">
        <f t="shared" si="59"/>
        <v>0</v>
      </c>
      <c r="Z1189" s="26"/>
    </row>
    <row r="1190" spans="1:26" x14ac:dyDescent="0.35">
      <c r="A1190" t="s">
        <v>122</v>
      </c>
      <c r="B1190" t="s">
        <v>122</v>
      </c>
      <c r="C1190" t="s">
        <v>123</v>
      </c>
      <c r="D1190" t="s">
        <v>101</v>
      </c>
      <c r="E1190" t="s">
        <v>99</v>
      </c>
      <c r="F1190" t="s">
        <v>12</v>
      </c>
      <c r="G1190">
        <v>1</v>
      </c>
      <c r="H1190">
        <v>116</v>
      </c>
      <c r="I1190">
        <v>0.8</v>
      </c>
      <c r="J1190" s="25">
        <f t="shared" si="61"/>
        <v>0.8</v>
      </c>
      <c r="K1190">
        <v>1357</v>
      </c>
      <c r="L1190">
        <v>0</v>
      </c>
      <c r="M1190">
        <v>0</v>
      </c>
      <c r="N1190" s="25">
        <f t="shared" si="60"/>
        <v>0</v>
      </c>
      <c r="O1190">
        <v>1</v>
      </c>
      <c r="P1190" s="25">
        <f t="shared" si="62"/>
        <v>1</v>
      </c>
      <c r="Q1190">
        <v>29</v>
      </c>
      <c r="R1190" t="s">
        <v>124</v>
      </c>
      <c r="S1190" t="s">
        <v>124</v>
      </c>
      <c r="T1190" t="s">
        <v>124</v>
      </c>
      <c r="U1190" t="s">
        <v>124</v>
      </c>
      <c r="X1190" s="19">
        <f t="shared" si="58"/>
        <v>0.8</v>
      </c>
      <c r="Y1190" s="19">
        <f t="shared" si="59"/>
        <v>0</v>
      </c>
      <c r="Z1190" s="26"/>
    </row>
    <row r="1191" spans="1:26" x14ac:dyDescent="0.35">
      <c r="A1191" t="s">
        <v>122</v>
      </c>
      <c r="B1191" t="s">
        <v>122</v>
      </c>
      <c r="C1191" t="s">
        <v>123</v>
      </c>
      <c r="D1191" t="s">
        <v>101</v>
      </c>
      <c r="E1191" t="s">
        <v>99</v>
      </c>
      <c r="F1191" t="s">
        <v>12</v>
      </c>
      <c r="G1191">
        <v>1</v>
      </c>
      <c r="H1191">
        <v>116</v>
      </c>
      <c r="I1191">
        <v>0.8</v>
      </c>
      <c r="J1191" s="25">
        <f t="shared" si="61"/>
        <v>0.8</v>
      </c>
      <c r="K1191">
        <v>1357</v>
      </c>
      <c r="L1191">
        <v>0</v>
      </c>
      <c r="M1191">
        <v>0</v>
      </c>
      <c r="N1191" s="25">
        <f t="shared" si="60"/>
        <v>0</v>
      </c>
      <c r="O1191">
        <v>1</v>
      </c>
      <c r="P1191" s="25">
        <f t="shared" si="62"/>
        <v>1</v>
      </c>
      <c r="Q1191">
        <v>29</v>
      </c>
      <c r="R1191" t="s">
        <v>124</v>
      </c>
      <c r="S1191" t="s">
        <v>124</v>
      </c>
      <c r="T1191" t="s">
        <v>124</v>
      </c>
      <c r="U1191" t="s">
        <v>124</v>
      </c>
      <c r="X1191" s="19">
        <f t="shared" si="58"/>
        <v>0.8</v>
      </c>
      <c r="Y1191" s="19">
        <f t="shared" si="59"/>
        <v>0</v>
      </c>
      <c r="Z1191" s="26"/>
    </row>
    <row r="1192" spans="1:26" x14ac:dyDescent="0.35">
      <c r="A1192" t="s">
        <v>122</v>
      </c>
      <c r="B1192" t="s">
        <v>122</v>
      </c>
      <c r="C1192" t="s">
        <v>123</v>
      </c>
      <c r="D1192" t="s">
        <v>101</v>
      </c>
      <c r="E1192" t="s">
        <v>99</v>
      </c>
      <c r="F1192" t="s">
        <v>12</v>
      </c>
      <c r="G1192">
        <v>1</v>
      </c>
      <c r="H1192">
        <v>116</v>
      </c>
      <c r="I1192">
        <v>0.8</v>
      </c>
      <c r="J1192" s="25">
        <f t="shared" si="61"/>
        <v>0.8</v>
      </c>
      <c r="K1192">
        <v>1357</v>
      </c>
      <c r="L1192">
        <v>0</v>
      </c>
      <c r="M1192">
        <v>0</v>
      </c>
      <c r="N1192" s="25">
        <f t="shared" si="60"/>
        <v>0</v>
      </c>
      <c r="O1192">
        <v>1</v>
      </c>
      <c r="P1192" s="25">
        <f t="shared" si="62"/>
        <v>1</v>
      </c>
      <c r="Q1192">
        <v>29</v>
      </c>
      <c r="R1192" t="s">
        <v>124</v>
      </c>
      <c r="S1192" t="s">
        <v>124</v>
      </c>
      <c r="T1192" t="s">
        <v>124</v>
      </c>
      <c r="U1192" t="s">
        <v>124</v>
      </c>
      <c r="X1192" s="19">
        <f t="shared" si="58"/>
        <v>0.8</v>
      </c>
      <c r="Y1192" s="19">
        <f t="shared" si="59"/>
        <v>0</v>
      </c>
      <c r="Z1192" s="26"/>
    </row>
    <row r="1193" spans="1:26" x14ac:dyDescent="0.35">
      <c r="A1193" t="s">
        <v>122</v>
      </c>
      <c r="B1193" t="s">
        <v>122</v>
      </c>
      <c r="C1193" t="s">
        <v>123</v>
      </c>
      <c r="D1193" t="s">
        <v>101</v>
      </c>
      <c r="E1193" t="s">
        <v>99</v>
      </c>
      <c r="F1193" t="s">
        <v>12</v>
      </c>
      <c r="G1193">
        <v>1</v>
      </c>
      <c r="H1193">
        <v>116</v>
      </c>
      <c r="I1193">
        <v>0.8</v>
      </c>
      <c r="J1193" s="25">
        <f t="shared" si="61"/>
        <v>0.8</v>
      </c>
      <c r="K1193">
        <v>1357</v>
      </c>
      <c r="L1193">
        <v>0</v>
      </c>
      <c r="M1193">
        <v>0</v>
      </c>
      <c r="N1193" s="25">
        <f t="shared" si="60"/>
        <v>0</v>
      </c>
      <c r="O1193">
        <v>1</v>
      </c>
      <c r="P1193" s="25">
        <f t="shared" si="62"/>
        <v>1</v>
      </c>
      <c r="Q1193">
        <v>29</v>
      </c>
      <c r="R1193" t="s">
        <v>124</v>
      </c>
      <c r="S1193" t="s">
        <v>124</v>
      </c>
      <c r="T1193" t="s">
        <v>124</v>
      </c>
      <c r="U1193" t="s">
        <v>124</v>
      </c>
      <c r="X1193" s="19">
        <f t="shared" si="58"/>
        <v>0.8</v>
      </c>
      <c r="Y1193" s="19">
        <f t="shared" si="59"/>
        <v>0</v>
      </c>
      <c r="Z1193" s="26"/>
    </row>
    <row r="1194" spans="1:26" x14ac:dyDescent="0.35">
      <c r="A1194" t="s">
        <v>122</v>
      </c>
      <c r="B1194" t="s">
        <v>122</v>
      </c>
      <c r="C1194" t="s">
        <v>123</v>
      </c>
      <c r="D1194" t="s">
        <v>101</v>
      </c>
      <c r="E1194" t="s">
        <v>99</v>
      </c>
      <c r="F1194" t="s">
        <v>12</v>
      </c>
      <c r="G1194">
        <v>1</v>
      </c>
      <c r="H1194">
        <v>116</v>
      </c>
      <c r="I1194">
        <v>0.8</v>
      </c>
      <c r="J1194" s="25">
        <f t="shared" si="61"/>
        <v>0.8</v>
      </c>
      <c r="K1194">
        <v>1357</v>
      </c>
      <c r="L1194">
        <v>0</v>
      </c>
      <c r="M1194">
        <v>0</v>
      </c>
      <c r="N1194" s="25">
        <f t="shared" si="60"/>
        <v>0</v>
      </c>
      <c r="O1194">
        <v>1</v>
      </c>
      <c r="P1194" s="25">
        <f t="shared" si="62"/>
        <v>1</v>
      </c>
      <c r="Q1194">
        <v>29</v>
      </c>
      <c r="R1194" t="s">
        <v>124</v>
      </c>
      <c r="S1194" t="s">
        <v>124</v>
      </c>
      <c r="T1194" t="s">
        <v>124</v>
      </c>
      <c r="U1194" t="s">
        <v>124</v>
      </c>
      <c r="X1194" s="19">
        <f t="shared" si="58"/>
        <v>0.8</v>
      </c>
      <c r="Y1194" s="19">
        <f t="shared" si="59"/>
        <v>0</v>
      </c>
      <c r="Z1194" s="26"/>
    </row>
    <row r="1195" spans="1:26" x14ac:dyDescent="0.35">
      <c r="A1195" t="s">
        <v>122</v>
      </c>
      <c r="B1195" t="s">
        <v>122</v>
      </c>
      <c r="C1195" t="s">
        <v>123</v>
      </c>
      <c r="D1195" t="s">
        <v>101</v>
      </c>
      <c r="E1195" t="s">
        <v>99</v>
      </c>
      <c r="F1195" t="s">
        <v>12</v>
      </c>
      <c r="G1195">
        <v>1</v>
      </c>
      <c r="H1195">
        <v>116</v>
      </c>
      <c r="I1195">
        <v>0.8</v>
      </c>
      <c r="J1195" s="25">
        <f t="shared" si="61"/>
        <v>0.8</v>
      </c>
      <c r="K1195">
        <v>1357</v>
      </c>
      <c r="L1195">
        <v>0</v>
      </c>
      <c r="M1195">
        <v>0</v>
      </c>
      <c r="N1195" s="25">
        <f t="shared" si="60"/>
        <v>0</v>
      </c>
      <c r="O1195">
        <v>1</v>
      </c>
      <c r="P1195" s="25">
        <f t="shared" si="62"/>
        <v>1</v>
      </c>
      <c r="Q1195">
        <v>29</v>
      </c>
      <c r="R1195" t="s">
        <v>124</v>
      </c>
      <c r="S1195" t="s">
        <v>124</v>
      </c>
      <c r="T1195" t="s">
        <v>124</v>
      </c>
      <c r="U1195" t="s">
        <v>124</v>
      </c>
      <c r="X1195" s="19">
        <f t="shared" si="58"/>
        <v>0.8</v>
      </c>
      <c r="Y1195" s="19">
        <f t="shared" si="59"/>
        <v>0</v>
      </c>
      <c r="Z1195" s="26"/>
    </row>
    <row r="1196" spans="1:26" x14ac:dyDescent="0.35">
      <c r="A1196" t="s">
        <v>122</v>
      </c>
      <c r="B1196" t="s">
        <v>122</v>
      </c>
      <c r="C1196" t="s">
        <v>123</v>
      </c>
      <c r="D1196" t="s">
        <v>101</v>
      </c>
      <c r="E1196" t="s">
        <v>99</v>
      </c>
      <c r="F1196" t="s">
        <v>12</v>
      </c>
      <c r="G1196">
        <v>1</v>
      </c>
      <c r="H1196">
        <v>116</v>
      </c>
      <c r="I1196">
        <v>0.8</v>
      </c>
      <c r="J1196" s="25">
        <f t="shared" si="61"/>
        <v>0.8</v>
      </c>
      <c r="K1196">
        <v>1357</v>
      </c>
      <c r="L1196">
        <v>0</v>
      </c>
      <c r="M1196">
        <v>0</v>
      </c>
      <c r="N1196" s="25">
        <f t="shared" si="60"/>
        <v>0</v>
      </c>
      <c r="O1196">
        <v>1</v>
      </c>
      <c r="P1196" s="25">
        <f t="shared" si="62"/>
        <v>1</v>
      </c>
      <c r="Q1196">
        <v>29</v>
      </c>
      <c r="R1196" t="s">
        <v>124</v>
      </c>
      <c r="S1196" t="s">
        <v>124</v>
      </c>
      <c r="T1196" t="s">
        <v>124</v>
      </c>
      <c r="U1196" t="s">
        <v>124</v>
      </c>
      <c r="X1196" s="19">
        <f t="shared" si="58"/>
        <v>0.8</v>
      </c>
      <c r="Y1196" s="19">
        <f t="shared" si="59"/>
        <v>0</v>
      </c>
      <c r="Z1196" s="26"/>
    </row>
    <row r="1197" spans="1:26" x14ac:dyDescent="0.35">
      <c r="A1197" t="s">
        <v>122</v>
      </c>
      <c r="B1197" t="s">
        <v>122</v>
      </c>
      <c r="C1197" t="s">
        <v>123</v>
      </c>
      <c r="D1197" t="s">
        <v>101</v>
      </c>
      <c r="E1197" t="s">
        <v>99</v>
      </c>
      <c r="F1197" t="s">
        <v>12</v>
      </c>
      <c r="G1197">
        <v>1</v>
      </c>
      <c r="H1197">
        <v>116</v>
      </c>
      <c r="I1197">
        <v>0.8</v>
      </c>
      <c r="J1197" s="25">
        <f t="shared" si="61"/>
        <v>0.8</v>
      </c>
      <c r="K1197">
        <v>1357</v>
      </c>
      <c r="L1197">
        <v>0</v>
      </c>
      <c r="M1197">
        <v>0</v>
      </c>
      <c r="N1197" s="25">
        <f t="shared" si="60"/>
        <v>0</v>
      </c>
      <c r="O1197">
        <v>1</v>
      </c>
      <c r="P1197" s="25">
        <f t="shared" si="62"/>
        <v>1</v>
      </c>
      <c r="Q1197">
        <v>29</v>
      </c>
      <c r="R1197" t="s">
        <v>124</v>
      </c>
      <c r="S1197" t="s">
        <v>124</v>
      </c>
      <c r="T1197" t="s">
        <v>124</v>
      </c>
      <c r="U1197" t="s">
        <v>124</v>
      </c>
      <c r="X1197" s="19">
        <f t="shared" si="58"/>
        <v>0.8</v>
      </c>
      <c r="Y1197" s="19">
        <f t="shared" si="59"/>
        <v>0</v>
      </c>
      <c r="Z1197" s="26"/>
    </row>
    <row r="1198" spans="1:26" x14ac:dyDescent="0.35">
      <c r="A1198" t="s">
        <v>122</v>
      </c>
      <c r="B1198" t="s">
        <v>122</v>
      </c>
      <c r="C1198" t="s">
        <v>123</v>
      </c>
      <c r="D1198" t="s">
        <v>101</v>
      </c>
      <c r="E1198" t="s">
        <v>99</v>
      </c>
      <c r="F1198" t="s">
        <v>12</v>
      </c>
      <c r="G1198">
        <v>1</v>
      </c>
      <c r="H1198">
        <v>116</v>
      </c>
      <c r="I1198">
        <v>0.8</v>
      </c>
      <c r="J1198" s="25">
        <f t="shared" si="61"/>
        <v>0.8</v>
      </c>
      <c r="K1198">
        <v>1357</v>
      </c>
      <c r="L1198">
        <v>0</v>
      </c>
      <c r="M1198">
        <v>0</v>
      </c>
      <c r="N1198" s="25">
        <f t="shared" si="60"/>
        <v>0</v>
      </c>
      <c r="O1198">
        <v>1</v>
      </c>
      <c r="P1198" s="25">
        <f t="shared" si="62"/>
        <v>1</v>
      </c>
      <c r="Q1198">
        <v>29</v>
      </c>
      <c r="R1198" t="s">
        <v>124</v>
      </c>
      <c r="S1198" t="s">
        <v>124</v>
      </c>
      <c r="T1198" t="s">
        <v>124</v>
      </c>
      <c r="U1198" t="s">
        <v>124</v>
      </c>
      <c r="X1198" s="19">
        <f t="shared" ref="X1198:X1261" si="63">J1198</f>
        <v>0.8</v>
      </c>
      <c r="Y1198" s="19">
        <f t="shared" ref="Y1198:Y1261" si="64">N1198</f>
        <v>0</v>
      </c>
      <c r="Z1198" s="26"/>
    </row>
    <row r="1199" spans="1:26" x14ac:dyDescent="0.35">
      <c r="A1199" t="s">
        <v>122</v>
      </c>
      <c r="B1199" t="s">
        <v>122</v>
      </c>
      <c r="C1199" t="s">
        <v>123</v>
      </c>
      <c r="D1199" t="s">
        <v>101</v>
      </c>
      <c r="E1199" t="s">
        <v>99</v>
      </c>
      <c r="F1199" t="s">
        <v>12</v>
      </c>
      <c r="G1199">
        <v>1</v>
      </c>
      <c r="H1199">
        <v>116</v>
      </c>
      <c r="I1199">
        <v>0.8</v>
      </c>
      <c r="J1199" s="25">
        <f t="shared" si="61"/>
        <v>0.8</v>
      </c>
      <c r="K1199">
        <v>1357</v>
      </c>
      <c r="L1199">
        <v>0</v>
      </c>
      <c r="M1199">
        <v>0</v>
      </c>
      <c r="N1199" s="25">
        <f t="shared" si="60"/>
        <v>0</v>
      </c>
      <c r="O1199">
        <v>1</v>
      </c>
      <c r="P1199" s="25">
        <f t="shared" si="62"/>
        <v>1</v>
      </c>
      <c r="Q1199">
        <v>29</v>
      </c>
      <c r="R1199" t="s">
        <v>124</v>
      </c>
      <c r="S1199" t="s">
        <v>124</v>
      </c>
      <c r="T1199" t="s">
        <v>124</v>
      </c>
      <c r="U1199" t="s">
        <v>124</v>
      </c>
      <c r="X1199" s="19">
        <f t="shared" si="63"/>
        <v>0.8</v>
      </c>
      <c r="Y1199" s="19">
        <f t="shared" si="64"/>
        <v>0</v>
      </c>
      <c r="Z1199" s="26"/>
    </row>
    <row r="1200" spans="1:26" x14ac:dyDescent="0.35">
      <c r="A1200" t="s">
        <v>122</v>
      </c>
      <c r="B1200" t="s">
        <v>122</v>
      </c>
      <c r="C1200" t="s">
        <v>123</v>
      </c>
      <c r="D1200" t="s">
        <v>101</v>
      </c>
      <c r="E1200" t="s">
        <v>99</v>
      </c>
      <c r="F1200" t="s">
        <v>12</v>
      </c>
      <c r="G1200">
        <v>1</v>
      </c>
      <c r="H1200">
        <v>116</v>
      </c>
      <c r="I1200">
        <v>0.8</v>
      </c>
      <c r="J1200" s="25">
        <f t="shared" si="61"/>
        <v>0.8</v>
      </c>
      <c r="K1200">
        <v>1357</v>
      </c>
      <c r="L1200">
        <v>0</v>
      </c>
      <c r="M1200">
        <v>0</v>
      </c>
      <c r="N1200" s="25">
        <f t="shared" si="60"/>
        <v>0</v>
      </c>
      <c r="O1200">
        <v>1</v>
      </c>
      <c r="P1200" s="25">
        <f t="shared" si="62"/>
        <v>1</v>
      </c>
      <c r="Q1200">
        <v>29</v>
      </c>
      <c r="R1200" t="s">
        <v>124</v>
      </c>
      <c r="S1200" t="s">
        <v>124</v>
      </c>
      <c r="T1200" t="s">
        <v>124</v>
      </c>
      <c r="U1200" t="s">
        <v>124</v>
      </c>
      <c r="X1200" s="19">
        <f t="shared" si="63"/>
        <v>0.8</v>
      </c>
      <c r="Y1200" s="19">
        <f t="shared" si="64"/>
        <v>0</v>
      </c>
      <c r="Z1200" s="26"/>
    </row>
    <row r="1201" spans="1:26" x14ac:dyDescent="0.35">
      <c r="A1201" t="s">
        <v>122</v>
      </c>
      <c r="B1201" t="s">
        <v>122</v>
      </c>
      <c r="C1201" t="s">
        <v>123</v>
      </c>
      <c r="D1201" t="s">
        <v>101</v>
      </c>
      <c r="E1201" t="s">
        <v>99</v>
      </c>
      <c r="F1201" t="s">
        <v>12</v>
      </c>
      <c r="G1201">
        <v>1</v>
      </c>
      <c r="H1201">
        <v>116</v>
      </c>
      <c r="I1201">
        <v>0.8</v>
      </c>
      <c r="J1201" s="25">
        <f t="shared" si="61"/>
        <v>0.8</v>
      </c>
      <c r="K1201">
        <v>1357</v>
      </c>
      <c r="L1201">
        <v>0</v>
      </c>
      <c r="M1201">
        <v>0</v>
      </c>
      <c r="N1201" s="25">
        <f t="shared" si="60"/>
        <v>0</v>
      </c>
      <c r="O1201">
        <v>1</v>
      </c>
      <c r="P1201" s="25">
        <f t="shared" si="62"/>
        <v>1</v>
      </c>
      <c r="Q1201">
        <v>29</v>
      </c>
      <c r="R1201" t="s">
        <v>124</v>
      </c>
      <c r="S1201" t="s">
        <v>124</v>
      </c>
      <c r="T1201" t="s">
        <v>124</v>
      </c>
      <c r="U1201" t="s">
        <v>124</v>
      </c>
      <c r="X1201" s="19">
        <f t="shared" si="63"/>
        <v>0.8</v>
      </c>
      <c r="Y1201" s="19">
        <f t="shared" si="64"/>
        <v>0</v>
      </c>
      <c r="Z1201" s="26"/>
    </row>
    <row r="1202" spans="1:26" x14ac:dyDescent="0.35">
      <c r="A1202" t="s">
        <v>122</v>
      </c>
      <c r="B1202" t="s">
        <v>122</v>
      </c>
      <c r="C1202" t="s">
        <v>123</v>
      </c>
      <c r="D1202" t="s">
        <v>101</v>
      </c>
      <c r="E1202" t="s">
        <v>99</v>
      </c>
      <c r="F1202" t="s">
        <v>12</v>
      </c>
      <c r="G1202">
        <v>1</v>
      </c>
      <c r="H1202">
        <v>116</v>
      </c>
      <c r="I1202">
        <v>0.8</v>
      </c>
      <c r="J1202" s="25">
        <f t="shared" si="61"/>
        <v>0.8</v>
      </c>
      <c r="K1202">
        <v>1357</v>
      </c>
      <c r="L1202">
        <v>0</v>
      </c>
      <c r="M1202">
        <v>0</v>
      </c>
      <c r="N1202" s="25">
        <f t="shared" si="60"/>
        <v>0</v>
      </c>
      <c r="O1202">
        <v>1</v>
      </c>
      <c r="P1202" s="25">
        <f t="shared" si="62"/>
        <v>1</v>
      </c>
      <c r="Q1202">
        <v>29</v>
      </c>
      <c r="R1202" t="s">
        <v>124</v>
      </c>
      <c r="S1202" t="s">
        <v>124</v>
      </c>
      <c r="T1202" t="s">
        <v>124</v>
      </c>
      <c r="U1202" t="s">
        <v>124</v>
      </c>
      <c r="X1202" s="19">
        <f t="shared" si="63"/>
        <v>0.8</v>
      </c>
      <c r="Y1202" s="19">
        <f t="shared" si="64"/>
        <v>0</v>
      </c>
      <c r="Z1202" s="26"/>
    </row>
    <row r="1203" spans="1:26" x14ac:dyDescent="0.35">
      <c r="A1203" t="s">
        <v>122</v>
      </c>
      <c r="B1203" t="s">
        <v>122</v>
      </c>
      <c r="C1203" t="s">
        <v>123</v>
      </c>
      <c r="D1203" t="s">
        <v>101</v>
      </c>
      <c r="E1203" t="s">
        <v>99</v>
      </c>
      <c r="F1203" t="s">
        <v>12</v>
      </c>
      <c r="G1203">
        <v>1</v>
      </c>
      <c r="H1203">
        <v>116</v>
      </c>
      <c r="I1203">
        <v>0.8</v>
      </c>
      <c r="J1203" s="25">
        <f t="shared" si="61"/>
        <v>0.8</v>
      </c>
      <c r="K1203">
        <v>1357</v>
      </c>
      <c r="L1203">
        <v>0</v>
      </c>
      <c r="M1203">
        <v>0</v>
      </c>
      <c r="N1203" s="25">
        <f t="shared" si="60"/>
        <v>0</v>
      </c>
      <c r="O1203">
        <v>1</v>
      </c>
      <c r="P1203" s="25">
        <f t="shared" si="62"/>
        <v>1</v>
      </c>
      <c r="Q1203">
        <v>29</v>
      </c>
      <c r="R1203" t="s">
        <v>124</v>
      </c>
      <c r="S1203" t="s">
        <v>124</v>
      </c>
      <c r="T1203" t="s">
        <v>124</v>
      </c>
      <c r="U1203" t="s">
        <v>124</v>
      </c>
      <c r="X1203" s="19">
        <f t="shared" si="63"/>
        <v>0.8</v>
      </c>
      <c r="Y1203" s="19">
        <f t="shared" si="64"/>
        <v>0</v>
      </c>
      <c r="Z1203" s="26"/>
    </row>
    <row r="1204" spans="1:26" x14ac:dyDescent="0.35">
      <c r="A1204" t="s">
        <v>122</v>
      </c>
      <c r="B1204" t="s">
        <v>122</v>
      </c>
      <c r="C1204" t="s">
        <v>123</v>
      </c>
      <c r="D1204" t="s">
        <v>101</v>
      </c>
      <c r="E1204" t="s">
        <v>99</v>
      </c>
      <c r="F1204" t="s">
        <v>12</v>
      </c>
      <c r="G1204">
        <v>1</v>
      </c>
      <c r="H1204">
        <v>116</v>
      </c>
      <c r="I1204">
        <v>0.8</v>
      </c>
      <c r="J1204" s="25">
        <f t="shared" si="61"/>
        <v>0.8</v>
      </c>
      <c r="K1204">
        <v>1357</v>
      </c>
      <c r="L1204">
        <v>0</v>
      </c>
      <c r="M1204">
        <v>0</v>
      </c>
      <c r="N1204" s="25">
        <f t="shared" si="60"/>
        <v>0</v>
      </c>
      <c r="O1204">
        <v>1</v>
      </c>
      <c r="P1204" s="25">
        <f t="shared" si="62"/>
        <v>1</v>
      </c>
      <c r="Q1204">
        <v>29</v>
      </c>
      <c r="R1204" t="s">
        <v>124</v>
      </c>
      <c r="S1204" t="s">
        <v>124</v>
      </c>
      <c r="T1204" t="s">
        <v>124</v>
      </c>
      <c r="U1204" t="s">
        <v>124</v>
      </c>
      <c r="X1204" s="19">
        <f t="shared" si="63"/>
        <v>0.8</v>
      </c>
      <c r="Y1204" s="19">
        <f t="shared" si="64"/>
        <v>0</v>
      </c>
      <c r="Z1204" s="26"/>
    </row>
    <row r="1205" spans="1:26" x14ac:dyDescent="0.35">
      <c r="A1205" t="s">
        <v>122</v>
      </c>
      <c r="B1205" t="s">
        <v>122</v>
      </c>
      <c r="C1205" t="s">
        <v>123</v>
      </c>
      <c r="D1205" t="s">
        <v>101</v>
      </c>
      <c r="E1205" t="s">
        <v>99</v>
      </c>
      <c r="F1205" t="s">
        <v>12</v>
      </c>
      <c r="G1205">
        <v>1</v>
      </c>
      <c r="H1205">
        <v>116</v>
      </c>
      <c r="I1205">
        <v>0.8</v>
      </c>
      <c r="J1205" s="25">
        <f t="shared" si="61"/>
        <v>0.8</v>
      </c>
      <c r="K1205">
        <v>1357</v>
      </c>
      <c r="L1205">
        <v>0</v>
      </c>
      <c r="M1205">
        <v>0</v>
      </c>
      <c r="N1205" s="25">
        <f t="shared" si="60"/>
        <v>0</v>
      </c>
      <c r="O1205">
        <v>1</v>
      </c>
      <c r="P1205" s="25">
        <f t="shared" si="62"/>
        <v>1</v>
      </c>
      <c r="Q1205">
        <v>29</v>
      </c>
      <c r="R1205" t="s">
        <v>124</v>
      </c>
      <c r="S1205" t="s">
        <v>124</v>
      </c>
      <c r="T1205" t="s">
        <v>124</v>
      </c>
      <c r="U1205" t="s">
        <v>124</v>
      </c>
      <c r="X1205" s="19">
        <f t="shared" si="63"/>
        <v>0.8</v>
      </c>
      <c r="Y1205" s="19">
        <f t="shared" si="64"/>
        <v>0</v>
      </c>
      <c r="Z1205" s="26"/>
    </row>
    <row r="1206" spans="1:26" x14ac:dyDescent="0.35">
      <c r="A1206" t="s">
        <v>122</v>
      </c>
      <c r="B1206" t="s">
        <v>122</v>
      </c>
      <c r="C1206" t="s">
        <v>123</v>
      </c>
      <c r="D1206" t="s">
        <v>101</v>
      </c>
      <c r="E1206" t="s">
        <v>99</v>
      </c>
      <c r="F1206" t="s">
        <v>12</v>
      </c>
      <c r="G1206">
        <v>1</v>
      </c>
      <c r="H1206">
        <v>116</v>
      </c>
      <c r="I1206">
        <v>0.8</v>
      </c>
      <c r="J1206" s="25">
        <f t="shared" si="61"/>
        <v>0.8</v>
      </c>
      <c r="K1206">
        <v>1357</v>
      </c>
      <c r="L1206">
        <v>0</v>
      </c>
      <c r="M1206">
        <v>0</v>
      </c>
      <c r="N1206" s="25">
        <f t="shared" si="60"/>
        <v>0</v>
      </c>
      <c r="O1206">
        <v>1</v>
      </c>
      <c r="P1206" s="25">
        <f t="shared" si="62"/>
        <v>1</v>
      </c>
      <c r="Q1206">
        <v>29</v>
      </c>
      <c r="R1206" t="s">
        <v>124</v>
      </c>
      <c r="S1206" t="s">
        <v>124</v>
      </c>
      <c r="T1206" t="s">
        <v>124</v>
      </c>
      <c r="U1206" t="s">
        <v>124</v>
      </c>
      <c r="X1206" s="19">
        <f t="shared" si="63"/>
        <v>0.8</v>
      </c>
      <c r="Y1206" s="19">
        <f t="shared" si="64"/>
        <v>0</v>
      </c>
      <c r="Z1206" s="26"/>
    </row>
    <row r="1207" spans="1:26" x14ac:dyDescent="0.35">
      <c r="A1207" t="s">
        <v>122</v>
      </c>
      <c r="B1207" t="s">
        <v>122</v>
      </c>
      <c r="C1207" t="s">
        <v>123</v>
      </c>
      <c r="D1207" t="s">
        <v>101</v>
      </c>
      <c r="E1207" t="s">
        <v>99</v>
      </c>
      <c r="F1207" t="s">
        <v>12</v>
      </c>
      <c r="G1207">
        <v>1</v>
      </c>
      <c r="H1207">
        <v>116</v>
      </c>
      <c r="I1207">
        <v>0.8</v>
      </c>
      <c r="J1207" s="25">
        <f t="shared" si="61"/>
        <v>0.8</v>
      </c>
      <c r="K1207">
        <v>1357</v>
      </c>
      <c r="L1207">
        <v>0</v>
      </c>
      <c r="M1207">
        <v>0</v>
      </c>
      <c r="N1207" s="25">
        <f t="shared" si="60"/>
        <v>0</v>
      </c>
      <c r="O1207">
        <v>1</v>
      </c>
      <c r="P1207" s="25">
        <f t="shared" si="62"/>
        <v>1</v>
      </c>
      <c r="Q1207">
        <v>29</v>
      </c>
      <c r="R1207" t="s">
        <v>124</v>
      </c>
      <c r="S1207" t="s">
        <v>124</v>
      </c>
      <c r="T1207" t="s">
        <v>124</v>
      </c>
      <c r="U1207" t="s">
        <v>124</v>
      </c>
      <c r="X1207" s="19">
        <f t="shared" si="63"/>
        <v>0.8</v>
      </c>
      <c r="Y1207" s="19">
        <f t="shared" si="64"/>
        <v>0</v>
      </c>
      <c r="Z1207" s="26"/>
    </row>
    <row r="1208" spans="1:26" x14ac:dyDescent="0.35">
      <c r="A1208" t="s">
        <v>122</v>
      </c>
      <c r="B1208" t="s">
        <v>122</v>
      </c>
      <c r="C1208" t="s">
        <v>123</v>
      </c>
      <c r="D1208" t="s">
        <v>101</v>
      </c>
      <c r="E1208" t="s">
        <v>99</v>
      </c>
      <c r="F1208" t="s">
        <v>12</v>
      </c>
      <c r="G1208">
        <v>1</v>
      </c>
      <c r="H1208">
        <v>116</v>
      </c>
      <c r="I1208">
        <v>0.8</v>
      </c>
      <c r="J1208" s="25">
        <f t="shared" si="61"/>
        <v>0.8</v>
      </c>
      <c r="K1208">
        <v>1357</v>
      </c>
      <c r="L1208">
        <v>0</v>
      </c>
      <c r="M1208">
        <v>0</v>
      </c>
      <c r="N1208" s="25">
        <f t="shared" si="60"/>
        <v>0</v>
      </c>
      <c r="O1208">
        <v>1</v>
      </c>
      <c r="P1208" s="25">
        <f t="shared" si="62"/>
        <v>1</v>
      </c>
      <c r="Q1208">
        <v>29</v>
      </c>
      <c r="R1208" t="s">
        <v>124</v>
      </c>
      <c r="S1208" t="s">
        <v>124</v>
      </c>
      <c r="T1208" t="s">
        <v>124</v>
      </c>
      <c r="U1208" t="s">
        <v>124</v>
      </c>
      <c r="X1208" s="19">
        <f t="shared" si="63"/>
        <v>0.8</v>
      </c>
      <c r="Y1208" s="19">
        <f t="shared" si="64"/>
        <v>0</v>
      </c>
      <c r="Z1208" s="26"/>
    </row>
    <row r="1209" spans="1:26" x14ac:dyDescent="0.35">
      <c r="A1209" t="s">
        <v>122</v>
      </c>
      <c r="B1209" t="s">
        <v>122</v>
      </c>
      <c r="C1209" t="s">
        <v>123</v>
      </c>
      <c r="D1209" t="s">
        <v>101</v>
      </c>
      <c r="E1209" t="s">
        <v>99</v>
      </c>
      <c r="F1209" t="s">
        <v>12</v>
      </c>
      <c r="G1209">
        <v>1</v>
      </c>
      <c r="H1209">
        <v>116</v>
      </c>
      <c r="I1209">
        <v>0.8</v>
      </c>
      <c r="J1209" s="25">
        <f t="shared" si="61"/>
        <v>0.8</v>
      </c>
      <c r="K1209">
        <v>1357</v>
      </c>
      <c r="L1209">
        <v>0</v>
      </c>
      <c r="M1209">
        <v>0</v>
      </c>
      <c r="N1209" s="25">
        <f t="shared" si="60"/>
        <v>0</v>
      </c>
      <c r="O1209">
        <v>1</v>
      </c>
      <c r="P1209" s="25">
        <f t="shared" si="62"/>
        <v>1</v>
      </c>
      <c r="Q1209">
        <v>29</v>
      </c>
      <c r="R1209" t="s">
        <v>124</v>
      </c>
      <c r="S1209" t="s">
        <v>124</v>
      </c>
      <c r="T1209" t="s">
        <v>124</v>
      </c>
      <c r="U1209" t="s">
        <v>124</v>
      </c>
      <c r="X1209" s="19">
        <f t="shared" si="63"/>
        <v>0.8</v>
      </c>
      <c r="Y1209" s="19">
        <f t="shared" si="64"/>
        <v>0</v>
      </c>
      <c r="Z1209" s="26"/>
    </row>
    <row r="1210" spans="1:26" x14ac:dyDescent="0.35">
      <c r="A1210" t="s">
        <v>122</v>
      </c>
      <c r="B1210" t="s">
        <v>122</v>
      </c>
      <c r="C1210" t="s">
        <v>123</v>
      </c>
      <c r="D1210" t="s">
        <v>101</v>
      </c>
      <c r="E1210" t="s">
        <v>99</v>
      </c>
      <c r="F1210" t="s">
        <v>12</v>
      </c>
      <c r="G1210">
        <v>1</v>
      </c>
      <c r="H1210">
        <v>116</v>
      </c>
      <c r="I1210">
        <v>0.8</v>
      </c>
      <c r="J1210" s="25">
        <f t="shared" si="61"/>
        <v>0.8</v>
      </c>
      <c r="K1210">
        <v>1357</v>
      </c>
      <c r="L1210">
        <v>0</v>
      </c>
      <c r="M1210">
        <v>0</v>
      </c>
      <c r="N1210" s="25">
        <f t="shared" si="60"/>
        <v>0</v>
      </c>
      <c r="O1210">
        <v>1</v>
      </c>
      <c r="P1210" s="25">
        <f t="shared" si="62"/>
        <v>1</v>
      </c>
      <c r="Q1210">
        <v>29</v>
      </c>
      <c r="R1210" t="s">
        <v>124</v>
      </c>
      <c r="S1210" t="s">
        <v>124</v>
      </c>
      <c r="T1210" t="s">
        <v>124</v>
      </c>
      <c r="U1210" t="s">
        <v>124</v>
      </c>
      <c r="X1210" s="19">
        <f t="shared" si="63"/>
        <v>0.8</v>
      </c>
      <c r="Y1210" s="19">
        <f t="shared" si="64"/>
        <v>0</v>
      </c>
      <c r="Z1210" s="26"/>
    </row>
    <row r="1211" spans="1:26" x14ac:dyDescent="0.35">
      <c r="A1211" t="s">
        <v>122</v>
      </c>
      <c r="B1211" t="s">
        <v>122</v>
      </c>
      <c r="C1211" t="s">
        <v>123</v>
      </c>
      <c r="D1211" t="s">
        <v>101</v>
      </c>
      <c r="E1211" t="s">
        <v>99</v>
      </c>
      <c r="F1211" t="s">
        <v>12</v>
      </c>
      <c r="G1211">
        <v>1</v>
      </c>
      <c r="H1211">
        <v>116</v>
      </c>
      <c r="I1211">
        <v>0.8</v>
      </c>
      <c r="J1211" s="25">
        <f t="shared" si="61"/>
        <v>0.8</v>
      </c>
      <c r="K1211">
        <v>1357</v>
      </c>
      <c r="L1211">
        <v>0</v>
      </c>
      <c r="M1211">
        <v>0</v>
      </c>
      <c r="N1211" s="25">
        <f t="shared" si="60"/>
        <v>0</v>
      </c>
      <c r="O1211">
        <v>1</v>
      </c>
      <c r="P1211" s="25">
        <f t="shared" si="62"/>
        <v>1</v>
      </c>
      <c r="Q1211">
        <v>29</v>
      </c>
      <c r="R1211" t="s">
        <v>124</v>
      </c>
      <c r="S1211" t="s">
        <v>124</v>
      </c>
      <c r="T1211" t="s">
        <v>124</v>
      </c>
      <c r="U1211" t="s">
        <v>124</v>
      </c>
      <c r="X1211" s="19">
        <f t="shared" si="63"/>
        <v>0.8</v>
      </c>
      <c r="Y1211" s="19">
        <f t="shared" si="64"/>
        <v>0</v>
      </c>
      <c r="Z1211" s="26"/>
    </row>
    <row r="1212" spans="1:26" x14ac:dyDescent="0.35">
      <c r="A1212" t="s">
        <v>122</v>
      </c>
      <c r="B1212" t="s">
        <v>122</v>
      </c>
      <c r="C1212" t="s">
        <v>123</v>
      </c>
      <c r="D1212" t="s">
        <v>101</v>
      </c>
      <c r="E1212" t="s">
        <v>99</v>
      </c>
      <c r="F1212" t="s">
        <v>12</v>
      </c>
      <c r="G1212">
        <v>1</v>
      </c>
      <c r="H1212">
        <v>116</v>
      </c>
      <c r="I1212">
        <v>0.8</v>
      </c>
      <c r="J1212" s="25">
        <f t="shared" si="61"/>
        <v>0.8</v>
      </c>
      <c r="K1212">
        <v>1357</v>
      </c>
      <c r="L1212">
        <v>0</v>
      </c>
      <c r="M1212">
        <v>0</v>
      </c>
      <c r="N1212" s="25">
        <f t="shared" si="60"/>
        <v>0</v>
      </c>
      <c r="O1212">
        <v>1</v>
      </c>
      <c r="P1212" s="25">
        <f t="shared" si="62"/>
        <v>1</v>
      </c>
      <c r="Q1212">
        <v>29</v>
      </c>
      <c r="R1212" t="s">
        <v>124</v>
      </c>
      <c r="S1212" t="s">
        <v>124</v>
      </c>
      <c r="T1212" t="s">
        <v>124</v>
      </c>
      <c r="U1212" t="s">
        <v>124</v>
      </c>
      <c r="X1212" s="19">
        <f t="shared" si="63"/>
        <v>0.8</v>
      </c>
      <c r="Y1212" s="19">
        <f t="shared" si="64"/>
        <v>0</v>
      </c>
      <c r="Z1212" s="26"/>
    </row>
    <row r="1213" spans="1:26" x14ac:dyDescent="0.35">
      <c r="A1213" t="s">
        <v>122</v>
      </c>
      <c r="B1213" t="s">
        <v>122</v>
      </c>
      <c r="C1213" t="s">
        <v>123</v>
      </c>
      <c r="D1213" t="s">
        <v>101</v>
      </c>
      <c r="E1213" t="s">
        <v>99</v>
      </c>
      <c r="F1213" t="s">
        <v>12</v>
      </c>
      <c r="G1213">
        <v>1</v>
      </c>
      <c r="H1213">
        <v>116</v>
      </c>
      <c r="I1213">
        <v>0.8</v>
      </c>
      <c r="J1213" s="25">
        <f t="shared" si="61"/>
        <v>0.8</v>
      </c>
      <c r="K1213">
        <v>1357</v>
      </c>
      <c r="L1213">
        <v>0</v>
      </c>
      <c r="M1213">
        <v>0</v>
      </c>
      <c r="N1213" s="25">
        <f t="shared" si="60"/>
        <v>0</v>
      </c>
      <c r="O1213">
        <v>1</v>
      </c>
      <c r="P1213" s="25">
        <f t="shared" si="62"/>
        <v>1</v>
      </c>
      <c r="Q1213">
        <v>29</v>
      </c>
      <c r="R1213" t="s">
        <v>124</v>
      </c>
      <c r="S1213" t="s">
        <v>124</v>
      </c>
      <c r="T1213" t="s">
        <v>124</v>
      </c>
      <c r="U1213" t="s">
        <v>124</v>
      </c>
      <c r="X1213" s="19">
        <f t="shared" si="63"/>
        <v>0.8</v>
      </c>
      <c r="Y1213" s="19">
        <f t="shared" si="64"/>
        <v>0</v>
      </c>
      <c r="Z1213" s="26"/>
    </row>
    <row r="1214" spans="1:26" x14ac:dyDescent="0.35">
      <c r="A1214" t="s">
        <v>122</v>
      </c>
      <c r="B1214" t="s">
        <v>122</v>
      </c>
      <c r="C1214" t="s">
        <v>123</v>
      </c>
      <c r="D1214" t="s">
        <v>101</v>
      </c>
      <c r="E1214" t="s">
        <v>99</v>
      </c>
      <c r="F1214" t="s">
        <v>12</v>
      </c>
      <c r="G1214">
        <v>1</v>
      </c>
      <c r="H1214">
        <v>116</v>
      </c>
      <c r="I1214">
        <v>0.8</v>
      </c>
      <c r="J1214" s="25">
        <f t="shared" si="61"/>
        <v>0.8</v>
      </c>
      <c r="K1214">
        <v>1357</v>
      </c>
      <c r="L1214">
        <v>0</v>
      </c>
      <c r="M1214">
        <v>0</v>
      </c>
      <c r="N1214" s="25">
        <f t="shared" si="60"/>
        <v>0</v>
      </c>
      <c r="O1214">
        <v>1</v>
      </c>
      <c r="P1214" s="25">
        <f t="shared" si="62"/>
        <v>1</v>
      </c>
      <c r="Q1214">
        <v>29</v>
      </c>
      <c r="R1214" t="s">
        <v>124</v>
      </c>
      <c r="S1214" t="s">
        <v>124</v>
      </c>
      <c r="T1214" t="s">
        <v>124</v>
      </c>
      <c r="U1214" t="s">
        <v>124</v>
      </c>
      <c r="X1214" s="19">
        <f t="shared" si="63"/>
        <v>0.8</v>
      </c>
      <c r="Y1214" s="19">
        <f t="shared" si="64"/>
        <v>0</v>
      </c>
      <c r="Z1214" s="26"/>
    </row>
    <row r="1215" spans="1:26" x14ac:dyDescent="0.35">
      <c r="A1215" t="s">
        <v>122</v>
      </c>
      <c r="B1215" t="s">
        <v>122</v>
      </c>
      <c r="C1215" t="s">
        <v>123</v>
      </c>
      <c r="D1215" t="s">
        <v>101</v>
      </c>
      <c r="E1215" t="s">
        <v>99</v>
      </c>
      <c r="F1215" t="s">
        <v>12</v>
      </c>
      <c r="G1215">
        <v>1</v>
      </c>
      <c r="H1215">
        <v>116</v>
      </c>
      <c r="I1215">
        <v>0.8</v>
      </c>
      <c r="J1215" s="25">
        <f t="shared" si="61"/>
        <v>0.8</v>
      </c>
      <c r="K1215">
        <v>1357</v>
      </c>
      <c r="L1215">
        <v>0</v>
      </c>
      <c r="M1215">
        <v>0</v>
      </c>
      <c r="N1215" s="25">
        <f t="shared" si="60"/>
        <v>0</v>
      </c>
      <c r="O1215">
        <v>1</v>
      </c>
      <c r="P1215" s="25">
        <f t="shared" si="62"/>
        <v>1</v>
      </c>
      <c r="Q1215">
        <v>29</v>
      </c>
      <c r="R1215" t="s">
        <v>124</v>
      </c>
      <c r="S1215" t="s">
        <v>124</v>
      </c>
      <c r="T1215" t="s">
        <v>124</v>
      </c>
      <c r="U1215" t="s">
        <v>124</v>
      </c>
      <c r="X1215" s="19">
        <f t="shared" si="63"/>
        <v>0.8</v>
      </c>
      <c r="Y1215" s="19">
        <f t="shared" si="64"/>
        <v>0</v>
      </c>
      <c r="Z1215" s="26"/>
    </row>
    <row r="1216" spans="1:26" x14ac:dyDescent="0.35">
      <c r="A1216" t="s">
        <v>122</v>
      </c>
      <c r="B1216" t="s">
        <v>122</v>
      </c>
      <c r="C1216" t="s">
        <v>123</v>
      </c>
      <c r="D1216" t="s">
        <v>101</v>
      </c>
      <c r="E1216" t="s">
        <v>99</v>
      </c>
      <c r="F1216" t="s">
        <v>12</v>
      </c>
      <c r="G1216">
        <v>1</v>
      </c>
      <c r="H1216">
        <v>116</v>
      </c>
      <c r="I1216">
        <v>0.8</v>
      </c>
      <c r="J1216" s="25">
        <f t="shared" si="61"/>
        <v>0.8</v>
      </c>
      <c r="K1216">
        <v>1357</v>
      </c>
      <c r="L1216">
        <v>0</v>
      </c>
      <c r="M1216">
        <v>0</v>
      </c>
      <c r="N1216" s="25">
        <f t="shared" si="60"/>
        <v>0</v>
      </c>
      <c r="O1216">
        <v>1</v>
      </c>
      <c r="P1216" s="25">
        <f t="shared" si="62"/>
        <v>1</v>
      </c>
      <c r="Q1216">
        <v>29</v>
      </c>
      <c r="R1216" t="s">
        <v>124</v>
      </c>
      <c r="S1216" t="s">
        <v>124</v>
      </c>
      <c r="T1216" t="s">
        <v>124</v>
      </c>
      <c r="U1216" t="s">
        <v>124</v>
      </c>
      <c r="X1216" s="19">
        <f t="shared" si="63"/>
        <v>0.8</v>
      </c>
      <c r="Y1216" s="19">
        <f t="shared" si="64"/>
        <v>0</v>
      </c>
      <c r="Z1216" s="26"/>
    </row>
    <row r="1217" spans="1:26" x14ac:dyDescent="0.35">
      <c r="A1217" t="s">
        <v>122</v>
      </c>
      <c r="B1217" t="s">
        <v>122</v>
      </c>
      <c r="C1217" t="s">
        <v>123</v>
      </c>
      <c r="D1217" t="s">
        <v>101</v>
      </c>
      <c r="E1217" t="s">
        <v>99</v>
      </c>
      <c r="F1217" t="s">
        <v>12</v>
      </c>
      <c r="G1217">
        <v>1</v>
      </c>
      <c r="H1217">
        <v>116</v>
      </c>
      <c r="I1217">
        <v>0.8</v>
      </c>
      <c r="J1217" s="25">
        <f t="shared" si="61"/>
        <v>0.8</v>
      </c>
      <c r="K1217">
        <v>1357</v>
      </c>
      <c r="L1217">
        <v>0</v>
      </c>
      <c r="M1217">
        <v>0</v>
      </c>
      <c r="N1217" s="25">
        <f t="shared" si="60"/>
        <v>0</v>
      </c>
      <c r="O1217">
        <v>1</v>
      </c>
      <c r="P1217" s="25">
        <f t="shared" si="62"/>
        <v>1</v>
      </c>
      <c r="Q1217">
        <v>29</v>
      </c>
      <c r="R1217" t="s">
        <v>124</v>
      </c>
      <c r="S1217" t="s">
        <v>124</v>
      </c>
      <c r="T1217" t="s">
        <v>124</v>
      </c>
      <c r="U1217" t="s">
        <v>124</v>
      </c>
      <c r="X1217" s="19">
        <f t="shared" si="63"/>
        <v>0.8</v>
      </c>
      <c r="Y1217" s="19">
        <f t="shared" si="64"/>
        <v>0</v>
      </c>
      <c r="Z1217" s="26"/>
    </row>
    <row r="1218" spans="1:26" x14ac:dyDescent="0.35">
      <c r="A1218" t="s">
        <v>122</v>
      </c>
      <c r="B1218" t="s">
        <v>122</v>
      </c>
      <c r="C1218" t="s">
        <v>123</v>
      </c>
      <c r="D1218" t="s">
        <v>101</v>
      </c>
      <c r="E1218" t="s">
        <v>99</v>
      </c>
      <c r="F1218" t="s">
        <v>12</v>
      </c>
      <c r="G1218">
        <v>1</v>
      </c>
      <c r="H1218">
        <v>116</v>
      </c>
      <c r="I1218">
        <v>0.8</v>
      </c>
      <c r="J1218" s="25">
        <f t="shared" si="61"/>
        <v>0.8</v>
      </c>
      <c r="K1218">
        <v>1357</v>
      </c>
      <c r="L1218">
        <v>0</v>
      </c>
      <c r="M1218">
        <v>0</v>
      </c>
      <c r="N1218" s="25">
        <f t="shared" ref="N1218:N1281" si="65">1-P1218</f>
        <v>0</v>
      </c>
      <c r="O1218">
        <v>1</v>
      </c>
      <c r="P1218" s="25">
        <f t="shared" si="62"/>
        <v>1</v>
      </c>
      <c r="Q1218">
        <v>29</v>
      </c>
      <c r="R1218" t="s">
        <v>124</v>
      </c>
      <c r="S1218" t="s">
        <v>124</v>
      </c>
      <c r="T1218" t="s">
        <v>124</v>
      </c>
      <c r="U1218" t="s">
        <v>124</v>
      </c>
      <c r="X1218" s="19">
        <f t="shared" si="63"/>
        <v>0.8</v>
      </c>
      <c r="Y1218" s="19">
        <f t="shared" si="64"/>
        <v>0</v>
      </c>
      <c r="Z1218" s="26"/>
    </row>
    <row r="1219" spans="1:26" x14ac:dyDescent="0.35">
      <c r="A1219" t="s">
        <v>122</v>
      </c>
      <c r="B1219" t="s">
        <v>122</v>
      </c>
      <c r="C1219" t="s">
        <v>123</v>
      </c>
      <c r="D1219" t="s">
        <v>101</v>
      </c>
      <c r="E1219" t="s">
        <v>99</v>
      </c>
      <c r="F1219" t="s">
        <v>12</v>
      </c>
      <c r="G1219">
        <v>1</v>
      </c>
      <c r="H1219">
        <v>116</v>
      </c>
      <c r="I1219">
        <v>0.8</v>
      </c>
      <c r="J1219" s="25">
        <f t="shared" ref="J1219:J1282" si="66">H1219/(H1219+Q1219)</f>
        <v>0.8</v>
      </c>
      <c r="K1219">
        <v>1357</v>
      </c>
      <c r="L1219">
        <v>0</v>
      </c>
      <c r="M1219">
        <v>0</v>
      </c>
      <c r="N1219" s="25">
        <f t="shared" si="65"/>
        <v>0</v>
      </c>
      <c r="O1219">
        <v>1</v>
      </c>
      <c r="P1219" s="25">
        <f t="shared" ref="P1219:P1282" si="67">K1219/(K1219+L1219)</f>
        <v>1</v>
      </c>
      <c r="Q1219">
        <v>29</v>
      </c>
      <c r="R1219" t="s">
        <v>124</v>
      </c>
      <c r="S1219" t="s">
        <v>124</v>
      </c>
      <c r="T1219" t="s">
        <v>124</v>
      </c>
      <c r="U1219" t="s">
        <v>124</v>
      </c>
      <c r="X1219" s="19">
        <f t="shared" si="63"/>
        <v>0.8</v>
      </c>
      <c r="Y1219" s="19">
        <f t="shared" si="64"/>
        <v>0</v>
      </c>
      <c r="Z1219" s="26"/>
    </row>
    <row r="1220" spans="1:26" x14ac:dyDescent="0.35">
      <c r="A1220" t="s">
        <v>122</v>
      </c>
      <c r="B1220" t="s">
        <v>122</v>
      </c>
      <c r="C1220" t="s">
        <v>123</v>
      </c>
      <c r="D1220" t="s">
        <v>101</v>
      </c>
      <c r="E1220" t="s">
        <v>99</v>
      </c>
      <c r="F1220" t="s">
        <v>12</v>
      </c>
      <c r="G1220">
        <v>1</v>
      </c>
      <c r="H1220">
        <v>116</v>
      </c>
      <c r="I1220">
        <v>0.8</v>
      </c>
      <c r="J1220" s="25">
        <f t="shared" si="66"/>
        <v>0.8</v>
      </c>
      <c r="K1220">
        <v>1357</v>
      </c>
      <c r="L1220">
        <v>0</v>
      </c>
      <c r="M1220">
        <v>0</v>
      </c>
      <c r="N1220" s="25">
        <f t="shared" si="65"/>
        <v>0</v>
      </c>
      <c r="O1220">
        <v>1</v>
      </c>
      <c r="P1220" s="25">
        <f t="shared" si="67"/>
        <v>1</v>
      </c>
      <c r="Q1220">
        <v>29</v>
      </c>
      <c r="R1220" t="s">
        <v>124</v>
      </c>
      <c r="S1220" t="s">
        <v>124</v>
      </c>
      <c r="T1220" t="s">
        <v>124</v>
      </c>
      <c r="U1220" t="s">
        <v>124</v>
      </c>
      <c r="X1220" s="19">
        <f t="shared" si="63"/>
        <v>0.8</v>
      </c>
      <c r="Y1220" s="19">
        <f t="shared" si="64"/>
        <v>0</v>
      </c>
      <c r="Z1220" s="26"/>
    </row>
    <row r="1221" spans="1:26" x14ac:dyDescent="0.35">
      <c r="A1221" t="s">
        <v>122</v>
      </c>
      <c r="B1221" t="s">
        <v>122</v>
      </c>
      <c r="C1221" t="s">
        <v>123</v>
      </c>
      <c r="D1221" t="s">
        <v>101</v>
      </c>
      <c r="E1221" t="s">
        <v>99</v>
      </c>
      <c r="F1221" t="s">
        <v>12</v>
      </c>
      <c r="G1221">
        <v>1</v>
      </c>
      <c r="H1221">
        <v>116</v>
      </c>
      <c r="I1221">
        <v>0.8</v>
      </c>
      <c r="J1221" s="25">
        <f t="shared" si="66"/>
        <v>0.8</v>
      </c>
      <c r="K1221">
        <v>1357</v>
      </c>
      <c r="L1221">
        <v>0</v>
      </c>
      <c r="M1221">
        <v>0</v>
      </c>
      <c r="N1221" s="25">
        <f t="shared" si="65"/>
        <v>0</v>
      </c>
      <c r="O1221">
        <v>1</v>
      </c>
      <c r="P1221" s="25">
        <f t="shared" si="67"/>
        <v>1</v>
      </c>
      <c r="Q1221">
        <v>29</v>
      </c>
      <c r="R1221" t="s">
        <v>124</v>
      </c>
      <c r="S1221" t="s">
        <v>124</v>
      </c>
      <c r="T1221" t="s">
        <v>124</v>
      </c>
      <c r="U1221" t="s">
        <v>124</v>
      </c>
      <c r="X1221" s="19">
        <f t="shared" si="63"/>
        <v>0.8</v>
      </c>
      <c r="Y1221" s="19">
        <f t="shared" si="64"/>
        <v>0</v>
      </c>
      <c r="Z1221" s="26"/>
    </row>
    <row r="1222" spans="1:26" x14ac:dyDescent="0.35">
      <c r="A1222" t="s">
        <v>122</v>
      </c>
      <c r="B1222" t="s">
        <v>122</v>
      </c>
      <c r="C1222" t="s">
        <v>123</v>
      </c>
      <c r="D1222" t="s">
        <v>101</v>
      </c>
      <c r="E1222" t="s">
        <v>99</v>
      </c>
      <c r="F1222" t="s">
        <v>12</v>
      </c>
      <c r="G1222">
        <v>1</v>
      </c>
      <c r="H1222">
        <v>116</v>
      </c>
      <c r="I1222">
        <v>0.8</v>
      </c>
      <c r="J1222" s="25">
        <f t="shared" si="66"/>
        <v>0.8</v>
      </c>
      <c r="K1222">
        <v>1357</v>
      </c>
      <c r="L1222">
        <v>0</v>
      </c>
      <c r="M1222">
        <v>0</v>
      </c>
      <c r="N1222" s="25">
        <f t="shared" si="65"/>
        <v>0</v>
      </c>
      <c r="O1222">
        <v>1</v>
      </c>
      <c r="P1222" s="25">
        <f t="shared" si="67"/>
        <v>1</v>
      </c>
      <c r="Q1222">
        <v>29</v>
      </c>
      <c r="R1222" t="s">
        <v>124</v>
      </c>
      <c r="S1222" t="s">
        <v>124</v>
      </c>
      <c r="T1222" t="s">
        <v>124</v>
      </c>
      <c r="U1222" t="s">
        <v>124</v>
      </c>
      <c r="X1222" s="19">
        <f t="shared" si="63"/>
        <v>0.8</v>
      </c>
      <c r="Y1222" s="19">
        <f t="shared" si="64"/>
        <v>0</v>
      </c>
      <c r="Z1222" s="26"/>
    </row>
    <row r="1223" spans="1:26" x14ac:dyDescent="0.35">
      <c r="A1223" t="s">
        <v>122</v>
      </c>
      <c r="B1223" t="s">
        <v>122</v>
      </c>
      <c r="C1223" t="s">
        <v>123</v>
      </c>
      <c r="D1223" t="s">
        <v>101</v>
      </c>
      <c r="E1223" t="s">
        <v>99</v>
      </c>
      <c r="F1223" t="s">
        <v>12</v>
      </c>
      <c r="G1223">
        <v>1</v>
      </c>
      <c r="H1223">
        <v>116</v>
      </c>
      <c r="I1223">
        <v>0.8</v>
      </c>
      <c r="J1223" s="25">
        <f t="shared" si="66"/>
        <v>0.8</v>
      </c>
      <c r="K1223">
        <v>1357</v>
      </c>
      <c r="L1223">
        <v>0</v>
      </c>
      <c r="M1223">
        <v>0</v>
      </c>
      <c r="N1223" s="25">
        <f t="shared" si="65"/>
        <v>0</v>
      </c>
      <c r="O1223">
        <v>1</v>
      </c>
      <c r="P1223" s="25">
        <f t="shared" si="67"/>
        <v>1</v>
      </c>
      <c r="Q1223">
        <v>29</v>
      </c>
      <c r="R1223" t="s">
        <v>124</v>
      </c>
      <c r="S1223" t="s">
        <v>124</v>
      </c>
      <c r="T1223" t="s">
        <v>124</v>
      </c>
      <c r="U1223" t="s">
        <v>124</v>
      </c>
      <c r="X1223" s="19">
        <f t="shared" si="63"/>
        <v>0.8</v>
      </c>
      <c r="Y1223" s="19">
        <f t="shared" si="64"/>
        <v>0</v>
      </c>
      <c r="Z1223" s="26"/>
    </row>
    <row r="1224" spans="1:26" x14ac:dyDescent="0.35">
      <c r="A1224" t="s">
        <v>122</v>
      </c>
      <c r="B1224" t="s">
        <v>122</v>
      </c>
      <c r="C1224" t="s">
        <v>123</v>
      </c>
      <c r="D1224" t="s">
        <v>101</v>
      </c>
      <c r="E1224" t="s">
        <v>99</v>
      </c>
      <c r="F1224" t="s">
        <v>12</v>
      </c>
      <c r="G1224">
        <v>1</v>
      </c>
      <c r="H1224">
        <v>116</v>
      </c>
      <c r="I1224">
        <v>0.8</v>
      </c>
      <c r="J1224" s="25">
        <f t="shared" si="66"/>
        <v>0.8</v>
      </c>
      <c r="K1224">
        <v>1357</v>
      </c>
      <c r="L1224">
        <v>0</v>
      </c>
      <c r="M1224">
        <v>0</v>
      </c>
      <c r="N1224" s="25">
        <f t="shared" si="65"/>
        <v>0</v>
      </c>
      <c r="O1224">
        <v>1</v>
      </c>
      <c r="P1224" s="25">
        <f t="shared" si="67"/>
        <v>1</v>
      </c>
      <c r="Q1224">
        <v>29</v>
      </c>
      <c r="R1224" t="s">
        <v>124</v>
      </c>
      <c r="S1224" t="s">
        <v>124</v>
      </c>
      <c r="T1224" t="s">
        <v>124</v>
      </c>
      <c r="U1224" t="s">
        <v>124</v>
      </c>
      <c r="X1224" s="19">
        <f t="shared" si="63"/>
        <v>0.8</v>
      </c>
      <c r="Y1224" s="19">
        <f t="shared" si="64"/>
        <v>0</v>
      </c>
      <c r="Z1224" s="26"/>
    </row>
    <row r="1225" spans="1:26" x14ac:dyDescent="0.35">
      <c r="A1225" t="s">
        <v>122</v>
      </c>
      <c r="B1225" t="s">
        <v>122</v>
      </c>
      <c r="C1225" t="s">
        <v>123</v>
      </c>
      <c r="D1225" t="s">
        <v>101</v>
      </c>
      <c r="E1225" t="s">
        <v>99</v>
      </c>
      <c r="F1225" t="s">
        <v>12</v>
      </c>
      <c r="G1225">
        <v>1</v>
      </c>
      <c r="H1225">
        <v>116</v>
      </c>
      <c r="I1225">
        <v>0.8</v>
      </c>
      <c r="J1225" s="25">
        <f t="shared" si="66"/>
        <v>0.8</v>
      </c>
      <c r="K1225">
        <v>1357</v>
      </c>
      <c r="L1225">
        <v>0</v>
      </c>
      <c r="M1225">
        <v>0</v>
      </c>
      <c r="N1225" s="25">
        <f t="shared" si="65"/>
        <v>0</v>
      </c>
      <c r="O1225">
        <v>1</v>
      </c>
      <c r="P1225" s="25">
        <f t="shared" si="67"/>
        <v>1</v>
      </c>
      <c r="Q1225">
        <v>29</v>
      </c>
      <c r="R1225" t="s">
        <v>124</v>
      </c>
      <c r="S1225" t="s">
        <v>124</v>
      </c>
      <c r="T1225" t="s">
        <v>124</v>
      </c>
      <c r="U1225" t="s">
        <v>124</v>
      </c>
      <c r="X1225" s="19">
        <f t="shared" si="63"/>
        <v>0.8</v>
      </c>
      <c r="Y1225" s="19">
        <f t="shared" si="64"/>
        <v>0</v>
      </c>
      <c r="Z1225" s="26"/>
    </row>
    <row r="1226" spans="1:26" x14ac:dyDescent="0.35">
      <c r="A1226" t="s">
        <v>122</v>
      </c>
      <c r="B1226" t="s">
        <v>122</v>
      </c>
      <c r="C1226" t="s">
        <v>123</v>
      </c>
      <c r="D1226" t="s">
        <v>101</v>
      </c>
      <c r="E1226" t="s">
        <v>99</v>
      </c>
      <c r="F1226" t="s">
        <v>12</v>
      </c>
      <c r="G1226">
        <v>1</v>
      </c>
      <c r="H1226">
        <v>116</v>
      </c>
      <c r="I1226">
        <v>0.8</v>
      </c>
      <c r="J1226" s="25">
        <f t="shared" si="66"/>
        <v>0.8</v>
      </c>
      <c r="K1226">
        <v>1357</v>
      </c>
      <c r="L1226">
        <v>0</v>
      </c>
      <c r="M1226">
        <v>0</v>
      </c>
      <c r="N1226" s="25">
        <f t="shared" si="65"/>
        <v>0</v>
      </c>
      <c r="O1226">
        <v>1</v>
      </c>
      <c r="P1226" s="25">
        <f t="shared" si="67"/>
        <v>1</v>
      </c>
      <c r="Q1226">
        <v>29</v>
      </c>
      <c r="R1226" t="s">
        <v>124</v>
      </c>
      <c r="S1226" t="s">
        <v>124</v>
      </c>
      <c r="T1226" t="s">
        <v>124</v>
      </c>
      <c r="U1226" t="s">
        <v>124</v>
      </c>
      <c r="X1226" s="19">
        <f t="shared" si="63"/>
        <v>0.8</v>
      </c>
      <c r="Y1226" s="19">
        <f t="shared" si="64"/>
        <v>0</v>
      </c>
      <c r="Z1226" s="26"/>
    </row>
    <row r="1227" spans="1:26" x14ac:dyDescent="0.35">
      <c r="A1227" t="s">
        <v>122</v>
      </c>
      <c r="B1227" t="s">
        <v>122</v>
      </c>
      <c r="C1227" t="s">
        <v>123</v>
      </c>
      <c r="D1227" t="s">
        <v>101</v>
      </c>
      <c r="E1227" t="s">
        <v>99</v>
      </c>
      <c r="F1227" t="s">
        <v>12</v>
      </c>
      <c r="G1227">
        <v>1</v>
      </c>
      <c r="H1227">
        <v>116</v>
      </c>
      <c r="I1227">
        <v>0.8</v>
      </c>
      <c r="J1227" s="25">
        <f t="shared" si="66"/>
        <v>0.8</v>
      </c>
      <c r="K1227">
        <v>1357</v>
      </c>
      <c r="L1227">
        <v>0</v>
      </c>
      <c r="M1227">
        <v>0</v>
      </c>
      <c r="N1227" s="25">
        <f t="shared" si="65"/>
        <v>0</v>
      </c>
      <c r="O1227">
        <v>1</v>
      </c>
      <c r="P1227" s="25">
        <f t="shared" si="67"/>
        <v>1</v>
      </c>
      <c r="Q1227">
        <v>29</v>
      </c>
      <c r="R1227" t="s">
        <v>124</v>
      </c>
      <c r="S1227" t="s">
        <v>124</v>
      </c>
      <c r="T1227" t="s">
        <v>124</v>
      </c>
      <c r="U1227" t="s">
        <v>124</v>
      </c>
      <c r="X1227" s="19">
        <f t="shared" si="63"/>
        <v>0.8</v>
      </c>
      <c r="Y1227" s="19">
        <f t="shared" si="64"/>
        <v>0</v>
      </c>
      <c r="Z1227" s="26"/>
    </row>
    <row r="1228" spans="1:26" x14ac:dyDescent="0.35">
      <c r="A1228" t="s">
        <v>122</v>
      </c>
      <c r="B1228" t="s">
        <v>122</v>
      </c>
      <c r="C1228" t="s">
        <v>123</v>
      </c>
      <c r="D1228" t="s">
        <v>101</v>
      </c>
      <c r="E1228" t="s">
        <v>99</v>
      </c>
      <c r="F1228" t="s">
        <v>12</v>
      </c>
      <c r="G1228">
        <v>1</v>
      </c>
      <c r="H1228">
        <v>116</v>
      </c>
      <c r="I1228">
        <v>0.8</v>
      </c>
      <c r="J1228" s="25">
        <f t="shared" si="66"/>
        <v>0.8</v>
      </c>
      <c r="K1228">
        <v>1357</v>
      </c>
      <c r="L1228">
        <v>0</v>
      </c>
      <c r="M1228">
        <v>0</v>
      </c>
      <c r="N1228" s="25">
        <f t="shared" si="65"/>
        <v>0</v>
      </c>
      <c r="O1228">
        <v>1</v>
      </c>
      <c r="P1228" s="25">
        <f t="shared" si="67"/>
        <v>1</v>
      </c>
      <c r="Q1228">
        <v>29</v>
      </c>
      <c r="R1228" t="s">
        <v>124</v>
      </c>
      <c r="S1228" t="s">
        <v>124</v>
      </c>
      <c r="T1228" t="s">
        <v>124</v>
      </c>
      <c r="U1228" t="s">
        <v>124</v>
      </c>
      <c r="X1228" s="19">
        <f t="shared" si="63"/>
        <v>0.8</v>
      </c>
      <c r="Y1228" s="19">
        <f t="shared" si="64"/>
        <v>0</v>
      </c>
      <c r="Z1228" s="26"/>
    </row>
    <row r="1229" spans="1:26" x14ac:dyDescent="0.35">
      <c r="A1229" t="s">
        <v>122</v>
      </c>
      <c r="B1229" t="s">
        <v>122</v>
      </c>
      <c r="C1229" t="s">
        <v>123</v>
      </c>
      <c r="D1229" t="s">
        <v>101</v>
      </c>
      <c r="E1229" t="s">
        <v>99</v>
      </c>
      <c r="F1229" t="s">
        <v>12</v>
      </c>
      <c r="G1229">
        <v>1</v>
      </c>
      <c r="H1229">
        <v>116</v>
      </c>
      <c r="I1229">
        <v>0.8</v>
      </c>
      <c r="J1229" s="25">
        <f t="shared" si="66"/>
        <v>0.8</v>
      </c>
      <c r="K1229">
        <v>1357</v>
      </c>
      <c r="L1229">
        <v>0</v>
      </c>
      <c r="M1229">
        <v>0</v>
      </c>
      <c r="N1229" s="25">
        <f t="shared" si="65"/>
        <v>0</v>
      </c>
      <c r="O1229">
        <v>1</v>
      </c>
      <c r="P1229" s="25">
        <f t="shared" si="67"/>
        <v>1</v>
      </c>
      <c r="Q1229">
        <v>29</v>
      </c>
      <c r="R1229" t="s">
        <v>124</v>
      </c>
      <c r="S1229" t="s">
        <v>124</v>
      </c>
      <c r="T1229" t="s">
        <v>124</v>
      </c>
      <c r="U1229" t="s">
        <v>124</v>
      </c>
      <c r="X1229" s="19">
        <f t="shared" si="63"/>
        <v>0.8</v>
      </c>
      <c r="Y1229" s="19">
        <f t="shared" si="64"/>
        <v>0</v>
      </c>
      <c r="Z1229" s="26"/>
    </row>
    <row r="1230" spans="1:26" x14ac:dyDescent="0.35">
      <c r="A1230" t="s">
        <v>122</v>
      </c>
      <c r="B1230" t="s">
        <v>122</v>
      </c>
      <c r="C1230" t="s">
        <v>123</v>
      </c>
      <c r="D1230" t="s">
        <v>101</v>
      </c>
      <c r="E1230" t="s">
        <v>99</v>
      </c>
      <c r="F1230" t="s">
        <v>12</v>
      </c>
      <c r="G1230">
        <v>1</v>
      </c>
      <c r="H1230">
        <v>116</v>
      </c>
      <c r="I1230">
        <v>0.8</v>
      </c>
      <c r="J1230" s="25">
        <f t="shared" si="66"/>
        <v>0.8</v>
      </c>
      <c r="K1230">
        <v>1357</v>
      </c>
      <c r="L1230">
        <v>0</v>
      </c>
      <c r="M1230">
        <v>0</v>
      </c>
      <c r="N1230" s="25">
        <f t="shared" si="65"/>
        <v>0</v>
      </c>
      <c r="O1230">
        <v>1</v>
      </c>
      <c r="P1230" s="25">
        <f t="shared" si="67"/>
        <v>1</v>
      </c>
      <c r="Q1230">
        <v>29</v>
      </c>
      <c r="R1230" t="s">
        <v>124</v>
      </c>
      <c r="S1230" t="s">
        <v>124</v>
      </c>
      <c r="T1230" t="s">
        <v>124</v>
      </c>
      <c r="U1230" t="s">
        <v>124</v>
      </c>
      <c r="X1230" s="19">
        <f t="shared" si="63"/>
        <v>0.8</v>
      </c>
      <c r="Y1230" s="19">
        <f t="shared" si="64"/>
        <v>0</v>
      </c>
      <c r="Z1230" s="26"/>
    </row>
    <row r="1231" spans="1:26" x14ac:dyDescent="0.35">
      <c r="A1231" t="s">
        <v>122</v>
      </c>
      <c r="B1231" t="s">
        <v>122</v>
      </c>
      <c r="C1231" t="s">
        <v>123</v>
      </c>
      <c r="D1231" t="s">
        <v>101</v>
      </c>
      <c r="E1231" t="s">
        <v>99</v>
      </c>
      <c r="F1231" t="s">
        <v>12</v>
      </c>
      <c r="G1231">
        <v>1</v>
      </c>
      <c r="H1231">
        <v>116</v>
      </c>
      <c r="I1231">
        <v>0.8</v>
      </c>
      <c r="J1231" s="25">
        <f t="shared" si="66"/>
        <v>0.8</v>
      </c>
      <c r="K1231">
        <v>1357</v>
      </c>
      <c r="L1231">
        <v>0</v>
      </c>
      <c r="M1231">
        <v>0</v>
      </c>
      <c r="N1231" s="25">
        <f t="shared" si="65"/>
        <v>0</v>
      </c>
      <c r="O1231">
        <v>1</v>
      </c>
      <c r="P1231" s="25">
        <f t="shared" si="67"/>
        <v>1</v>
      </c>
      <c r="Q1231">
        <v>29</v>
      </c>
      <c r="R1231" t="s">
        <v>124</v>
      </c>
      <c r="S1231" t="s">
        <v>124</v>
      </c>
      <c r="T1231" t="s">
        <v>124</v>
      </c>
      <c r="U1231" t="s">
        <v>124</v>
      </c>
      <c r="X1231" s="19">
        <f t="shared" si="63"/>
        <v>0.8</v>
      </c>
      <c r="Y1231" s="19">
        <f t="shared" si="64"/>
        <v>0</v>
      </c>
      <c r="Z1231" s="26"/>
    </row>
    <row r="1232" spans="1:26" x14ac:dyDescent="0.35">
      <c r="A1232" t="s">
        <v>122</v>
      </c>
      <c r="B1232" t="s">
        <v>122</v>
      </c>
      <c r="C1232" t="s">
        <v>123</v>
      </c>
      <c r="D1232" t="s">
        <v>101</v>
      </c>
      <c r="E1232" t="s">
        <v>99</v>
      </c>
      <c r="F1232" t="s">
        <v>12</v>
      </c>
      <c r="G1232">
        <v>1</v>
      </c>
      <c r="H1232">
        <v>116</v>
      </c>
      <c r="I1232">
        <v>0.8</v>
      </c>
      <c r="J1232" s="25">
        <f t="shared" si="66"/>
        <v>0.8</v>
      </c>
      <c r="K1232">
        <v>1357</v>
      </c>
      <c r="L1232">
        <v>0</v>
      </c>
      <c r="M1232">
        <v>0</v>
      </c>
      <c r="N1232" s="25">
        <f t="shared" si="65"/>
        <v>0</v>
      </c>
      <c r="O1232">
        <v>1</v>
      </c>
      <c r="P1232" s="25">
        <f t="shared" si="67"/>
        <v>1</v>
      </c>
      <c r="Q1232">
        <v>29</v>
      </c>
      <c r="R1232" t="s">
        <v>124</v>
      </c>
      <c r="S1232" t="s">
        <v>124</v>
      </c>
      <c r="T1232" t="s">
        <v>124</v>
      </c>
      <c r="U1232" t="s">
        <v>124</v>
      </c>
      <c r="X1232" s="19">
        <f t="shared" si="63"/>
        <v>0.8</v>
      </c>
      <c r="Y1232" s="19">
        <f t="shared" si="64"/>
        <v>0</v>
      </c>
      <c r="Z1232" s="26"/>
    </row>
    <row r="1233" spans="1:26" x14ac:dyDescent="0.35">
      <c r="A1233" t="s">
        <v>122</v>
      </c>
      <c r="B1233" t="s">
        <v>122</v>
      </c>
      <c r="C1233" t="s">
        <v>123</v>
      </c>
      <c r="D1233" t="s">
        <v>101</v>
      </c>
      <c r="E1233" t="s">
        <v>99</v>
      </c>
      <c r="F1233" t="s">
        <v>12</v>
      </c>
      <c r="G1233">
        <v>1</v>
      </c>
      <c r="H1233">
        <v>116</v>
      </c>
      <c r="I1233">
        <v>0.8</v>
      </c>
      <c r="J1233" s="25">
        <f t="shared" si="66"/>
        <v>0.8</v>
      </c>
      <c r="K1233">
        <v>1357</v>
      </c>
      <c r="L1233">
        <v>0</v>
      </c>
      <c r="M1233">
        <v>0</v>
      </c>
      <c r="N1233" s="25">
        <f t="shared" si="65"/>
        <v>0</v>
      </c>
      <c r="O1233">
        <v>1</v>
      </c>
      <c r="P1233" s="25">
        <f t="shared" si="67"/>
        <v>1</v>
      </c>
      <c r="Q1233">
        <v>29</v>
      </c>
      <c r="R1233" t="s">
        <v>124</v>
      </c>
      <c r="S1233" t="s">
        <v>124</v>
      </c>
      <c r="T1233" t="s">
        <v>124</v>
      </c>
      <c r="U1233" t="s">
        <v>124</v>
      </c>
      <c r="X1233" s="19">
        <f t="shared" si="63"/>
        <v>0.8</v>
      </c>
      <c r="Y1233" s="19">
        <f t="shared" si="64"/>
        <v>0</v>
      </c>
      <c r="Z1233" s="26"/>
    </row>
    <row r="1234" spans="1:26" x14ac:dyDescent="0.35">
      <c r="A1234" t="s">
        <v>122</v>
      </c>
      <c r="B1234" t="s">
        <v>122</v>
      </c>
      <c r="C1234" t="s">
        <v>123</v>
      </c>
      <c r="D1234" t="s">
        <v>101</v>
      </c>
      <c r="E1234" t="s">
        <v>99</v>
      </c>
      <c r="F1234" t="s">
        <v>12</v>
      </c>
      <c r="G1234">
        <v>1</v>
      </c>
      <c r="H1234">
        <v>116</v>
      </c>
      <c r="I1234">
        <v>0.8</v>
      </c>
      <c r="J1234" s="25">
        <f t="shared" si="66"/>
        <v>0.8</v>
      </c>
      <c r="K1234">
        <v>1357</v>
      </c>
      <c r="L1234">
        <v>0</v>
      </c>
      <c r="M1234">
        <v>0</v>
      </c>
      <c r="N1234" s="25">
        <f t="shared" si="65"/>
        <v>0</v>
      </c>
      <c r="O1234">
        <v>1</v>
      </c>
      <c r="P1234" s="25">
        <f t="shared" si="67"/>
        <v>1</v>
      </c>
      <c r="Q1234">
        <v>29</v>
      </c>
      <c r="R1234" t="s">
        <v>124</v>
      </c>
      <c r="S1234" t="s">
        <v>124</v>
      </c>
      <c r="T1234" t="s">
        <v>124</v>
      </c>
      <c r="U1234" t="s">
        <v>124</v>
      </c>
      <c r="X1234" s="19">
        <f t="shared" si="63"/>
        <v>0.8</v>
      </c>
      <c r="Y1234" s="19">
        <f t="shared" si="64"/>
        <v>0</v>
      </c>
      <c r="Z1234" s="26"/>
    </row>
    <row r="1235" spans="1:26" x14ac:dyDescent="0.35">
      <c r="A1235" t="s">
        <v>122</v>
      </c>
      <c r="B1235" t="s">
        <v>122</v>
      </c>
      <c r="C1235" t="s">
        <v>123</v>
      </c>
      <c r="D1235" t="s">
        <v>101</v>
      </c>
      <c r="E1235" t="s">
        <v>99</v>
      </c>
      <c r="F1235" t="s">
        <v>12</v>
      </c>
      <c r="G1235">
        <v>1</v>
      </c>
      <c r="H1235">
        <v>116</v>
      </c>
      <c r="I1235">
        <v>0.8</v>
      </c>
      <c r="J1235" s="25">
        <f t="shared" si="66"/>
        <v>0.8</v>
      </c>
      <c r="K1235">
        <v>1357</v>
      </c>
      <c r="L1235">
        <v>0</v>
      </c>
      <c r="M1235">
        <v>0</v>
      </c>
      <c r="N1235" s="25">
        <f t="shared" si="65"/>
        <v>0</v>
      </c>
      <c r="O1235">
        <v>1</v>
      </c>
      <c r="P1235" s="25">
        <f t="shared" si="67"/>
        <v>1</v>
      </c>
      <c r="Q1235">
        <v>29</v>
      </c>
      <c r="R1235" t="s">
        <v>124</v>
      </c>
      <c r="S1235" t="s">
        <v>124</v>
      </c>
      <c r="T1235" t="s">
        <v>124</v>
      </c>
      <c r="U1235" t="s">
        <v>124</v>
      </c>
      <c r="X1235" s="19">
        <f t="shared" si="63"/>
        <v>0.8</v>
      </c>
      <c r="Y1235" s="19">
        <f t="shared" si="64"/>
        <v>0</v>
      </c>
      <c r="Z1235" s="26"/>
    </row>
    <row r="1236" spans="1:26" x14ac:dyDescent="0.35">
      <c r="A1236" t="s">
        <v>122</v>
      </c>
      <c r="B1236" t="s">
        <v>122</v>
      </c>
      <c r="C1236" t="s">
        <v>123</v>
      </c>
      <c r="D1236" t="s">
        <v>101</v>
      </c>
      <c r="E1236" t="s">
        <v>99</v>
      </c>
      <c r="F1236" t="s">
        <v>12</v>
      </c>
      <c r="G1236">
        <v>1</v>
      </c>
      <c r="H1236">
        <v>116</v>
      </c>
      <c r="I1236">
        <v>0.8</v>
      </c>
      <c r="J1236" s="25">
        <f t="shared" si="66"/>
        <v>0.8</v>
      </c>
      <c r="K1236">
        <v>1357</v>
      </c>
      <c r="L1236">
        <v>0</v>
      </c>
      <c r="M1236">
        <v>0</v>
      </c>
      <c r="N1236" s="25">
        <f t="shared" si="65"/>
        <v>0</v>
      </c>
      <c r="O1236">
        <v>1</v>
      </c>
      <c r="P1236" s="25">
        <f t="shared" si="67"/>
        <v>1</v>
      </c>
      <c r="Q1236">
        <v>29</v>
      </c>
      <c r="R1236" t="s">
        <v>124</v>
      </c>
      <c r="S1236" t="s">
        <v>124</v>
      </c>
      <c r="T1236" t="s">
        <v>124</v>
      </c>
      <c r="U1236" t="s">
        <v>124</v>
      </c>
      <c r="X1236" s="19">
        <f t="shared" si="63"/>
        <v>0.8</v>
      </c>
      <c r="Y1236" s="19">
        <f t="shared" si="64"/>
        <v>0</v>
      </c>
      <c r="Z1236" s="26"/>
    </row>
    <row r="1237" spans="1:26" x14ac:dyDescent="0.35">
      <c r="A1237" t="s">
        <v>122</v>
      </c>
      <c r="B1237" t="s">
        <v>122</v>
      </c>
      <c r="C1237" t="s">
        <v>123</v>
      </c>
      <c r="D1237" t="s">
        <v>101</v>
      </c>
      <c r="E1237" t="s">
        <v>99</v>
      </c>
      <c r="F1237" t="s">
        <v>12</v>
      </c>
      <c r="G1237">
        <v>1</v>
      </c>
      <c r="H1237">
        <v>116</v>
      </c>
      <c r="I1237">
        <v>0.8</v>
      </c>
      <c r="J1237" s="25">
        <f t="shared" si="66"/>
        <v>0.8</v>
      </c>
      <c r="K1237">
        <v>1357</v>
      </c>
      <c r="L1237">
        <v>0</v>
      </c>
      <c r="M1237">
        <v>0</v>
      </c>
      <c r="N1237" s="25">
        <f t="shared" si="65"/>
        <v>0</v>
      </c>
      <c r="O1237">
        <v>1</v>
      </c>
      <c r="P1237" s="25">
        <f t="shared" si="67"/>
        <v>1</v>
      </c>
      <c r="Q1237">
        <v>29</v>
      </c>
      <c r="R1237" t="s">
        <v>124</v>
      </c>
      <c r="S1237" t="s">
        <v>124</v>
      </c>
      <c r="T1237" t="s">
        <v>124</v>
      </c>
      <c r="U1237" t="s">
        <v>124</v>
      </c>
      <c r="X1237" s="19">
        <f t="shared" si="63"/>
        <v>0.8</v>
      </c>
      <c r="Y1237" s="19">
        <f t="shared" si="64"/>
        <v>0</v>
      </c>
      <c r="Z1237" s="26"/>
    </row>
    <row r="1238" spans="1:26" x14ac:dyDescent="0.35">
      <c r="A1238" t="s">
        <v>122</v>
      </c>
      <c r="B1238" t="s">
        <v>122</v>
      </c>
      <c r="C1238" t="s">
        <v>123</v>
      </c>
      <c r="D1238" t="s">
        <v>101</v>
      </c>
      <c r="E1238" t="s">
        <v>99</v>
      </c>
      <c r="F1238" t="s">
        <v>12</v>
      </c>
      <c r="G1238">
        <v>1</v>
      </c>
      <c r="H1238">
        <v>116</v>
      </c>
      <c r="I1238">
        <v>0.8</v>
      </c>
      <c r="J1238" s="25">
        <f t="shared" si="66"/>
        <v>0.8</v>
      </c>
      <c r="K1238">
        <v>1357</v>
      </c>
      <c r="L1238">
        <v>0</v>
      </c>
      <c r="M1238">
        <v>0</v>
      </c>
      <c r="N1238" s="25">
        <f t="shared" si="65"/>
        <v>0</v>
      </c>
      <c r="O1238">
        <v>1</v>
      </c>
      <c r="P1238" s="25">
        <f t="shared" si="67"/>
        <v>1</v>
      </c>
      <c r="Q1238">
        <v>29</v>
      </c>
      <c r="R1238" t="s">
        <v>124</v>
      </c>
      <c r="S1238" t="s">
        <v>124</v>
      </c>
      <c r="T1238" t="s">
        <v>124</v>
      </c>
      <c r="U1238" t="s">
        <v>124</v>
      </c>
      <c r="X1238" s="19">
        <f t="shared" si="63"/>
        <v>0.8</v>
      </c>
      <c r="Y1238" s="19">
        <f t="shared" si="64"/>
        <v>0</v>
      </c>
      <c r="Z1238" s="26"/>
    </row>
    <row r="1239" spans="1:26" x14ac:dyDescent="0.35">
      <c r="A1239" t="s">
        <v>122</v>
      </c>
      <c r="B1239" t="s">
        <v>122</v>
      </c>
      <c r="C1239" t="s">
        <v>123</v>
      </c>
      <c r="D1239" t="s">
        <v>101</v>
      </c>
      <c r="E1239" t="s">
        <v>99</v>
      </c>
      <c r="F1239" t="s">
        <v>12</v>
      </c>
      <c r="G1239">
        <v>1</v>
      </c>
      <c r="H1239">
        <v>116</v>
      </c>
      <c r="I1239">
        <v>0.8</v>
      </c>
      <c r="J1239" s="25">
        <f t="shared" si="66"/>
        <v>0.8</v>
      </c>
      <c r="K1239">
        <v>1357</v>
      </c>
      <c r="L1239">
        <v>0</v>
      </c>
      <c r="M1239">
        <v>0</v>
      </c>
      <c r="N1239" s="25">
        <f t="shared" si="65"/>
        <v>0</v>
      </c>
      <c r="O1239">
        <v>1</v>
      </c>
      <c r="P1239" s="25">
        <f t="shared" si="67"/>
        <v>1</v>
      </c>
      <c r="Q1239">
        <v>29</v>
      </c>
      <c r="R1239" t="s">
        <v>124</v>
      </c>
      <c r="S1239" t="s">
        <v>124</v>
      </c>
      <c r="T1239" t="s">
        <v>124</v>
      </c>
      <c r="U1239" t="s">
        <v>124</v>
      </c>
      <c r="X1239" s="19">
        <f t="shared" si="63"/>
        <v>0.8</v>
      </c>
      <c r="Y1239" s="19">
        <f t="shared" si="64"/>
        <v>0</v>
      </c>
      <c r="Z1239" s="26"/>
    </row>
    <row r="1240" spans="1:26" x14ac:dyDescent="0.35">
      <c r="A1240" t="s">
        <v>122</v>
      </c>
      <c r="B1240" t="s">
        <v>122</v>
      </c>
      <c r="C1240" t="s">
        <v>123</v>
      </c>
      <c r="D1240" t="s">
        <v>101</v>
      </c>
      <c r="E1240" t="s">
        <v>99</v>
      </c>
      <c r="F1240" t="s">
        <v>12</v>
      </c>
      <c r="G1240">
        <v>1</v>
      </c>
      <c r="H1240">
        <v>116</v>
      </c>
      <c r="I1240">
        <v>0.8</v>
      </c>
      <c r="J1240" s="25">
        <f t="shared" si="66"/>
        <v>0.8</v>
      </c>
      <c r="K1240">
        <v>1357</v>
      </c>
      <c r="L1240">
        <v>0</v>
      </c>
      <c r="M1240">
        <v>0</v>
      </c>
      <c r="N1240" s="25">
        <f t="shared" si="65"/>
        <v>0</v>
      </c>
      <c r="O1240">
        <v>1</v>
      </c>
      <c r="P1240" s="25">
        <f t="shared" si="67"/>
        <v>1</v>
      </c>
      <c r="Q1240">
        <v>29</v>
      </c>
      <c r="R1240" t="s">
        <v>124</v>
      </c>
      <c r="S1240" t="s">
        <v>124</v>
      </c>
      <c r="T1240" t="s">
        <v>124</v>
      </c>
      <c r="U1240" t="s">
        <v>124</v>
      </c>
      <c r="X1240" s="19">
        <f t="shared" si="63"/>
        <v>0.8</v>
      </c>
      <c r="Y1240" s="19">
        <f t="shared" si="64"/>
        <v>0</v>
      </c>
      <c r="Z1240" s="26"/>
    </row>
    <row r="1241" spans="1:26" x14ac:dyDescent="0.35">
      <c r="A1241" t="s">
        <v>122</v>
      </c>
      <c r="B1241" t="s">
        <v>122</v>
      </c>
      <c r="C1241" t="s">
        <v>123</v>
      </c>
      <c r="D1241" t="s">
        <v>101</v>
      </c>
      <c r="E1241" t="s">
        <v>99</v>
      </c>
      <c r="F1241" t="s">
        <v>12</v>
      </c>
      <c r="G1241">
        <v>1</v>
      </c>
      <c r="H1241">
        <v>116</v>
      </c>
      <c r="I1241">
        <v>0.8</v>
      </c>
      <c r="J1241" s="25">
        <f t="shared" si="66"/>
        <v>0.8</v>
      </c>
      <c r="K1241">
        <v>1357</v>
      </c>
      <c r="L1241">
        <v>0</v>
      </c>
      <c r="M1241">
        <v>0</v>
      </c>
      <c r="N1241" s="25">
        <f t="shared" si="65"/>
        <v>0</v>
      </c>
      <c r="O1241">
        <v>1</v>
      </c>
      <c r="P1241" s="25">
        <f t="shared" si="67"/>
        <v>1</v>
      </c>
      <c r="Q1241">
        <v>29</v>
      </c>
      <c r="R1241" t="s">
        <v>124</v>
      </c>
      <c r="S1241" t="s">
        <v>124</v>
      </c>
      <c r="T1241" t="s">
        <v>124</v>
      </c>
      <c r="U1241" t="s">
        <v>124</v>
      </c>
      <c r="X1241" s="19">
        <f t="shared" si="63"/>
        <v>0.8</v>
      </c>
      <c r="Y1241" s="19">
        <f t="shared" si="64"/>
        <v>0</v>
      </c>
      <c r="Z1241" s="26"/>
    </row>
    <row r="1242" spans="1:26" x14ac:dyDescent="0.35">
      <c r="A1242" t="s">
        <v>122</v>
      </c>
      <c r="B1242" t="s">
        <v>122</v>
      </c>
      <c r="C1242" t="s">
        <v>123</v>
      </c>
      <c r="D1242" t="s">
        <v>101</v>
      </c>
      <c r="E1242" t="s">
        <v>99</v>
      </c>
      <c r="F1242" t="s">
        <v>12</v>
      </c>
      <c r="G1242">
        <v>1</v>
      </c>
      <c r="H1242">
        <v>116</v>
      </c>
      <c r="I1242">
        <v>0.8</v>
      </c>
      <c r="J1242" s="25">
        <f t="shared" si="66"/>
        <v>0.8</v>
      </c>
      <c r="K1242">
        <v>1357</v>
      </c>
      <c r="L1242">
        <v>0</v>
      </c>
      <c r="M1242">
        <v>0</v>
      </c>
      <c r="N1242" s="25">
        <f t="shared" si="65"/>
        <v>0</v>
      </c>
      <c r="O1242">
        <v>1</v>
      </c>
      <c r="P1242" s="25">
        <f t="shared" si="67"/>
        <v>1</v>
      </c>
      <c r="Q1242">
        <v>29</v>
      </c>
      <c r="R1242" t="s">
        <v>124</v>
      </c>
      <c r="S1242" t="s">
        <v>124</v>
      </c>
      <c r="T1242" t="s">
        <v>124</v>
      </c>
      <c r="U1242" t="s">
        <v>124</v>
      </c>
      <c r="X1242" s="19">
        <f t="shared" si="63"/>
        <v>0.8</v>
      </c>
      <c r="Y1242" s="19">
        <f t="shared" si="64"/>
        <v>0</v>
      </c>
      <c r="Z1242" s="26"/>
    </row>
    <row r="1243" spans="1:26" x14ac:dyDescent="0.35">
      <c r="A1243" t="s">
        <v>122</v>
      </c>
      <c r="B1243" t="s">
        <v>122</v>
      </c>
      <c r="C1243" t="s">
        <v>123</v>
      </c>
      <c r="D1243" t="s">
        <v>101</v>
      </c>
      <c r="E1243" t="s">
        <v>99</v>
      </c>
      <c r="F1243" t="s">
        <v>12</v>
      </c>
      <c r="G1243">
        <v>1</v>
      </c>
      <c r="H1243">
        <v>116</v>
      </c>
      <c r="I1243">
        <v>0.8</v>
      </c>
      <c r="J1243" s="25">
        <f t="shared" si="66"/>
        <v>0.8</v>
      </c>
      <c r="K1243">
        <v>1357</v>
      </c>
      <c r="L1243">
        <v>0</v>
      </c>
      <c r="M1243">
        <v>0</v>
      </c>
      <c r="N1243" s="25">
        <f t="shared" si="65"/>
        <v>0</v>
      </c>
      <c r="O1243">
        <v>1</v>
      </c>
      <c r="P1243" s="25">
        <f t="shared" si="67"/>
        <v>1</v>
      </c>
      <c r="Q1243">
        <v>29</v>
      </c>
      <c r="R1243" t="s">
        <v>124</v>
      </c>
      <c r="S1243" t="s">
        <v>124</v>
      </c>
      <c r="T1243" t="s">
        <v>124</v>
      </c>
      <c r="U1243" t="s">
        <v>124</v>
      </c>
      <c r="X1243" s="19">
        <f t="shared" si="63"/>
        <v>0.8</v>
      </c>
      <c r="Y1243" s="19">
        <f t="shared" si="64"/>
        <v>0</v>
      </c>
      <c r="Z1243" s="26"/>
    </row>
    <row r="1244" spans="1:26" x14ac:dyDescent="0.35">
      <c r="A1244" t="s">
        <v>122</v>
      </c>
      <c r="B1244" t="s">
        <v>122</v>
      </c>
      <c r="C1244" t="s">
        <v>123</v>
      </c>
      <c r="D1244" t="s">
        <v>101</v>
      </c>
      <c r="E1244" t="s">
        <v>99</v>
      </c>
      <c r="F1244" t="s">
        <v>12</v>
      </c>
      <c r="G1244">
        <v>1</v>
      </c>
      <c r="H1244">
        <v>116</v>
      </c>
      <c r="I1244">
        <v>0.8</v>
      </c>
      <c r="J1244" s="25">
        <f t="shared" si="66"/>
        <v>0.8</v>
      </c>
      <c r="K1244">
        <v>1357</v>
      </c>
      <c r="L1244">
        <v>0</v>
      </c>
      <c r="M1244">
        <v>0</v>
      </c>
      <c r="N1244" s="25">
        <f t="shared" si="65"/>
        <v>0</v>
      </c>
      <c r="O1244">
        <v>1</v>
      </c>
      <c r="P1244" s="25">
        <f t="shared" si="67"/>
        <v>1</v>
      </c>
      <c r="Q1244">
        <v>29</v>
      </c>
      <c r="R1244" t="s">
        <v>124</v>
      </c>
      <c r="S1244" t="s">
        <v>124</v>
      </c>
      <c r="T1244" t="s">
        <v>124</v>
      </c>
      <c r="U1244" t="s">
        <v>124</v>
      </c>
      <c r="X1244" s="19">
        <f t="shared" si="63"/>
        <v>0.8</v>
      </c>
      <c r="Y1244" s="19">
        <f t="shared" si="64"/>
        <v>0</v>
      </c>
      <c r="Z1244" s="26"/>
    </row>
    <row r="1245" spans="1:26" x14ac:dyDescent="0.35">
      <c r="A1245" t="s">
        <v>122</v>
      </c>
      <c r="B1245" t="s">
        <v>122</v>
      </c>
      <c r="C1245" t="s">
        <v>123</v>
      </c>
      <c r="D1245" t="s">
        <v>101</v>
      </c>
      <c r="E1245" t="s">
        <v>99</v>
      </c>
      <c r="F1245" t="s">
        <v>12</v>
      </c>
      <c r="G1245">
        <v>1</v>
      </c>
      <c r="H1245">
        <v>116</v>
      </c>
      <c r="I1245">
        <v>0.8</v>
      </c>
      <c r="J1245" s="25">
        <f t="shared" si="66"/>
        <v>0.8</v>
      </c>
      <c r="K1245">
        <v>1357</v>
      </c>
      <c r="L1245">
        <v>0</v>
      </c>
      <c r="M1245">
        <v>0</v>
      </c>
      <c r="N1245" s="25">
        <f t="shared" si="65"/>
        <v>0</v>
      </c>
      <c r="O1245">
        <v>1</v>
      </c>
      <c r="P1245" s="25">
        <f t="shared" si="67"/>
        <v>1</v>
      </c>
      <c r="Q1245">
        <v>29</v>
      </c>
      <c r="R1245" t="s">
        <v>124</v>
      </c>
      <c r="S1245" t="s">
        <v>124</v>
      </c>
      <c r="T1245" t="s">
        <v>124</v>
      </c>
      <c r="U1245" t="s">
        <v>124</v>
      </c>
      <c r="X1245" s="19">
        <f t="shared" si="63"/>
        <v>0.8</v>
      </c>
      <c r="Y1245" s="19">
        <f t="shared" si="64"/>
        <v>0</v>
      </c>
      <c r="Z1245" s="26"/>
    </row>
    <row r="1246" spans="1:26" x14ac:dyDescent="0.35">
      <c r="A1246" t="s">
        <v>122</v>
      </c>
      <c r="B1246" t="s">
        <v>122</v>
      </c>
      <c r="C1246" t="s">
        <v>123</v>
      </c>
      <c r="D1246" t="s">
        <v>101</v>
      </c>
      <c r="E1246" t="s">
        <v>99</v>
      </c>
      <c r="F1246" t="s">
        <v>12</v>
      </c>
      <c r="G1246">
        <v>1</v>
      </c>
      <c r="H1246">
        <v>116</v>
      </c>
      <c r="I1246">
        <v>0.8</v>
      </c>
      <c r="J1246" s="25">
        <f t="shared" si="66"/>
        <v>0.8</v>
      </c>
      <c r="K1246">
        <v>1357</v>
      </c>
      <c r="L1246">
        <v>0</v>
      </c>
      <c r="M1246">
        <v>0</v>
      </c>
      <c r="N1246" s="25">
        <f t="shared" si="65"/>
        <v>0</v>
      </c>
      <c r="O1246">
        <v>1</v>
      </c>
      <c r="P1246" s="25">
        <f t="shared" si="67"/>
        <v>1</v>
      </c>
      <c r="Q1246">
        <v>29</v>
      </c>
      <c r="R1246" t="s">
        <v>124</v>
      </c>
      <c r="S1246" t="s">
        <v>124</v>
      </c>
      <c r="T1246" t="s">
        <v>124</v>
      </c>
      <c r="U1246" t="s">
        <v>124</v>
      </c>
      <c r="X1246" s="19">
        <f t="shared" si="63"/>
        <v>0.8</v>
      </c>
      <c r="Y1246" s="19">
        <f t="shared" si="64"/>
        <v>0</v>
      </c>
      <c r="Z1246" s="26"/>
    </row>
    <row r="1247" spans="1:26" x14ac:dyDescent="0.35">
      <c r="A1247" t="s">
        <v>122</v>
      </c>
      <c r="B1247" t="s">
        <v>122</v>
      </c>
      <c r="C1247" t="s">
        <v>123</v>
      </c>
      <c r="D1247" t="s">
        <v>101</v>
      </c>
      <c r="E1247" t="s">
        <v>99</v>
      </c>
      <c r="F1247" t="s">
        <v>12</v>
      </c>
      <c r="G1247">
        <v>1</v>
      </c>
      <c r="H1247">
        <v>116</v>
      </c>
      <c r="I1247">
        <v>0.8</v>
      </c>
      <c r="J1247" s="25">
        <f t="shared" si="66"/>
        <v>0.8</v>
      </c>
      <c r="K1247">
        <v>1357</v>
      </c>
      <c r="L1247">
        <v>0</v>
      </c>
      <c r="M1247">
        <v>0</v>
      </c>
      <c r="N1247" s="25">
        <f t="shared" si="65"/>
        <v>0</v>
      </c>
      <c r="O1247">
        <v>1</v>
      </c>
      <c r="P1247" s="25">
        <f t="shared" si="67"/>
        <v>1</v>
      </c>
      <c r="Q1247">
        <v>29</v>
      </c>
      <c r="R1247" t="s">
        <v>124</v>
      </c>
      <c r="S1247" t="s">
        <v>124</v>
      </c>
      <c r="T1247" t="s">
        <v>124</v>
      </c>
      <c r="U1247" t="s">
        <v>124</v>
      </c>
      <c r="X1247" s="19">
        <f t="shared" si="63"/>
        <v>0.8</v>
      </c>
      <c r="Y1247" s="19">
        <f t="shared" si="64"/>
        <v>0</v>
      </c>
      <c r="Z1247" s="26"/>
    </row>
    <row r="1248" spans="1:26" x14ac:dyDescent="0.35">
      <c r="A1248" t="s">
        <v>122</v>
      </c>
      <c r="B1248" t="s">
        <v>122</v>
      </c>
      <c r="C1248" t="s">
        <v>123</v>
      </c>
      <c r="D1248" t="s">
        <v>101</v>
      </c>
      <c r="E1248" t="s">
        <v>99</v>
      </c>
      <c r="F1248" t="s">
        <v>12</v>
      </c>
      <c r="G1248">
        <v>1</v>
      </c>
      <c r="H1248">
        <v>126</v>
      </c>
      <c r="I1248">
        <v>0.86896551724137905</v>
      </c>
      <c r="J1248" s="25">
        <f t="shared" si="66"/>
        <v>0.86896551724137927</v>
      </c>
      <c r="K1248">
        <v>1349</v>
      </c>
      <c r="L1248">
        <v>8</v>
      </c>
      <c r="M1248">
        <v>5.8953574060427397E-3</v>
      </c>
      <c r="N1248" s="25">
        <f t="shared" si="65"/>
        <v>5.8953574060427449E-3</v>
      </c>
      <c r="O1248">
        <v>0.99410464259395703</v>
      </c>
      <c r="P1248" s="25">
        <f t="shared" si="67"/>
        <v>0.99410464259395726</v>
      </c>
      <c r="Q1248">
        <v>19</v>
      </c>
      <c r="R1248" t="s">
        <v>124</v>
      </c>
      <c r="S1248" t="s">
        <v>124</v>
      </c>
      <c r="T1248" t="s">
        <v>124</v>
      </c>
      <c r="U1248" t="s">
        <v>124</v>
      </c>
      <c r="X1248" s="19">
        <f t="shared" si="63"/>
        <v>0.86896551724137927</v>
      </c>
      <c r="Y1248" s="19">
        <f t="shared" si="64"/>
        <v>5.8953574060427449E-3</v>
      </c>
      <c r="Z1248" s="26"/>
    </row>
    <row r="1249" spans="1:26" x14ac:dyDescent="0.35">
      <c r="A1249" t="s">
        <v>122</v>
      </c>
      <c r="B1249" t="s">
        <v>122</v>
      </c>
      <c r="C1249" t="s">
        <v>123</v>
      </c>
      <c r="D1249" t="s">
        <v>101</v>
      </c>
      <c r="E1249" t="s">
        <v>99</v>
      </c>
      <c r="F1249" t="s">
        <v>12</v>
      </c>
      <c r="G1249">
        <v>1</v>
      </c>
      <c r="H1249">
        <v>126</v>
      </c>
      <c r="I1249">
        <v>0.86896551724137905</v>
      </c>
      <c r="J1249" s="25">
        <f t="shared" si="66"/>
        <v>0.86896551724137927</v>
      </c>
      <c r="K1249">
        <v>1349</v>
      </c>
      <c r="L1249">
        <v>8</v>
      </c>
      <c r="M1249">
        <v>5.8953574060427397E-3</v>
      </c>
      <c r="N1249" s="25">
        <f t="shared" si="65"/>
        <v>5.8953574060427449E-3</v>
      </c>
      <c r="O1249">
        <v>0.99410464259395703</v>
      </c>
      <c r="P1249" s="25">
        <f t="shared" si="67"/>
        <v>0.99410464259395726</v>
      </c>
      <c r="Q1249">
        <v>19</v>
      </c>
      <c r="R1249" t="s">
        <v>124</v>
      </c>
      <c r="S1249" t="s">
        <v>124</v>
      </c>
      <c r="T1249" t="s">
        <v>124</v>
      </c>
      <c r="U1249" t="s">
        <v>124</v>
      </c>
      <c r="X1249" s="19">
        <f t="shared" si="63"/>
        <v>0.86896551724137927</v>
      </c>
      <c r="Y1249" s="19">
        <f t="shared" si="64"/>
        <v>5.8953574060427449E-3</v>
      </c>
      <c r="Z1249" s="26"/>
    </row>
    <row r="1250" spans="1:26" x14ac:dyDescent="0.35">
      <c r="A1250" t="s">
        <v>122</v>
      </c>
      <c r="B1250" t="s">
        <v>122</v>
      </c>
      <c r="C1250" t="s">
        <v>123</v>
      </c>
      <c r="D1250" t="s">
        <v>101</v>
      </c>
      <c r="E1250" t="s">
        <v>99</v>
      </c>
      <c r="F1250" t="s">
        <v>12</v>
      </c>
      <c r="G1250">
        <v>1</v>
      </c>
      <c r="H1250">
        <v>126</v>
      </c>
      <c r="I1250">
        <v>0.86896551724137905</v>
      </c>
      <c r="J1250" s="25">
        <f t="shared" si="66"/>
        <v>0.86896551724137927</v>
      </c>
      <c r="K1250">
        <v>1349</v>
      </c>
      <c r="L1250">
        <v>8</v>
      </c>
      <c r="M1250">
        <v>5.8953574060427397E-3</v>
      </c>
      <c r="N1250" s="25">
        <f t="shared" si="65"/>
        <v>5.8953574060427449E-3</v>
      </c>
      <c r="O1250">
        <v>0.99410464259395703</v>
      </c>
      <c r="P1250" s="25">
        <f t="shared" si="67"/>
        <v>0.99410464259395726</v>
      </c>
      <c r="Q1250">
        <v>19</v>
      </c>
      <c r="R1250" t="s">
        <v>124</v>
      </c>
      <c r="S1250" t="s">
        <v>124</v>
      </c>
      <c r="T1250" t="s">
        <v>124</v>
      </c>
      <c r="U1250" t="s">
        <v>124</v>
      </c>
      <c r="X1250" s="19">
        <f t="shared" si="63"/>
        <v>0.86896551724137927</v>
      </c>
      <c r="Y1250" s="19">
        <f t="shared" si="64"/>
        <v>5.8953574060427449E-3</v>
      </c>
      <c r="Z1250" s="26"/>
    </row>
    <row r="1251" spans="1:26" x14ac:dyDescent="0.35">
      <c r="A1251" t="s">
        <v>122</v>
      </c>
      <c r="B1251" t="s">
        <v>122</v>
      </c>
      <c r="C1251" t="s">
        <v>123</v>
      </c>
      <c r="D1251" t="s">
        <v>101</v>
      </c>
      <c r="E1251" t="s">
        <v>99</v>
      </c>
      <c r="F1251" t="s">
        <v>12</v>
      </c>
      <c r="G1251">
        <v>1</v>
      </c>
      <c r="H1251">
        <v>126</v>
      </c>
      <c r="I1251">
        <v>0.86896551724137905</v>
      </c>
      <c r="J1251" s="25">
        <f t="shared" si="66"/>
        <v>0.86896551724137927</v>
      </c>
      <c r="K1251">
        <v>1349</v>
      </c>
      <c r="L1251">
        <v>8</v>
      </c>
      <c r="M1251">
        <v>5.8953574060427397E-3</v>
      </c>
      <c r="N1251" s="25">
        <f t="shared" si="65"/>
        <v>5.8953574060427449E-3</v>
      </c>
      <c r="O1251">
        <v>0.99410464259395703</v>
      </c>
      <c r="P1251" s="25">
        <f t="shared" si="67"/>
        <v>0.99410464259395726</v>
      </c>
      <c r="Q1251">
        <v>19</v>
      </c>
      <c r="R1251" t="s">
        <v>124</v>
      </c>
      <c r="S1251" t="s">
        <v>124</v>
      </c>
      <c r="T1251" t="s">
        <v>124</v>
      </c>
      <c r="U1251" t="s">
        <v>124</v>
      </c>
      <c r="X1251" s="19">
        <f t="shared" si="63"/>
        <v>0.86896551724137927</v>
      </c>
      <c r="Y1251" s="19">
        <f t="shared" si="64"/>
        <v>5.8953574060427449E-3</v>
      </c>
      <c r="Z1251" s="26"/>
    </row>
    <row r="1252" spans="1:26" x14ac:dyDescent="0.35">
      <c r="A1252" t="s">
        <v>122</v>
      </c>
      <c r="B1252" t="s">
        <v>122</v>
      </c>
      <c r="C1252" t="s">
        <v>123</v>
      </c>
      <c r="D1252" t="s">
        <v>101</v>
      </c>
      <c r="E1252" t="s">
        <v>99</v>
      </c>
      <c r="F1252" t="s">
        <v>12</v>
      </c>
      <c r="G1252">
        <v>1</v>
      </c>
      <c r="H1252">
        <v>126</v>
      </c>
      <c r="I1252">
        <v>0.86896551724137905</v>
      </c>
      <c r="J1252" s="25">
        <f t="shared" si="66"/>
        <v>0.86896551724137927</v>
      </c>
      <c r="K1252">
        <v>1349</v>
      </c>
      <c r="L1252">
        <v>8</v>
      </c>
      <c r="M1252">
        <v>5.8953574060427397E-3</v>
      </c>
      <c r="N1252" s="25">
        <f t="shared" si="65"/>
        <v>5.8953574060427449E-3</v>
      </c>
      <c r="O1252">
        <v>0.99410464259395703</v>
      </c>
      <c r="P1252" s="25">
        <f t="shared" si="67"/>
        <v>0.99410464259395726</v>
      </c>
      <c r="Q1252">
        <v>19</v>
      </c>
      <c r="R1252" t="s">
        <v>124</v>
      </c>
      <c r="S1252" t="s">
        <v>124</v>
      </c>
      <c r="T1252" t="s">
        <v>124</v>
      </c>
      <c r="U1252" t="s">
        <v>124</v>
      </c>
      <c r="X1252" s="19">
        <f t="shared" si="63"/>
        <v>0.86896551724137927</v>
      </c>
      <c r="Y1252" s="19">
        <f t="shared" si="64"/>
        <v>5.8953574060427449E-3</v>
      </c>
      <c r="Z1252" s="26"/>
    </row>
    <row r="1253" spans="1:26" x14ac:dyDescent="0.35">
      <c r="A1253" t="s">
        <v>122</v>
      </c>
      <c r="B1253" t="s">
        <v>122</v>
      </c>
      <c r="C1253" t="s">
        <v>123</v>
      </c>
      <c r="D1253" t="s">
        <v>101</v>
      </c>
      <c r="E1253" t="s">
        <v>99</v>
      </c>
      <c r="F1253" t="s">
        <v>12</v>
      </c>
      <c r="G1253">
        <v>1</v>
      </c>
      <c r="H1253">
        <v>126</v>
      </c>
      <c r="I1253">
        <v>0.86896551724137905</v>
      </c>
      <c r="J1253" s="25">
        <f t="shared" si="66"/>
        <v>0.86896551724137927</v>
      </c>
      <c r="K1253">
        <v>1349</v>
      </c>
      <c r="L1253">
        <v>8</v>
      </c>
      <c r="M1253">
        <v>5.8953574060427397E-3</v>
      </c>
      <c r="N1253" s="25">
        <f t="shared" si="65"/>
        <v>5.8953574060427449E-3</v>
      </c>
      <c r="O1253">
        <v>0.99410464259395703</v>
      </c>
      <c r="P1253" s="25">
        <f t="shared" si="67"/>
        <v>0.99410464259395726</v>
      </c>
      <c r="Q1253">
        <v>19</v>
      </c>
      <c r="R1253" t="s">
        <v>124</v>
      </c>
      <c r="S1253" t="s">
        <v>124</v>
      </c>
      <c r="T1253" t="s">
        <v>124</v>
      </c>
      <c r="U1253" t="s">
        <v>124</v>
      </c>
      <c r="X1253" s="19">
        <f t="shared" si="63"/>
        <v>0.86896551724137927</v>
      </c>
      <c r="Y1253" s="19">
        <f t="shared" si="64"/>
        <v>5.8953574060427449E-3</v>
      </c>
      <c r="Z1253" s="26"/>
    </row>
    <row r="1254" spans="1:26" x14ac:dyDescent="0.35">
      <c r="A1254" t="s">
        <v>122</v>
      </c>
      <c r="B1254" t="s">
        <v>122</v>
      </c>
      <c r="C1254" t="s">
        <v>123</v>
      </c>
      <c r="D1254" t="s">
        <v>101</v>
      </c>
      <c r="E1254" t="s">
        <v>99</v>
      </c>
      <c r="F1254" t="s">
        <v>12</v>
      </c>
      <c r="G1254">
        <v>1</v>
      </c>
      <c r="H1254">
        <v>126</v>
      </c>
      <c r="I1254">
        <v>0.86896551724137905</v>
      </c>
      <c r="J1254" s="25">
        <f t="shared" si="66"/>
        <v>0.86896551724137927</v>
      </c>
      <c r="K1254">
        <v>1349</v>
      </c>
      <c r="L1254">
        <v>8</v>
      </c>
      <c r="M1254">
        <v>5.8953574060427397E-3</v>
      </c>
      <c r="N1254" s="25">
        <f t="shared" si="65"/>
        <v>5.8953574060427449E-3</v>
      </c>
      <c r="O1254">
        <v>0.99410464259395703</v>
      </c>
      <c r="P1254" s="25">
        <f t="shared" si="67"/>
        <v>0.99410464259395726</v>
      </c>
      <c r="Q1254">
        <v>19</v>
      </c>
      <c r="R1254" t="s">
        <v>124</v>
      </c>
      <c r="S1254" t="s">
        <v>124</v>
      </c>
      <c r="T1254" t="s">
        <v>124</v>
      </c>
      <c r="U1254" t="s">
        <v>124</v>
      </c>
      <c r="X1254" s="19">
        <f t="shared" si="63"/>
        <v>0.86896551724137927</v>
      </c>
      <c r="Y1254" s="19">
        <f t="shared" si="64"/>
        <v>5.8953574060427449E-3</v>
      </c>
      <c r="Z1254" s="26"/>
    </row>
    <row r="1255" spans="1:26" x14ac:dyDescent="0.35">
      <c r="A1255" t="s">
        <v>122</v>
      </c>
      <c r="B1255" t="s">
        <v>122</v>
      </c>
      <c r="C1255" t="s">
        <v>123</v>
      </c>
      <c r="D1255" t="s">
        <v>101</v>
      </c>
      <c r="E1255" t="s">
        <v>99</v>
      </c>
      <c r="F1255" t="s">
        <v>12</v>
      </c>
      <c r="G1255">
        <v>1</v>
      </c>
      <c r="H1255">
        <v>126</v>
      </c>
      <c r="I1255">
        <v>0.86896551724137905</v>
      </c>
      <c r="J1255" s="25">
        <f t="shared" si="66"/>
        <v>0.86896551724137927</v>
      </c>
      <c r="K1255">
        <v>1349</v>
      </c>
      <c r="L1255">
        <v>8</v>
      </c>
      <c r="M1255">
        <v>5.8953574060427397E-3</v>
      </c>
      <c r="N1255" s="25">
        <f t="shared" si="65"/>
        <v>5.8953574060427449E-3</v>
      </c>
      <c r="O1255">
        <v>0.99410464259395703</v>
      </c>
      <c r="P1255" s="25">
        <f t="shared" si="67"/>
        <v>0.99410464259395726</v>
      </c>
      <c r="Q1255">
        <v>19</v>
      </c>
      <c r="R1255" t="s">
        <v>124</v>
      </c>
      <c r="S1255" t="s">
        <v>124</v>
      </c>
      <c r="T1255" t="s">
        <v>124</v>
      </c>
      <c r="U1255" t="s">
        <v>124</v>
      </c>
      <c r="X1255" s="19">
        <f t="shared" si="63"/>
        <v>0.86896551724137927</v>
      </c>
      <c r="Y1255" s="19">
        <f t="shared" si="64"/>
        <v>5.8953574060427449E-3</v>
      </c>
      <c r="Z1255" s="26"/>
    </row>
    <row r="1256" spans="1:26" x14ac:dyDescent="0.35">
      <c r="A1256" t="s">
        <v>122</v>
      </c>
      <c r="B1256" t="s">
        <v>122</v>
      </c>
      <c r="C1256" t="s">
        <v>123</v>
      </c>
      <c r="D1256" t="s">
        <v>101</v>
      </c>
      <c r="E1256" t="s">
        <v>99</v>
      </c>
      <c r="F1256" t="s">
        <v>12</v>
      </c>
      <c r="G1256">
        <v>1</v>
      </c>
      <c r="H1256">
        <v>126</v>
      </c>
      <c r="I1256">
        <v>0.86896551724137905</v>
      </c>
      <c r="J1256" s="25">
        <f t="shared" si="66"/>
        <v>0.86896551724137927</v>
      </c>
      <c r="K1256">
        <v>1349</v>
      </c>
      <c r="L1256">
        <v>8</v>
      </c>
      <c r="M1256">
        <v>5.8953574060427397E-3</v>
      </c>
      <c r="N1256" s="25">
        <f t="shared" si="65"/>
        <v>5.8953574060427449E-3</v>
      </c>
      <c r="O1256">
        <v>0.99410464259395703</v>
      </c>
      <c r="P1256" s="25">
        <f t="shared" si="67"/>
        <v>0.99410464259395726</v>
      </c>
      <c r="Q1256">
        <v>19</v>
      </c>
      <c r="R1256" t="s">
        <v>124</v>
      </c>
      <c r="S1256" t="s">
        <v>124</v>
      </c>
      <c r="T1256" t="s">
        <v>124</v>
      </c>
      <c r="U1256" t="s">
        <v>124</v>
      </c>
      <c r="X1256" s="19">
        <f t="shared" si="63"/>
        <v>0.86896551724137927</v>
      </c>
      <c r="Y1256" s="19">
        <f t="shared" si="64"/>
        <v>5.8953574060427449E-3</v>
      </c>
      <c r="Z1256" s="26"/>
    </row>
    <row r="1257" spans="1:26" x14ac:dyDescent="0.35">
      <c r="A1257" t="s">
        <v>122</v>
      </c>
      <c r="B1257" t="s">
        <v>122</v>
      </c>
      <c r="C1257" t="s">
        <v>123</v>
      </c>
      <c r="D1257" t="s">
        <v>101</v>
      </c>
      <c r="E1257" t="s">
        <v>99</v>
      </c>
      <c r="F1257" t="s">
        <v>12</v>
      </c>
      <c r="G1257">
        <v>1</v>
      </c>
      <c r="H1257">
        <v>126</v>
      </c>
      <c r="I1257">
        <v>0.86896551724137905</v>
      </c>
      <c r="J1257" s="25">
        <f t="shared" si="66"/>
        <v>0.86896551724137927</v>
      </c>
      <c r="K1257">
        <v>1349</v>
      </c>
      <c r="L1257">
        <v>8</v>
      </c>
      <c r="M1257">
        <v>5.8953574060427397E-3</v>
      </c>
      <c r="N1257" s="25">
        <f t="shared" si="65"/>
        <v>5.8953574060427449E-3</v>
      </c>
      <c r="O1257">
        <v>0.99410464259395703</v>
      </c>
      <c r="P1257" s="25">
        <f t="shared" si="67"/>
        <v>0.99410464259395726</v>
      </c>
      <c r="Q1257">
        <v>19</v>
      </c>
      <c r="R1257" t="s">
        <v>124</v>
      </c>
      <c r="S1257" t="s">
        <v>124</v>
      </c>
      <c r="T1257" t="s">
        <v>124</v>
      </c>
      <c r="U1257" t="s">
        <v>124</v>
      </c>
      <c r="X1257" s="19">
        <f t="shared" si="63"/>
        <v>0.86896551724137927</v>
      </c>
      <c r="Y1257" s="19">
        <f t="shared" si="64"/>
        <v>5.8953574060427449E-3</v>
      </c>
      <c r="Z1257" s="26"/>
    </row>
    <row r="1258" spans="1:26" x14ac:dyDescent="0.35">
      <c r="A1258" t="s">
        <v>122</v>
      </c>
      <c r="B1258" t="s">
        <v>122</v>
      </c>
      <c r="C1258" t="s">
        <v>123</v>
      </c>
      <c r="D1258" t="s">
        <v>101</v>
      </c>
      <c r="E1258" t="s">
        <v>99</v>
      </c>
      <c r="F1258" t="s">
        <v>12</v>
      </c>
      <c r="G1258">
        <v>1</v>
      </c>
      <c r="H1258">
        <v>126</v>
      </c>
      <c r="I1258">
        <v>0.86896551724137905</v>
      </c>
      <c r="J1258" s="25">
        <f t="shared" si="66"/>
        <v>0.86896551724137927</v>
      </c>
      <c r="K1258">
        <v>1349</v>
      </c>
      <c r="L1258">
        <v>8</v>
      </c>
      <c r="M1258">
        <v>5.8953574060427397E-3</v>
      </c>
      <c r="N1258" s="25">
        <f t="shared" si="65"/>
        <v>5.8953574060427449E-3</v>
      </c>
      <c r="O1258">
        <v>0.99410464259395703</v>
      </c>
      <c r="P1258" s="25">
        <f t="shared" si="67"/>
        <v>0.99410464259395726</v>
      </c>
      <c r="Q1258">
        <v>19</v>
      </c>
      <c r="R1258" t="s">
        <v>124</v>
      </c>
      <c r="S1258" t="s">
        <v>124</v>
      </c>
      <c r="T1258" t="s">
        <v>124</v>
      </c>
      <c r="U1258" t="s">
        <v>124</v>
      </c>
      <c r="X1258" s="19">
        <f t="shared" si="63"/>
        <v>0.86896551724137927</v>
      </c>
      <c r="Y1258" s="19">
        <f t="shared" si="64"/>
        <v>5.8953574060427449E-3</v>
      </c>
      <c r="Z1258" s="26"/>
    </row>
    <row r="1259" spans="1:26" x14ac:dyDescent="0.35">
      <c r="A1259" t="s">
        <v>122</v>
      </c>
      <c r="B1259" t="s">
        <v>122</v>
      </c>
      <c r="C1259" t="s">
        <v>123</v>
      </c>
      <c r="D1259" t="s">
        <v>101</v>
      </c>
      <c r="E1259" t="s">
        <v>99</v>
      </c>
      <c r="F1259" t="s">
        <v>12</v>
      </c>
      <c r="G1259">
        <v>1</v>
      </c>
      <c r="H1259">
        <v>126</v>
      </c>
      <c r="I1259">
        <v>0.86896551724137905</v>
      </c>
      <c r="J1259" s="25">
        <f t="shared" si="66"/>
        <v>0.86896551724137927</v>
      </c>
      <c r="K1259">
        <v>1349</v>
      </c>
      <c r="L1259">
        <v>8</v>
      </c>
      <c r="M1259">
        <v>5.8953574060427397E-3</v>
      </c>
      <c r="N1259" s="25">
        <f t="shared" si="65"/>
        <v>5.8953574060427449E-3</v>
      </c>
      <c r="O1259">
        <v>0.99410464259395703</v>
      </c>
      <c r="P1259" s="25">
        <f t="shared" si="67"/>
        <v>0.99410464259395726</v>
      </c>
      <c r="Q1259">
        <v>19</v>
      </c>
      <c r="R1259" t="s">
        <v>124</v>
      </c>
      <c r="S1259" t="s">
        <v>124</v>
      </c>
      <c r="T1259" t="s">
        <v>124</v>
      </c>
      <c r="U1259" t="s">
        <v>124</v>
      </c>
      <c r="X1259" s="19">
        <f t="shared" si="63"/>
        <v>0.86896551724137927</v>
      </c>
      <c r="Y1259" s="19">
        <f t="shared" si="64"/>
        <v>5.8953574060427449E-3</v>
      </c>
      <c r="Z1259" s="26"/>
    </row>
    <row r="1260" spans="1:26" x14ac:dyDescent="0.35">
      <c r="A1260" t="s">
        <v>122</v>
      </c>
      <c r="B1260" t="s">
        <v>122</v>
      </c>
      <c r="C1260" t="s">
        <v>123</v>
      </c>
      <c r="D1260" t="s">
        <v>101</v>
      </c>
      <c r="E1260" t="s">
        <v>99</v>
      </c>
      <c r="F1260" t="s">
        <v>12</v>
      </c>
      <c r="G1260">
        <v>1</v>
      </c>
      <c r="H1260">
        <v>126</v>
      </c>
      <c r="I1260">
        <v>0.86896551724137905</v>
      </c>
      <c r="J1260" s="25">
        <f t="shared" si="66"/>
        <v>0.86896551724137927</v>
      </c>
      <c r="K1260">
        <v>1349</v>
      </c>
      <c r="L1260">
        <v>8</v>
      </c>
      <c r="M1260">
        <v>5.8953574060427397E-3</v>
      </c>
      <c r="N1260" s="25">
        <f t="shared" si="65"/>
        <v>5.8953574060427449E-3</v>
      </c>
      <c r="O1260">
        <v>0.99410464259395703</v>
      </c>
      <c r="P1260" s="25">
        <f t="shared" si="67"/>
        <v>0.99410464259395726</v>
      </c>
      <c r="Q1260">
        <v>19</v>
      </c>
      <c r="R1260" t="s">
        <v>124</v>
      </c>
      <c r="S1260" t="s">
        <v>124</v>
      </c>
      <c r="T1260" t="s">
        <v>124</v>
      </c>
      <c r="U1260" t="s">
        <v>124</v>
      </c>
      <c r="X1260" s="19">
        <f t="shared" si="63"/>
        <v>0.86896551724137927</v>
      </c>
      <c r="Y1260" s="19">
        <f t="shared" si="64"/>
        <v>5.8953574060427449E-3</v>
      </c>
      <c r="Z1260" s="26"/>
    </row>
    <row r="1261" spans="1:26" x14ac:dyDescent="0.35">
      <c r="A1261" t="s">
        <v>122</v>
      </c>
      <c r="B1261" t="s">
        <v>122</v>
      </c>
      <c r="C1261" t="s">
        <v>123</v>
      </c>
      <c r="D1261" t="s">
        <v>101</v>
      </c>
      <c r="E1261" t="s">
        <v>99</v>
      </c>
      <c r="F1261" t="s">
        <v>12</v>
      </c>
      <c r="G1261">
        <v>1</v>
      </c>
      <c r="H1261">
        <v>126</v>
      </c>
      <c r="I1261">
        <v>0.86896551724137905</v>
      </c>
      <c r="J1261" s="25">
        <f t="shared" si="66"/>
        <v>0.86896551724137927</v>
      </c>
      <c r="K1261">
        <v>1349</v>
      </c>
      <c r="L1261">
        <v>8</v>
      </c>
      <c r="M1261">
        <v>5.8953574060427397E-3</v>
      </c>
      <c r="N1261" s="25">
        <f t="shared" si="65"/>
        <v>5.8953574060427449E-3</v>
      </c>
      <c r="O1261">
        <v>0.99410464259395703</v>
      </c>
      <c r="P1261" s="25">
        <f t="shared" si="67"/>
        <v>0.99410464259395726</v>
      </c>
      <c r="Q1261">
        <v>19</v>
      </c>
      <c r="R1261" t="s">
        <v>124</v>
      </c>
      <c r="S1261" t="s">
        <v>124</v>
      </c>
      <c r="T1261" t="s">
        <v>124</v>
      </c>
      <c r="U1261" t="s">
        <v>124</v>
      </c>
      <c r="X1261" s="19">
        <f t="shared" si="63"/>
        <v>0.86896551724137927</v>
      </c>
      <c r="Y1261" s="19">
        <f t="shared" si="64"/>
        <v>5.8953574060427449E-3</v>
      </c>
      <c r="Z1261" s="26"/>
    </row>
    <row r="1262" spans="1:26" x14ac:dyDescent="0.35">
      <c r="A1262" t="s">
        <v>122</v>
      </c>
      <c r="B1262" t="s">
        <v>122</v>
      </c>
      <c r="C1262" t="s">
        <v>123</v>
      </c>
      <c r="D1262" t="s">
        <v>101</v>
      </c>
      <c r="E1262" t="s">
        <v>99</v>
      </c>
      <c r="F1262" t="s">
        <v>12</v>
      </c>
      <c r="G1262">
        <v>1</v>
      </c>
      <c r="H1262">
        <v>126</v>
      </c>
      <c r="I1262">
        <v>0.86896551724137905</v>
      </c>
      <c r="J1262" s="25">
        <f t="shared" si="66"/>
        <v>0.86896551724137927</v>
      </c>
      <c r="K1262">
        <v>1349</v>
      </c>
      <c r="L1262">
        <v>8</v>
      </c>
      <c r="M1262">
        <v>5.8953574060427397E-3</v>
      </c>
      <c r="N1262" s="25">
        <f t="shared" si="65"/>
        <v>5.8953574060427449E-3</v>
      </c>
      <c r="O1262">
        <v>0.99410464259395703</v>
      </c>
      <c r="P1262" s="25">
        <f t="shared" si="67"/>
        <v>0.99410464259395726</v>
      </c>
      <c r="Q1262">
        <v>19</v>
      </c>
      <c r="R1262" t="s">
        <v>124</v>
      </c>
      <c r="S1262" t="s">
        <v>124</v>
      </c>
      <c r="T1262" t="s">
        <v>124</v>
      </c>
      <c r="U1262" t="s">
        <v>124</v>
      </c>
      <c r="X1262" s="19">
        <f t="shared" ref="X1262:X1325" si="68">J1262</f>
        <v>0.86896551724137927</v>
      </c>
      <c r="Y1262" s="19">
        <f t="shared" ref="Y1262:Y1325" si="69">N1262</f>
        <v>5.8953574060427449E-3</v>
      </c>
      <c r="Z1262" s="26"/>
    </row>
    <row r="1263" spans="1:26" x14ac:dyDescent="0.35">
      <c r="A1263" t="s">
        <v>122</v>
      </c>
      <c r="B1263" t="s">
        <v>122</v>
      </c>
      <c r="C1263" t="s">
        <v>123</v>
      </c>
      <c r="D1263" t="s">
        <v>101</v>
      </c>
      <c r="E1263" t="s">
        <v>99</v>
      </c>
      <c r="F1263" t="s">
        <v>12</v>
      </c>
      <c r="G1263">
        <v>1</v>
      </c>
      <c r="H1263">
        <v>126</v>
      </c>
      <c r="I1263">
        <v>0.86896551724137905</v>
      </c>
      <c r="J1263" s="25">
        <f t="shared" si="66"/>
        <v>0.86896551724137927</v>
      </c>
      <c r="K1263">
        <v>1349</v>
      </c>
      <c r="L1263">
        <v>8</v>
      </c>
      <c r="M1263">
        <v>5.8953574060427397E-3</v>
      </c>
      <c r="N1263" s="25">
        <f t="shared" si="65"/>
        <v>5.8953574060427449E-3</v>
      </c>
      <c r="O1263">
        <v>0.99410464259395703</v>
      </c>
      <c r="P1263" s="25">
        <f t="shared" si="67"/>
        <v>0.99410464259395726</v>
      </c>
      <c r="Q1263">
        <v>19</v>
      </c>
      <c r="R1263" t="s">
        <v>124</v>
      </c>
      <c r="S1263" t="s">
        <v>124</v>
      </c>
      <c r="T1263" t="s">
        <v>124</v>
      </c>
      <c r="U1263" t="s">
        <v>124</v>
      </c>
      <c r="X1263" s="19">
        <f t="shared" si="68"/>
        <v>0.86896551724137927</v>
      </c>
      <c r="Y1263" s="19">
        <f t="shared" si="69"/>
        <v>5.8953574060427449E-3</v>
      </c>
      <c r="Z1263" s="26"/>
    </row>
    <row r="1264" spans="1:26" x14ac:dyDescent="0.35">
      <c r="A1264" t="s">
        <v>122</v>
      </c>
      <c r="B1264" t="s">
        <v>122</v>
      </c>
      <c r="C1264" t="s">
        <v>123</v>
      </c>
      <c r="D1264" t="s">
        <v>101</v>
      </c>
      <c r="E1264" t="s">
        <v>99</v>
      </c>
      <c r="F1264" t="s">
        <v>12</v>
      </c>
      <c r="G1264">
        <v>1</v>
      </c>
      <c r="H1264">
        <v>126</v>
      </c>
      <c r="I1264">
        <v>0.86896551724137905</v>
      </c>
      <c r="J1264" s="25">
        <f t="shared" si="66"/>
        <v>0.86896551724137927</v>
      </c>
      <c r="K1264">
        <v>1349</v>
      </c>
      <c r="L1264">
        <v>8</v>
      </c>
      <c r="M1264">
        <v>5.8953574060427397E-3</v>
      </c>
      <c r="N1264" s="25">
        <f t="shared" si="65"/>
        <v>5.8953574060427449E-3</v>
      </c>
      <c r="O1264">
        <v>0.99410464259395703</v>
      </c>
      <c r="P1264" s="25">
        <f t="shared" si="67"/>
        <v>0.99410464259395726</v>
      </c>
      <c r="Q1264">
        <v>19</v>
      </c>
      <c r="R1264" t="s">
        <v>124</v>
      </c>
      <c r="S1264" t="s">
        <v>124</v>
      </c>
      <c r="T1264" t="s">
        <v>124</v>
      </c>
      <c r="U1264" t="s">
        <v>124</v>
      </c>
      <c r="X1264" s="19">
        <f t="shared" si="68"/>
        <v>0.86896551724137927</v>
      </c>
      <c r="Y1264" s="19">
        <f t="shared" si="69"/>
        <v>5.8953574060427449E-3</v>
      </c>
      <c r="Z1264" s="26"/>
    </row>
    <row r="1265" spans="1:26" x14ac:dyDescent="0.35">
      <c r="A1265" t="s">
        <v>122</v>
      </c>
      <c r="B1265" t="s">
        <v>122</v>
      </c>
      <c r="C1265" t="s">
        <v>123</v>
      </c>
      <c r="D1265" t="s">
        <v>101</v>
      </c>
      <c r="E1265" t="s">
        <v>99</v>
      </c>
      <c r="F1265" t="s">
        <v>12</v>
      </c>
      <c r="G1265">
        <v>1</v>
      </c>
      <c r="H1265">
        <v>126</v>
      </c>
      <c r="I1265">
        <v>0.86896551724137905</v>
      </c>
      <c r="J1265" s="25">
        <f t="shared" si="66"/>
        <v>0.86896551724137927</v>
      </c>
      <c r="K1265">
        <v>1349</v>
      </c>
      <c r="L1265">
        <v>8</v>
      </c>
      <c r="M1265">
        <v>5.8953574060427397E-3</v>
      </c>
      <c r="N1265" s="25">
        <f t="shared" si="65"/>
        <v>5.8953574060427449E-3</v>
      </c>
      <c r="O1265">
        <v>0.99410464259395703</v>
      </c>
      <c r="P1265" s="25">
        <f t="shared" si="67"/>
        <v>0.99410464259395726</v>
      </c>
      <c r="Q1265">
        <v>19</v>
      </c>
      <c r="R1265" t="s">
        <v>124</v>
      </c>
      <c r="S1265" t="s">
        <v>124</v>
      </c>
      <c r="T1265" t="s">
        <v>124</v>
      </c>
      <c r="U1265" t="s">
        <v>124</v>
      </c>
      <c r="X1265" s="19">
        <f t="shared" si="68"/>
        <v>0.86896551724137927</v>
      </c>
      <c r="Y1265" s="19">
        <f t="shared" si="69"/>
        <v>5.8953574060427449E-3</v>
      </c>
      <c r="Z1265" s="26"/>
    </row>
    <row r="1266" spans="1:26" x14ac:dyDescent="0.35">
      <c r="A1266" t="s">
        <v>122</v>
      </c>
      <c r="B1266" t="s">
        <v>122</v>
      </c>
      <c r="C1266" t="s">
        <v>123</v>
      </c>
      <c r="D1266" t="s">
        <v>101</v>
      </c>
      <c r="E1266" t="s">
        <v>99</v>
      </c>
      <c r="F1266" t="s">
        <v>12</v>
      </c>
      <c r="G1266">
        <v>1</v>
      </c>
      <c r="H1266">
        <v>126</v>
      </c>
      <c r="I1266">
        <v>0.86896551724137905</v>
      </c>
      <c r="J1266" s="25">
        <f t="shared" si="66"/>
        <v>0.86896551724137927</v>
      </c>
      <c r="K1266">
        <v>1349</v>
      </c>
      <c r="L1266">
        <v>8</v>
      </c>
      <c r="M1266">
        <v>5.8953574060427397E-3</v>
      </c>
      <c r="N1266" s="25">
        <f t="shared" si="65"/>
        <v>5.8953574060427449E-3</v>
      </c>
      <c r="O1266">
        <v>0.99410464259395703</v>
      </c>
      <c r="P1266" s="25">
        <f t="shared" si="67"/>
        <v>0.99410464259395726</v>
      </c>
      <c r="Q1266">
        <v>19</v>
      </c>
      <c r="R1266" t="s">
        <v>124</v>
      </c>
      <c r="S1266" t="s">
        <v>124</v>
      </c>
      <c r="T1266" t="s">
        <v>124</v>
      </c>
      <c r="U1266" t="s">
        <v>124</v>
      </c>
      <c r="X1266" s="19">
        <f t="shared" si="68"/>
        <v>0.86896551724137927</v>
      </c>
      <c r="Y1266" s="19">
        <f t="shared" si="69"/>
        <v>5.8953574060427449E-3</v>
      </c>
      <c r="Z1266" s="26"/>
    </row>
    <row r="1267" spans="1:26" x14ac:dyDescent="0.35">
      <c r="A1267" t="s">
        <v>122</v>
      </c>
      <c r="B1267" t="s">
        <v>122</v>
      </c>
      <c r="C1267" t="s">
        <v>123</v>
      </c>
      <c r="D1267" t="s">
        <v>101</v>
      </c>
      <c r="E1267" t="s">
        <v>99</v>
      </c>
      <c r="F1267" t="s">
        <v>12</v>
      </c>
      <c r="G1267">
        <v>1</v>
      </c>
      <c r="H1267">
        <v>126</v>
      </c>
      <c r="I1267">
        <v>0.86896551724137905</v>
      </c>
      <c r="J1267" s="25">
        <f t="shared" si="66"/>
        <v>0.86896551724137927</v>
      </c>
      <c r="K1267">
        <v>1349</v>
      </c>
      <c r="L1267">
        <v>8</v>
      </c>
      <c r="M1267">
        <v>5.8953574060427397E-3</v>
      </c>
      <c r="N1267" s="25">
        <f t="shared" si="65"/>
        <v>5.8953574060427449E-3</v>
      </c>
      <c r="O1267">
        <v>0.99410464259395703</v>
      </c>
      <c r="P1267" s="25">
        <f t="shared" si="67"/>
        <v>0.99410464259395726</v>
      </c>
      <c r="Q1267">
        <v>19</v>
      </c>
      <c r="R1267" t="s">
        <v>124</v>
      </c>
      <c r="S1267" t="s">
        <v>124</v>
      </c>
      <c r="T1267" t="s">
        <v>124</v>
      </c>
      <c r="U1267" t="s">
        <v>124</v>
      </c>
      <c r="X1267" s="19">
        <f t="shared" si="68"/>
        <v>0.86896551724137927</v>
      </c>
      <c r="Y1267" s="19">
        <f t="shared" si="69"/>
        <v>5.8953574060427449E-3</v>
      </c>
      <c r="Z1267" s="26"/>
    </row>
    <row r="1268" spans="1:26" x14ac:dyDescent="0.35">
      <c r="A1268" t="s">
        <v>122</v>
      </c>
      <c r="B1268" t="s">
        <v>122</v>
      </c>
      <c r="C1268" t="s">
        <v>123</v>
      </c>
      <c r="D1268" t="s">
        <v>101</v>
      </c>
      <c r="E1268" t="s">
        <v>99</v>
      </c>
      <c r="F1268" t="s">
        <v>12</v>
      </c>
      <c r="G1268">
        <v>1</v>
      </c>
      <c r="H1268">
        <v>126</v>
      </c>
      <c r="I1268">
        <v>0.86896551724137905</v>
      </c>
      <c r="J1268" s="25">
        <f t="shared" si="66"/>
        <v>0.86896551724137927</v>
      </c>
      <c r="K1268">
        <v>1349</v>
      </c>
      <c r="L1268">
        <v>8</v>
      </c>
      <c r="M1268">
        <v>5.8953574060427397E-3</v>
      </c>
      <c r="N1268" s="25">
        <f t="shared" si="65"/>
        <v>5.8953574060427449E-3</v>
      </c>
      <c r="O1268">
        <v>0.99410464259395703</v>
      </c>
      <c r="P1268" s="25">
        <f t="shared" si="67"/>
        <v>0.99410464259395726</v>
      </c>
      <c r="Q1268">
        <v>19</v>
      </c>
      <c r="R1268" t="s">
        <v>124</v>
      </c>
      <c r="S1268" t="s">
        <v>124</v>
      </c>
      <c r="T1268" t="s">
        <v>124</v>
      </c>
      <c r="U1268" t="s">
        <v>124</v>
      </c>
      <c r="X1268" s="19">
        <f t="shared" si="68"/>
        <v>0.86896551724137927</v>
      </c>
      <c r="Y1268" s="19">
        <f t="shared" si="69"/>
        <v>5.8953574060427449E-3</v>
      </c>
      <c r="Z1268" s="26"/>
    </row>
    <row r="1269" spans="1:26" x14ac:dyDescent="0.35">
      <c r="A1269" t="s">
        <v>122</v>
      </c>
      <c r="B1269" t="s">
        <v>122</v>
      </c>
      <c r="C1269" t="s">
        <v>123</v>
      </c>
      <c r="D1269" t="s">
        <v>101</v>
      </c>
      <c r="E1269" t="s">
        <v>99</v>
      </c>
      <c r="F1269" t="s">
        <v>12</v>
      </c>
      <c r="G1269">
        <v>1</v>
      </c>
      <c r="H1269">
        <v>126</v>
      </c>
      <c r="I1269">
        <v>0.86896551724137905</v>
      </c>
      <c r="J1269" s="25">
        <f t="shared" si="66"/>
        <v>0.86896551724137927</v>
      </c>
      <c r="K1269">
        <v>1349</v>
      </c>
      <c r="L1269">
        <v>8</v>
      </c>
      <c r="M1269">
        <v>5.8953574060427397E-3</v>
      </c>
      <c r="N1269" s="25">
        <f t="shared" si="65"/>
        <v>5.8953574060427449E-3</v>
      </c>
      <c r="O1269">
        <v>0.99410464259395703</v>
      </c>
      <c r="P1269" s="25">
        <f t="shared" si="67"/>
        <v>0.99410464259395726</v>
      </c>
      <c r="Q1269">
        <v>19</v>
      </c>
      <c r="R1269" t="s">
        <v>124</v>
      </c>
      <c r="S1269" t="s">
        <v>124</v>
      </c>
      <c r="T1269" t="s">
        <v>124</v>
      </c>
      <c r="U1269" t="s">
        <v>124</v>
      </c>
      <c r="X1269" s="19">
        <f t="shared" si="68"/>
        <v>0.86896551724137927</v>
      </c>
      <c r="Y1269" s="19">
        <f t="shared" si="69"/>
        <v>5.8953574060427449E-3</v>
      </c>
      <c r="Z1269" s="26"/>
    </row>
    <row r="1270" spans="1:26" x14ac:dyDescent="0.35">
      <c r="A1270" t="s">
        <v>122</v>
      </c>
      <c r="B1270" t="s">
        <v>122</v>
      </c>
      <c r="C1270" t="s">
        <v>123</v>
      </c>
      <c r="D1270" t="s">
        <v>101</v>
      </c>
      <c r="E1270" t="s">
        <v>99</v>
      </c>
      <c r="F1270" t="s">
        <v>12</v>
      </c>
      <c r="G1270">
        <v>1</v>
      </c>
      <c r="H1270">
        <v>126</v>
      </c>
      <c r="I1270">
        <v>0.86896551724137905</v>
      </c>
      <c r="J1270" s="25">
        <f t="shared" si="66"/>
        <v>0.86896551724137927</v>
      </c>
      <c r="K1270">
        <v>1349</v>
      </c>
      <c r="L1270">
        <v>8</v>
      </c>
      <c r="M1270">
        <v>5.8953574060427397E-3</v>
      </c>
      <c r="N1270" s="25">
        <f t="shared" si="65"/>
        <v>5.8953574060427449E-3</v>
      </c>
      <c r="O1270">
        <v>0.99410464259395703</v>
      </c>
      <c r="P1270" s="25">
        <f t="shared" si="67"/>
        <v>0.99410464259395726</v>
      </c>
      <c r="Q1270">
        <v>19</v>
      </c>
      <c r="R1270" t="s">
        <v>124</v>
      </c>
      <c r="S1270" t="s">
        <v>124</v>
      </c>
      <c r="T1270" t="s">
        <v>124</v>
      </c>
      <c r="U1270" t="s">
        <v>124</v>
      </c>
      <c r="X1270" s="19">
        <f t="shared" si="68"/>
        <v>0.86896551724137927</v>
      </c>
      <c r="Y1270" s="19">
        <f t="shared" si="69"/>
        <v>5.8953574060427449E-3</v>
      </c>
      <c r="Z1270" s="26"/>
    </row>
    <row r="1271" spans="1:26" x14ac:dyDescent="0.35">
      <c r="A1271" t="s">
        <v>122</v>
      </c>
      <c r="B1271" t="s">
        <v>122</v>
      </c>
      <c r="C1271" t="s">
        <v>123</v>
      </c>
      <c r="D1271" t="s">
        <v>101</v>
      </c>
      <c r="E1271" t="s">
        <v>99</v>
      </c>
      <c r="F1271" t="s">
        <v>12</v>
      </c>
      <c r="G1271">
        <v>1</v>
      </c>
      <c r="H1271">
        <v>126</v>
      </c>
      <c r="I1271">
        <v>0.86896551724137905</v>
      </c>
      <c r="J1271" s="25">
        <f t="shared" si="66"/>
        <v>0.86896551724137927</v>
      </c>
      <c r="K1271">
        <v>1349</v>
      </c>
      <c r="L1271">
        <v>8</v>
      </c>
      <c r="M1271">
        <v>5.8953574060427397E-3</v>
      </c>
      <c r="N1271" s="25">
        <f t="shared" si="65"/>
        <v>5.8953574060427449E-3</v>
      </c>
      <c r="O1271">
        <v>0.99410464259395703</v>
      </c>
      <c r="P1271" s="25">
        <f t="shared" si="67"/>
        <v>0.99410464259395726</v>
      </c>
      <c r="Q1271">
        <v>19</v>
      </c>
      <c r="R1271" t="s">
        <v>124</v>
      </c>
      <c r="S1271" t="s">
        <v>124</v>
      </c>
      <c r="T1271" t="s">
        <v>124</v>
      </c>
      <c r="U1271" t="s">
        <v>124</v>
      </c>
      <c r="X1271" s="19">
        <f t="shared" si="68"/>
        <v>0.86896551724137927</v>
      </c>
      <c r="Y1271" s="19">
        <f t="shared" si="69"/>
        <v>5.8953574060427449E-3</v>
      </c>
      <c r="Z1271" s="26"/>
    </row>
    <row r="1272" spans="1:26" x14ac:dyDescent="0.35">
      <c r="A1272" t="s">
        <v>122</v>
      </c>
      <c r="B1272" t="s">
        <v>122</v>
      </c>
      <c r="C1272" t="s">
        <v>123</v>
      </c>
      <c r="D1272" t="s">
        <v>101</v>
      </c>
      <c r="E1272" t="s">
        <v>99</v>
      </c>
      <c r="F1272" t="s">
        <v>12</v>
      </c>
      <c r="G1272">
        <v>1</v>
      </c>
      <c r="H1272">
        <v>126</v>
      </c>
      <c r="I1272">
        <v>0.86896551724137905</v>
      </c>
      <c r="J1272" s="25">
        <f t="shared" si="66"/>
        <v>0.86896551724137927</v>
      </c>
      <c r="K1272">
        <v>1349</v>
      </c>
      <c r="L1272">
        <v>8</v>
      </c>
      <c r="M1272">
        <v>5.8953574060427397E-3</v>
      </c>
      <c r="N1272" s="25">
        <f t="shared" si="65"/>
        <v>5.8953574060427449E-3</v>
      </c>
      <c r="O1272">
        <v>0.99410464259395703</v>
      </c>
      <c r="P1272" s="25">
        <f t="shared" si="67"/>
        <v>0.99410464259395726</v>
      </c>
      <c r="Q1272">
        <v>19</v>
      </c>
      <c r="R1272" t="s">
        <v>124</v>
      </c>
      <c r="S1272" t="s">
        <v>124</v>
      </c>
      <c r="T1272" t="s">
        <v>124</v>
      </c>
      <c r="U1272" t="s">
        <v>124</v>
      </c>
      <c r="X1272" s="19">
        <f t="shared" si="68"/>
        <v>0.86896551724137927</v>
      </c>
      <c r="Y1272" s="19">
        <f t="shared" si="69"/>
        <v>5.8953574060427449E-3</v>
      </c>
      <c r="Z1272" s="26"/>
    </row>
    <row r="1273" spans="1:26" x14ac:dyDescent="0.35">
      <c r="A1273" t="s">
        <v>122</v>
      </c>
      <c r="B1273" t="s">
        <v>122</v>
      </c>
      <c r="C1273" t="s">
        <v>123</v>
      </c>
      <c r="D1273" t="s">
        <v>101</v>
      </c>
      <c r="E1273" t="s">
        <v>99</v>
      </c>
      <c r="F1273" t="s">
        <v>12</v>
      </c>
      <c r="G1273">
        <v>1</v>
      </c>
      <c r="H1273">
        <v>126</v>
      </c>
      <c r="I1273">
        <v>0.86896551724137905</v>
      </c>
      <c r="J1273" s="25">
        <f t="shared" si="66"/>
        <v>0.86896551724137927</v>
      </c>
      <c r="K1273">
        <v>1349</v>
      </c>
      <c r="L1273">
        <v>8</v>
      </c>
      <c r="M1273">
        <v>5.8953574060427397E-3</v>
      </c>
      <c r="N1273" s="25">
        <f t="shared" si="65"/>
        <v>5.8953574060427449E-3</v>
      </c>
      <c r="O1273">
        <v>0.99410464259395703</v>
      </c>
      <c r="P1273" s="25">
        <f t="shared" si="67"/>
        <v>0.99410464259395726</v>
      </c>
      <c r="Q1273">
        <v>19</v>
      </c>
      <c r="R1273" t="s">
        <v>124</v>
      </c>
      <c r="S1273" t="s">
        <v>124</v>
      </c>
      <c r="T1273" t="s">
        <v>124</v>
      </c>
      <c r="U1273" t="s">
        <v>124</v>
      </c>
      <c r="X1273" s="19">
        <f t="shared" si="68"/>
        <v>0.86896551724137927</v>
      </c>
      <c r="Y1273" s="19">
        <f t="shared" si="69"/>
        <v>5.8953574060427449E-3</v>
      </c>
      <c r="Z1273" s="26"/>
    </row>
    <row r="1274" spans="1:26" x14ac:dyDescent="0.35">
      <c r="A1274" t="s">
        <v>122</v>
      </c>
      <c r="B1274" t="s">
        <v>122</v>
      </c>
      <c r="C1274" t="s">
        <v>123</v>
      </c>
      <c r="D1274" t="s">
        <v>101</v>
      </c>
      <c r="E1274" t="s">
        <v>99</v>
      </c>
      <c r="F1274" t="s">
        <v>12</v>
      </c>
      <c r="G1274">
        <v>1</v>
      </c>
      <c r="H1274">
        <v>126</v>
      </c>
      <c r="I1274">
        <v>0.86896551724137905</v>
      </c>
      <c r="J1274" s="25">
        <f t="shared" si="66"/>
        <v>0.86896551724137927</v>
      </c>
      <c r="K1274">
        <v>1349</v>
      </c>
      <c r="L1274">
        <v>8</v>
      </c>
      <c r="M1274">
        <v>5.8953574060427397E-3</v>
      </c>
      <c r="N1274" s="25">
        <f t="shared" si="65"/>
        <v>5.8953574060427449E-3</v>
      </c>
      <c r="O1274">
        <v>0.99410464259395703</v>
      </c>
      <c r="P1274" s="25">
        <f t="shared" si="67"/>
        <v>0.99410464259395726</v>
      </c>
      <c r="Q1274">
        <v>19</v>
      </c>
      <c r="R1274" t="s">
        <v>124</v>
      </c>
      <c r="S1274" t="s">
        <v>124</v>
      </c>
      <c r="T1274" t="s">
        <v>124</v>
      </c>
      <c r="U1274" t="s">
        <v>124</v>
      </c>
      <c r="X1274" s="19">
        <f t="shared" si="68"/>
        <v>0.86896551724137927</v>
      </c>
      <c r="Y1274" s="19">
        <f t="shared" si="69"/>
        <v>5.8953574060427449E-3</v>
      </c>
      <c r="Z1274" s="26"/>
    </row>
    <row r="1275" spans="1:26" x14ac:dyDescent="0.35">
      <c r="A1275" t="s">
        <v>122</v>
      </c>
      <c r="B1275" t="s">
        <v>122</v>
      </c>
      <c r="C1275" t="s">
        <v>123</v>
      </c>
      <c r="D1275" t="s">
        <v>101</v>
      </c>
      <c r="E1275" t="s">
        <v>99</v>
      </c>
      <c r="F1275" t="s">
        <v>12</v>
      </c>
      <c r="G1275">
        <v>1</v>
      </c>
      <c r="H1275">
        <v>126</v>
      </c>
      <c r="I1275">
        <v>0.86896551724137905</v>
      </c>
      <c r="J1275" s="25">
        <f t="shared" si="66"/>
        <v>0.86896551724137927</v>
      </c>
      <c r="K1275">
        <v>1349</v>
      </c>
      <c r="L1275">
        <v>8</v>
      </c>
      <c r="M1275">
        <v>5.8953574060427397E-3</v>
      </c>
      <c r="N1275" s="25">
        <f t="shared" si="65"/>
        <v>5.8953574060427449E-3</v>
      </c>
      <c r="O1275">
        <v>0.99410464259395703</v>
      </c>
      <c r="P1275" s="25">
        <f t="shared" si="67"/>
        <v>0.99410464259395726</v>
      </c>
      <c r="Q1275">
        <v>19</v>
      </c>
      <c r="R1275" t="s">
        <v>124</v>
      </c>
      <c r="S1275" t="s">
        <v>124</v>
      </c>
      <c r="T1275" t="s">
        <v>124</v>
      </c>
      <c r="U1275" t="s">
        <v>124</v>
      </c>
      <c r="X1275" s="19">
        <f t="shared" si="68"/>
        <v>0.86896551724137927</v>
      </c>
      <c r="Y1275" s="19">
        <f t="shared" si="69"/>
        <v>5.8953574060427449E-3</v>
      </c>
      <c r="Z1275" s="26"/>
    </row>
    <row r="1276" spans="1:26" x14ac:dyDescent="0.35">
      <c r="A1276" t="s">
        <v>122</v>
      </c>
      <c r="B1276" t="s">
        <v>122</v>
      </c>
      <c r="C1276" t="s">
        <v>123</v>
      </c>
      <c r="D1276" t="s">
        <v>101</v>
      </c>
      <c r="E1276" t="s">
        <v>99</v>
      </c>
      <c r="F1276" t="s">
        <v>12</v>
      </c>
      <c r="G1276">
        <v>1</v>
      </c>
      <c r="H1276">
        <v>126</v>
      </c>
      <c r="I1276">
        <v>0.86896551724137905</v>
      </c>
      <c r="J1276" s="25">
        <f t="shared" si="66"/>
        <v>0.86896551724137927</v>
      </c>
      <c r="K1276">
        <v>1349</v>
      </c>
      <c r="L1276">
        <v>8</v>
      </c>
      <c r="M1276">
        <v>5.8953574060427397E-3</v>
      </c>
      <c r="N1276" s="25">
        <f t="shared" si="65"/>
        <v>5.8953574060427449E-3</v>
      </c>
      <c r="O1276">
        <v>0.99410464259395703</v>
      </c>
      <c r="P1276" s="25">
        <f t="shared" si="67"/>
        <v>0.99410464259395726</v>
      </c>
      <c r="Q1276">
        <v>19</v>
      </c>
      <c r="R1276" t="s">
        <v>124</v>
      </c>
      <c r="S1276" t="s">
        <v>124</v>
      </c>
      <c r="T1276" t="s">
        <v>124</v>
      </c>
      <c r="U1276" t="s">
        <v>124</v>
      </c>
      <c r="X1276" s="19">
        <f t="shared" si="68"/>
        <v>0.86896551724137927</v>
      </c>
      <c r="Y1276" s="19">
        <f t="shared" si="69"/>
        <v>5.8953574060427449E-3</v>
      </c>
      <c r="Z1276" s="26"/>
    </row>
    <row r="1277" spans="1:26" x14ac:dyDescent="0.35">
      <c r="A1277" t="s">
        <v>122</v>
      </c>
      <c r="B1277" t="s">
        <v>122</v>
      </c>
      <c r="C1277" t="s">
        <v>123</v>
      </c>
      <c r="D1277" t="s">
        <v>101</v>
      </c>
      <c r="E1277" t="s">
        <v>99</v>
      </c>
      <c r="F1277" t="s">
        <v>12</v>
      </c>
      <c r="G1277">
        <v>1</v>
      </c>
      <c r="H1277">
        <v>126</v>
      </c>
      <c r="I1277">
        <v>0.86896551724137905</v>
      </c>
      <c r="J1277" s="25">
        <f t="shared" si="66"/>
        <v>0.86896551724137927</v>
      </c>
      <c r="K1277">
        <v>1349</v>
      </c>
      <c r="L1277">
        <v>8</v>
      </c>
      <c r="M1277">
        <v>5.8953574060427397E-3</v>
      </c>
      <c r="N1277" s="25">
        <f t="shared" si="65"/>
        <v>5.8953574060427449E-3</v>
      </c>
      <c r="O1277">
        <v>0.99410464259395703</v>
      </c>
      <c r="P1277" s="25">
        <f t="shared" si="67"/>
        <v>0.99410464259395726</v>
      </c>
      <c r="Q1277">
        <v>19</v>
      </c>
      <c r="R1277" t="s">
        <v>124</v>
      </c>
      <c r="S1277" t="s">
        <v>124</v>
      </c>
      <c r="T1277" t="s">
        <v>124</v>
      </c>
      <c r="U1277" t="s">
        <v>124</v>
      </c>
      <c r="X1277" s="19">
        <f t="shared" si="68"/>
        <v>0.86896551724137927</v>
      </c>
      <c r="Y1277" s="19">
        <f t="shared" si="69"/>
        <v>5.8953574060427449E-3</v>
      </c>
      <c r="Z1277" s="26"/>
    </row>
    <row r="1278" spans="1:26" x14ac:dyDescent="0.35">
      <c r="A1278" t="s">
        <v>122</v>
      </c>
      <c r="B1278" t="s">
        <v>122</v>
      </c>
      <c r="C1278" t="s">
        <v>123</v>
      </c>
      <c r="D1278" t="s">
        <v>101</v>
      </c>
      <c r="E1278" t="s">
        <v>99</v>
      </c>
      <c r="F1278" t="s">
        <v>12</v>
      </c>
      <c r="G1278">
        <v>1</v>
      </c>
      <c r="H1278">
        <v>130</v>
      </c>
      <c r="I1278">
        <v>0.89655172413793105</v>
      </c>
      <c r="J1278" s="25">
        <f t="shared" si="66"/>
        <v>0.89655172413793105</v>
      </c>
      <c r="K1278">
        <v>1349</v>
      </c>
      <c r="L1278">
        <v>8</v>
      </c>
      <c r="M1278">
        <v>5.8953574060427397E-3</v>
      </c>
      <c r="N1278" s="25">
        <f t="shared" si="65"/>
        <v>5.8953574060427449E-3</v>
      </c>
      <c r="O1278">
        <v>0.99410464259395703</v>
      </c>
      <c r="P1278" s="25">
        <f t="shared" si="67"/>
        <v>0.99410464259395726</v>
      </c>
      <c r="Q1278">
        <v>15</v>
      </c>
      <c r="R1278" t="s">
        <v>124</v>
      </c>
      <c r="S1278" t="s">
        <v>124</v>
      </c>
      <c r="T1278" t="s">
        <v>124</v>
      </c>
      <c r="U1278" t="s">
        <v>124</v>
      </c>
      <c r="X1278" s="19">
        <f t="shared" si="68"/>
        <v>0.89655172413793105</v>
      </c>
      <c r="Y1278" s="19">
        <f t="shared" si="69"/>
        <v>5.8953574060427449E-3</v>
      </c>
      <c r="Z1278" s="26"/>
    </row>
    <row r="1279" spans="1:26" x14ac:dyDescent="0.35">
      <c r="A1279" t="s">
        <v>122</v>
      </c>
      <c r="B1279" t="s">
        <v>122</v>
      </c>
      <c r="C1279" t="s">
        <v>123</v>
      </c>
      <c r="D1279" t="s">
        <v>101</v>
      </c>
      <c r="E1279" t="s">
        <v>99</v>
      </c>
      <c r="F1279" t="s">
        <v>12</v>
      </c>
      <c r="G1279">
        <v>1</v>
      </c>
      <c r="H1279">
        <v>130</v>
      </c>
      <c r="I1279">
        <v>0.89655172413793105</v>
      </c>
      <c r="J1279" s="25">
        <f t="shared" si="66"/>
        <v>0.89655172413793105</v>
      </c>
      <c r="K1279">
        <v>1349</v>
      </c>
      <c r="L1279">
        <v>8</v>
      </c>
      <c r="M1279">
        <v>5.8953574060427397E-3</v>
      </c>
      <c r="N1279" s="25">
        <f t="shared" si="65"/>
        <v>5.8953574060427449E-3</v>
      </c>
      <c r="O1279">
        <v>0.99410464259395703</v>
      </c>
      <c r="P1279" s="25">
        <f t="shared" si="67"/>
        <v>0.99410464259395726</v>
      </c>
      <c r="Q1279">
        <v>15</v>
      </c>
      <c r="R1279" t="s">
        <v>124</v>
      </c>
      <c r="S1279" t="s">
        <v>124</v>
      </c>
      <c r="T1279" t="s">
        <v>124</v>
      </c>
      <c r="U1279" t="s">
        <v>124</v>
      </c>
      <c r="X1279" s="19">
        <f t="shared" si="68"/>
        <v>0.89655172413793105</v>
      </c>
      <c r="Y1279" s="19">
        <f t="shared" si="69"/>
        <v>5.8953574060427449E-3</v>
      </c>
      <c r="Z1279" s="26"/>
    </row>
    <row r="1280" spans="1:26" x14ac:dyDescent="0.35">
      <c r="A1280" t="s">
        <v>122</v>
      </c>
      <c r="B1280" t="s">
        <v>122</v>
      </c>
      <c r="C1280" t="s">
        <v>123</v>
      </c>
      <c r="D1280" t="s">
        <v>101</v>
      </c>
      <c r="E1280" t="s">
        <v>99</v>
      </c>
      <c r="F1280" t="s">
        <v>12</v>
      </c>
      <c r="G1280">
        <v>1</v>
      </c>
      <c r="H1280">
        <v>130</v>
      </c>
      <c r="I1280">
        <v>0.89655172413793105</v>
      </c>
      <c r="J1280" s="25">
        <f t="shared" si="66"/>
        <v>0.89655172413793105</v>
      </c>
      <c r="K1280">
        <v>1349</v>
      </c>
      <c r="L1280">
        <v>8</v>
      </c>
      <c r="M1280">
        <v>5.8953574060427397E-3</v>
      </c>
      <c r="N1280" s="25">
        <f t="shared" si="65"/>
        <v>5.8953574060427449E-3</v>
      </c>
      <c r="O1280">
        <v>0.99410464259395703</v>
      </c>
      <c r="P1280" s="25">
        <f t="shared" si="67"/>
        <v>0.99410464259395726</v>
      </c>
      <c r="Q1280">
        <v>15</v>
      </c>
      <c r="R1280" t="s">
        <v>124</v>
      </c>
      <c r="S1280" t="s">
        <v>124</v>
      </c>
      <c r="T1280" t="s">
        <v>124</v>
      </c>
      <c r="U1280" t="s">
        <v>124</v>
      </c>
      <c r="X1280" s="19">
        <f t="shared" si="68"/>
        <v>0.89655172413793105</v>
      </c>
      <c r="Y1280" s="19">
        <f t="shared" si="69"/>
        <v>5.8953574060427449E-3</v>
      </c>
      <c r="Z1280" s="26"/>
    </row>
    <row r="1281" spans="1:26" x14ac:dyDescent="0.35">
      <c r="A1281" t="s">
        <v>122</v>
      </c>
      <c r="B1281" t="s">
        <v>122</v>
      </c>
      <c r="C1281" t="s">
        <v>123</v>
      </c>
      <c r="D1281" t="s">
        <v>101</v>
      </c>
      <c r="E1281" t="s">
        <v>99</v>
      </c>
      <c r="F1281" t="s">
        <v>12</v>
      </c>
      <c r="G1281">
        <v>1</v>
      </c>
      <c r="H1281">
        <v>130</v>
      </c>
      <c r="I1281">
        <v>0.89655172413793105</v>
      </c>
      <c r="J1281" s="25">
        <f t="shared" si="66"/>
        <v>0.89655172413793105</v>
      </c>
      <c r="K1281">
        <v>1349</v>
      </c>
      <c r="L1281">
        <v>8</v>
      </c>
      <c r="M1281">
        <v>5.8953574060427397E-3</v>
      </c>
      <c r="N1281" s="25">
        <f t="shared" si="65"/>
        <v>5.8953574060427449E-3</v>
      </c>
      <c r="O1281">
        <v>0.99410464259395703</v>
      </c>
      <c r="P1281" s="25">
        <f t="shared" si="67"/>
        <v>0.99410464259395726</v>
      </c>
      <c r="Q1281">
        <v>15</v>
      </c>
      <c r="R1281" t="s">
        <v>124</v>
      </c>
      <c r="S1281" t="s">
        <v>124</v>
      </c>
      <c r="T1281" t="s">
        <v>124</v>
      </c>
      <c r="U1281" t="s">
        <v>124</v>
      </c>
      <c r="X1281" s="19">
        <f t="shared" si="68"/>
        <v>0.89655172413793105</v>
      </c>
      <c r="Y1281" s="19">
        <f t="shared" si="69"/>
        <v>5.8953574060427449E-3</v>
      </c>
      <c r="Z1281" s="26"/>
    </row>
    <row r="1282" spans="1:26" x14ac:dyDescent="0.35">
      <c r="A1282" t="s">
        <v>122</v>
      </c>
      <c r="B1282" t="s">
        <v>122</v>
      </c>
      <c r="C1282" t="s">
        <v>123</v>
      </c>
      <c r="D1282" t="s">
        <v>101</v>
      </c>
      <c r="E1282" t="s">
        <v>99</v>
      </c>
      <c r="F1282" t="s">
        <v>12</v>
      </c>
      <c r="G1282">
        <v>1</v>
      </c>
      <c r="H1282">
        <v>130</v>
      </c>
      <c r="I1282">
        <v>0.89655172413793105</v>
      </c>
      <c r="J1282" s="25">
        <f t="shared" si="66"/>
        <v>0.89655172413793105</v>
      </c>
      <c r="K1282">
        <v>1349</v>
      </c>
      <c r="L1282">
        <v>8</v>
      </c>
      <c r="M1282">
        <v>5.8953574060427397E-3</v>
      </c>
      <c r="N1282" s="25">
        <f t="shared" ref="N1282:N1345" si="70">1-P1282</f>
        <v>5.8953574060427449E-3</v>
      </c>
      <c r="O1282">
        <v>0.99410464259395703</v>
      </c>
      <c r="P1282" s="25">
        <f t="shared" si="67"/>
        <v>0.99410464259395726</v>
      </c>
      <c r="Q1282">
        <v>15</v>
      </c>
      <c r="R1282" t="s">
        <v>124</v>
      </c>
      <c r="S1282" t="s">
        <v>124</v>
      </c>
      <c r="T1282" t="s">
        <v>124</v>
      </c>
      <c r="U1282" t="s">
        <v>124</v>
      </c>
      <c r="X1282" s="19">
        <f t="shared" si="68"/>
        <v>0.89655172413793105</v>
      </c>
      <c r="Y1282" s="19">
        <f t="shared" si="69"/>
        <v>5.8953574060427449E-3</v>
      </c>
      <c r="Z1282" s="26"/>
    </row>
    <row r="1283" spans="1:26" x14ac:dyDescent="0.35">
      <c r="A1283" t="s">
        <v>122</v>
      </c>
      <c r="B1283" t="s">
        <v>122</v>
      </c>
      <c r="C1283" t="s">
        <v>123</v>
      </c>
      <c r="D1283" t="s">
        <v>101</v>
      </c>
      <c r="E1283" t="s">
        <v>99</v>
      </c>
      <c r="F1283" t="s">
        <v>12</v>
      </c>
      <c r="G1283">
        <v>1</v>
      </c>
      <c r="H1283">
        <v>130</v>
      </c>
      <c r="I1283">
        <v>0.89655172413793105</v>
      </c>
      <c r="J1283" s="25">
        <f t="shared" ref="J1283:J1346" si="71">H1283/(H1283+Q1283)</f>
        <v>0.89655172413793105</v>
      </c>
      <c r="K1283">
        <v>1349</v>
      </c>
      <c r="L1283">
        <v>8</v>
      </c>
      <c r="M1283">
        <v>5.8953574060427397E-3</v>
      </c>
      <c r="N1283" s="25">
        <f t="shared" si="70"/>
        <v>5.8953574060427449E-3</v>
      </c>
      <c r="O1283">
        <v>0.99410464259395703</v>
      </c>
      <c r="P1283" s="25">
        <f t="shared" ref="P1283:P1346" si="72">K1283/(K1283+L1283)</f>
        <v>0.99410464259395726</v>
      </c>
      <c r="Q1283">
        <v>15</v>
      </c>
      <c r="R1283" t="s">
        <v>124</v>
      </c>
      <c r="S1283" t="s">
        <v>124</v>
      </c>
      <c r="T1283" t="s">
        <v>124</v>
      </c>
      <c r="U1283" t="s">
        <v>124</v>
      </c>
      <c r="X1283" s="19">
        <f t="shared" si="68"/>
        <v>0.89655172413793105</v>
      </c>
      <c r="Y1283" s="19">
        <f t="shared" si="69"/>
        <v>5.8953574060427449E-3</v>
      </c>
      <c r="Z1283" s="26"/>
    </row>
    <row r="1284" spans="1:26" x14ac:dyDescent="0.35">
      <c r="A1284" t="s">
        <v>122</v>
      </c>
      <c r="B1284" t="s">
        <v>122</v>
      </c>
      <c r="C1284" t="s">
        <v>123</v>
      </c>
      <c r="D1284" t="s">
        <v>101</v>
      </c>
      <c r="E1284" t="s">
        <v>99</v>
      </c>
      <c r="F1284" t="s">
        <v>12</v>
      </c>
      <c r="G1284">
        <v>1</v>
      </c>
      <c r="H1284">
        <v>130</v>
      </c>
      <c r="I1284">
        <v>0.89655172413793105</v>
      </c>
      <c r="J1284" s="25">
        <f t="shared" si="71"/>
        <v>0.89655172413793105</v>
      </c>
      <c r="K1284">
        <v>1349</v>
      </c>
      <c r="L1284">
        <v>8</v>
      </c>
      <c r="M1284">
        <v>5.8953574060427397E-3</v>
      </c>
      <c r="N1284" s="25">
        <f t="shared" si="70"/>
        <v>5.8953574060427449E-3</v>
      </c>
      <c r="O1284">
        <v>0.99410464259395703</v>
      </c>
      <c r="P1284" s="25">
        <f t="shared" si="72"/>
        <v>0.99410464259395726</v>
      </c>
      <c r="Q1284">
        <v>15</v>
      </c>
      <c r="R1284" t="s">
        <v>124</v>
      </c>
      <c r="S1284" t="s">
        <v>124</v>
      </c>
      <c r="T1284" t="s">
        <v>124</v>
      </c>
      <c r="U1284" t="s">
        <v>124</v>
      </c>
      <c r="X1284" s="19">
        <f t="shared" si="68"/>
        <v>0.89655172413793105</v>
      </c>
      <c r="Y1284" s="19">
        <f t="shared" si="69"/>
        <v>5.8953574060427449E-3</v>
      </c>
      <c r="Z1284" s="26"/>
    </row>
    <row r="1285" spans="1:26" x14ac:dyDescent="0.35">
      <c r="A1285" t="s">
        <v>122</v>
      </c>
      <c r="B1285" t="s">
        <v>122</v>
      </c>
      <c r="C1285" t="s">
        <v>123</v>
      </c>
      <c r="D1285" t="s">
        <v>101</v>
      </c>
      <c r="E1285" t="s">
        <v>99</v>
      </c>
      <c r="F1285" t="s">
        <v>12</v>
      </c>
      <c r="G1285">
        <v>1</v>
      </c>
      <c r="H1285">
        <v>130</v>
      </c>
      <c r="I1285">
        <v>0.89655172413793105</v>
      </c>
      <c r="J1285" s="25">
        <f t="shared" si="71"/>
        <v>0.89655172413793105</v>
      </c>
      <c r="K1285">
        <v>1349</v>
      </c>
      <c r="L1285">
        <v>8</v>
      </c>
      <c r="M1285">
        <v>5.8953574060427397E-3</v>
      </c>
      <c r="N1285" s="25">
        <f t="shared" si="70"/>
        <v>5.8953574060427449E-3</v>
      </c>
      <c r="O1285">
        <v>0.99410464259395703</v>
      </c>
      <c r="P1285" s="25">
        <f t="shared" si="72"/>
        <v>0.99410464259395726</v>
      </c>
      <c r="Q1285">
        <v>15</v>
      </c>
      <c r="R1285" t="s">
        <v>124</v>
      </c>
      <c r="S1285" t="s">
        <v>124</v>
      </c>
      <c r="T1285" t="s">
        <v>124</v>
      </c>
      <c r="U1285" t="s">
        <v>124</v>
      </c>
      <c r="X1285" s="19">
        <f t="shared" si="68"/>
        <v>0.89655172413793105</v>
      </c>
      <c r="Y1285" s="19">
        <f t="shared" si="69"/>
        <v>5.8953574060427449E-3</v>
      </c>
      <c r="Z1285" s="26"/>
    </row>
    <row r="1286" spans="1:26" x14ac:dyDescent="0.35">
      <c r="A1286" t="s">
        <v>122</v>
      </c>
      <c r="B1286" t="s">
        <v>122</v>
      </c>
      <c r="C1286" t="s">
        <v>123</v>
      </c>
      <c r="D1286" t="s">
        <v>101</v>
      </c>
      <c r="E1286" t="s">
        <v>99</v>
      </c>
      <c r="F1286" t="s">
        <v>12</v>
      </c>
      <c r="G1286">
        <v>1</v>
      </c>
      <c r="H1286">
        <v>130</v>
      </c>
      <c r="I1286">
        <v>0.89655172413793105</v>
      </c>
      <c r="J1286" s="25">
        <f t="shared" si="71"/>
        <v>0.89655172413793105</v>
      </c>
      <c r="K1286">
        <v>1349</v>
      </c>
      <c r="L1286">
        <v>8</v>
      </c>
      <c r="M1286">
        <v>5.8953574060427397E-3</v>
      </c>
      <c r="N1286" s="25">
        <f t="shared" si="70"/>
        <v>5.8953574060427449E-3</v>
      </c>
      <c r="O1286">
        <v>0.99410464259395703</v>
      </c>
      <c r="P1286" s="25">
        <f t="shared" si="72"/>
        <v>0.99410464259395726</v>
      </c>
      <c r="Q1286">
        <v>15</v>
      </c>
      <c r="R1286" t="s">
        <v>124</v>
      </c>
      <c r="S1286" t="s">
        <v>124</v>
      </c>
      <c r="T1286" t="s">
        <v>124</v>
      </c>
      <c r="U1286" t="s">
        <v>124</v>
      </c>
      <c r="X1286" s="19">
        <f t="shared" si="68"/>
        <v>0.89655172413793105</v>
      </c>
      <c r="Y1286" s="19">
        <f t="shared" si="69"/>
        <v>5.8953574060427449E-3</v>
      </c>
      <c r="Z1286" s="26"/>
    </row>
    <row r="1287" spans="1:26" x14ac:dyDescent="0.35">
      <c r="A1287" t="s">
        <v>122</v>
      </c>
      <c r="B1287" t="s">
        <v>122</v>
      </c>
      <c r="C1287" t="s">
        <v>123</v>
      </c>
      <c r="D1287" t="s">
        <v>101</v>
      </c>
      <c r="E1287" t="s">
        <v>99</v>
      </c>
      <c r="F1287" t="s">
        <v>12</v>
      </c>
      <c r="G1287">
        <v>1</v>
      </c>
      <c r="H1287">
        <v>130</v>
      </c>
      <c r="I1287">
        <v>0.89655172413793105</v>
      </c>
      <c r="J1287" s="25">
        <f t="shared" si="71"/>
        <v>0.89655172413793105</v>
      </c>
      <c r="K1287">
        <v>1349</v>
      </c>
      <c r="L1287">
        <v>8</v>
      </c>
      <c r="M1287">
        <v>5.8953574060427397E-3</v>
      </c>
      <c r="N1287" s="25">
        <f t="shared" si="70"/>
        <v>5.8953574060427449E-3</v>
      </c>
      <c r="O1287">
        <v>0.99410464259395703</v>
      </c>
      <c r="P1287" s="25">
        <f t="shared" si="72"/>
        <v>0.99410464259395726</v>
      </c>
      <c r="Q1287">
        <v>15</v>
      </c>
      <c r="R1287" t="s">
        <v>124</v>
      </c>
      <c r="S1287" t="s">
        <v>124</v>
      </c>
      <c r="T1287" t="s">
        <v>124</v>
      </c>
      <c r="U1287" t="s">
        <v>124</v>
      </c>
      <c r="X1287" s="19">
        <f t="shared" si="68"/>
        <v>0.89655172413793105</v>
      </c>
      <c r="Y1287" s="19">
        <f t="shared" si="69"/>
        <v>5.8953574060427449E-3</v>
      </c>
      <c r="Z1287" s="26"/>
    </row>
    <row r="1288" spans="1:26" x14ac:dyDescent="0.35">
      <c r="A1288" t="s">
        <v>122</v>
      </c>
      <c r="B1288" t="s">
        <v>122</v>
      </c>
      <c r="C1288" t="s">
        <v>123</v>
      </c>
      <c r="D1288" t="s">
        <v>101</v>
      </c>
      <c r="E1288" t="s">
        <v>99</v>
      </c>
      <c r="F1288" t="s">
        <v>12</v>
      </c>
      <c r="G1288">
        <v>1</v>
      </c>
      <c r="H1288">
        <v>130</v>
      </c>
      <c r="I1288">
        <v>0.89655172413793105</v>
      </c>
      <c r="J1288" s="25">
        <f t="shared" si="71"/>
        <v>0.89655172413793105</v>
      </c>
      <c r="K1288">
        <v>1349</v>
      </c>
      <c r="L1288">
        <v>8</v>
      </c>
      <c r="M1288">
        <v>5.8953574060427397E-3</v>
      </c>
      <c r="N1288" s="25">
        <f t="shared" si="70"/>
        <v>5.8953574060427449E-3</v>
      </c>
      <c r="O1288">
        <v>0.99410464259395703</v>
      </c>
      <c r="P1288" s="25">
        <f t="shared" si="72"/>
        <v>0.99410464259395726</v>
      </c>
      <c r="Q1288">
        <v>15</v>
      </c>
      <c r="R1288" t="s">
        <v>124</v>
      </c>
      <c r="S1288" t="s">
        <v>124</v>
      </c>
      <c r="T1288" t="s">
        <v>124</v>
      </c>
      <c r="U1288" t="s">
        <v>124</v>
      </c>
      <c r="X1288" s="19">
        <f t="shared" si="68"/>
        <v>0.89655172413793105</v>
      </c>
      <c r="Y1288" s="19">
        <f t="shared" si="69"/>
        <v>5.8953574060427449E-3</v>
      </c>
      <c r="Z1288" s="26"/>
    </row>
    <row r="1289" spans="1:26" x14ac:dyDescent="0.35">
      <c r="A1289" t="s">
        <v>122</v>
      </c>
      <c r="B1289" t="s">
        <v>122</v>
      </c>
      <c r="C1289" t="s">
        <v>123</v>
      </c>
      <c r="D1289" t="s">
        <v>101</v>
      </c>
      <c r="E1289" t="s">
        <v>99</v>
      </c>
      <c r="F1289" t="s">
        <v>12</v>
      </c>
      <c r="G1289">
        <v>1</v>
      </c>
      <c r="H1289">
        <v>130</v>
      </c>
      <c r="I1289">
        <v>0.89655172413793105</v>
      </c>
      <c r="J1289" s="25">
        <f t="shared" si="71"/>
        <v>0.89655172413793105</v>
      </c>
      <c r="K1289">
        <v>1349</v>
      </c>
      <c r="L1289">
        <v>8</v>
      </c>
      <c r="M1289">
        <v>5.8953574060427397E-3</v>
      </c>
      <c r="N1289" s="25">
        <f t="shared" si="70"/>
        <v>5.8953574060427449E-3</v>
      </c>
      <c r="O1289">
        <v>0.99410464259395703</v>
      </c>
      <c r="P1289" s="25">
        <f t="shared" si="72"/>
        <v>0.99410464259395726</v>
      </c>
      <c r="Q1289">
        <v>15</v>
      </c>
      <c r="R1289" t="s">
        <v>124</v>
      </c>
      <c r="S1289" t="s">
        <v>124</v>
      </c>
      <c r="T1289" t="s">
        <v>124</v>
      </c>
      <c r="U1289" t="s">
        <v>124</v>
      </c>
      <c r="X1289" s="19">
        <f t="shared" si="68"/>
        <v>0.89655172413793105</v>
      </c>
      <c r="Y1289" s="19">
        <f t="shared" si="69"/>
        <v>5.8953574060427449E-3</v>
      </c>
      <c r="Z1289" s="26"/>
    </row>
    <row r="1290" spans="1:26" x14ac:dyDescent="0.35">
      <c r="A1290" t="s">
        <v>122</v>
      </c>
      <c r="B1290" t="s">
        <v>122</v>
      </c>
      <c r="C1290" t="s">
        <v>123</v>
      </c>
      <c r="D1290" t="s">
        <v>101</v>
      </c>
      <c r="E1290" t="s">
        <v>99</v>
      </c>
      <c r="F1290" t="s">
        <v>12</v>
      </c>
      <c r="G1290">
        <v>1</v>
      </c>
      <c r="H1290">
        <v>130</v>
      </c>
      <c r="I1290">
        <v>0.89655172413793105</v>
      </c>
      <c r="J1290" s="25">
        <f t="shared" si="71"/>
        <v>0.89655172413793105</v>
      </c>
      <c r="K1290">
        <v>1349</v>
      </c>
      <c r="L1290">
        <v>8</v>
      </c>
      <c r="M1290">
        <v>5.8953574060427397E-3</v>
      </c>
      <c r="N1290" s="25">
        <f t="shared" si="70"/>
        <v>5.8953574060427449E-3</v>
      </c>
      <c r="O1290">
        <v>0.99410464259395703</v>
      </c>
      <c r="P1290" s="25">
        <f t="shared" si="72"/>
        <v>0.99410464259395726</v>
      </c>
      <c r="Q1290">
        <v>15</v>
      </c>
      <c r="R1290" t="s">
        <v>124</v>
      </c>
      <c r="S1290" t="s">
        <v>124</v>
      </c>
      <c r="T1290" t="s">
        <v>124</v>
      </c>
      <c r="U1290" t="s">
        <v>124</v>
      </c>
      <c r="X1290" s="19">
        <f t="shared" si="68"/>
        <v>0.89655172413793105</v>
      </c>
      <c r="Y1290" s="19">
        <f t="shared" si="69"/>
        <v>5.8953574060427449E-3</v>
      </c>
      <c r="Z1290" s="26"/>
    </row>
    <row r="1291" spans="1:26" x14ac:dyDescent="0.35">
      <c r="A1291" t="s">
        <v>122</v>
      </c>
      <c r="B1291" t="s">
        <v>122</v>
      </c>
      <c r="C1291" t="s">
        <v>123</v>
      </c>
      <c r="D1291" t="s">
        <v>101</v>
      </c>
      <c r="E1291" t="s">
        <v>99</v>
      </c>
      <c r="F1291" t="s">
        <v>12</v>
      </c>
      <c r="G1291">
        <v>1</v>
      </c>
      <c r="H1291">
        <v>130</v>
      </c>
      <c r="I1291">
        <v>0.89655172413793105</v>
      </c>
      <c r="J1291" s="25">
        <f t="shared" si="71"/>
        <v>0.89655172413793105</v>
      </c>
      <c r="K1291">
        <v>1349</v>
      </c>
      <c r="L1291">
        <v>8</v>
      </c>
      <c r="M1291">
        <v>5.8953574060427397E-3</v>
      </c>
      <c r="N1291" s="25">
        <f t="shared" si="70"/>
        <v>5.8953574060427449E-3</v>
      </c>
      <c r="O1291">
        <v>0.99410464259395703</v>
      </c>
      <c r="P1291" s="25">
        <f t="shared" si="72"/>
        <v>0.99410464259395726</v>
      </c>
      <c r="Q1291">
        <v>15</v>
      </c>
      <c r="R1291" t="s">
        <v>124</v>
      </c>
      <c r="S1291" t="s">
        <v>124</v>
      </c>
      <c r="T1291" t="s">
        <v>124</v>
      </c>
      <c r="U1291" t="s">
        <v>124</v>
      </c>
      <c r="X1291" s="19">
        <f t="shared" si="68"/>
        <v>0.89655172413793105</v>
      </c>
      <c r="Y1291" s="19">
        <f t="shared" si="69"/>
        <v>5.8953574060427449E-3</v>
      </c>
      <c r="Z1291" s="26"/>
    </row>
    <row r="1292" spans="1:26" x14ac:dyDescent="0.35">
      <c r="A1292" t="s">
        <v>122</v>
      </c>
      <c r="B1292" t="s">
        <v>122</v>
      </c>
      <c r="C1292" t="s">
        <v>123</v>
      </c>
      <c r="D1292" t="s">
        <v>101</v>
      </c>
      <c r="E1292" t="s">
        <v>99</v>
      </c>
      <c r="F1292" t="s">
        <v>12</v>
      </c>
      <c r="G1292">
        <v>1</v>
      </c>
      <c r="H1292">
        <v>130</v>
      </c>
      <c r="I1292">
        <v>0.89655172413793105</v>
      </c>
      <c r="J1292" s="25">
        <f t="shared" si="71"/>
        <v>0.89655172413793105</v>
      </c>
      <c r="K1292">
        <v>1349</v>
      </c>
      <c r="L1292">
        <v>8</v>
      </c>
      <c r="M1292">
        <v>5.8953574060427397E-3</v>
      </c>
      <c r="N1292" s="25">
        <f t="shared" si="70"/>
        <v>5.8953574060427449E-3</v>
      </c>
      <c r="O1292">
        <v>0.99410464259395703</v>
      </c>
      <c r="P1292" s="25">
        <f t="shared" si="72"/>
        <v>0.99410464259395726</v>
      </c>
      <c r="Q1292">
        <v>15</v>
      </c>
      <c r="R1292" t="s">
        <v>124</v>
      </c>
      <c r="S1292" t="s">
        <v>124</v>
      </c>
      <c r="T1292" t="s">
        <v>124</v>
      </c>
      <c r="U1292" t="s">
        <v>124</v>
      </c>
      <c r="X1292" s="19">
        <f t="shared" si="68"/>
        <v>0.89655172413793105</v>
      </c>
      <c r="Y1292" s="19">
        <f t="shared" si="69"/>
        <v>5.8953574060427449E-3</v>
      </c>
      <c r="Z1292" s="26"/>
    </row>
    <row r="1293" spans="1:26" x14ac:dyDescent="0.35">
      <c r="A1293" t="s">
        <v>122</v>
      </c>
      <c r="B1293" t="s">
        <v>122</v>
      </c>
      <c r="C1293" t="s">
        <v>123</v>
      </c>
      <c r="D1293" t="s">
        <v>101</v>
      </c>
      <c r="E1293" t="s">
        <v>99</v>
      </c>
      <c r="F1293" t="s">
        <v>12</v>
      </c>
      <c r="G1293">
        <v>1</v>
      </c>
      <c r="H1293">
        <v>130</v>
      </c>
      <c r="I1293">
        <v>0.89655172413793105</v>
      </c>
      <c r="J1293" s="25">
        <f t="shared" si="71"/>
        <v>0.89655172413793105</v>
      </c>
      <c r="K1293">
        <v>1349</v>
      </c>
      <c r="L1293">
        <v>8</v>
      </c>
      <c r="M1293">
        <v>5.8953574060427397E-3</v>
      </c>
      <c r="N1293" s="25">
        <f t="shared" si="70"/>
        <v>5.8953574060427449E-3</v>
      </c>
      <c r="O1293">
        <v>0.99410464259395703</v>
      </c>
      <c r="P1293" s="25">
        <f t="shared" si="72"/>
        <v>0.99410464259395726</v>
      </c>
      <c r="Q1293">
        <v>15</v>
      </c>
      <c r="R1293" t="s">
        <v>124</v>
      </c>
      <c r="S1293" t="s">
        <v>124</v>
      </c>
      <c r="T1293" t="s">
        <v>124</v>
      </c>
      <c r="U1293" t="s">
        <v>124</v>
      </c>
      <c r="X1293" s="19">
        <f t="shared" si="68"/>
        <v>0.89655172413793105</v>
      </c>
      <c r="Y1293" s="19">
        <f t="shared" si="69"/>
        <v>5.8953574060427449E-3</v>
      </c>
      <c r="Z1293" s="26"/>
    </row>
    <row r="1294" spans="1:26" x14ac:dyDescent="0.35">
      <c r="A1294" t="s">
        <v>122</v>
      </c>
      <c r="B1294" t="s">
        <v>122</v>
      </c>
      <c r="C1294" t="s">
        <v>123</v>
      </c>
      <c r="D1294" t="s">
        <v>101</v>
      </c>
      <c r="E1294" t="s">
        <v>99</v>
      </c>
      <c r="F1294" t="s">
        <v>12</v>
      </c>
      <c r="G1294">
        <v>1</v>
      </c>
      <c r="H1294">
        <v>130</v>
      </c>
      <c r="I1294">
        <v>0.89655172413793105</v>
      </c>
      <c r="J1294" s="25">
        <f t="shared" si="71"/>
        <v>0.89655172413793105</v>
      </c>
      <c r="K1294">
        <v>1349</v>
      </c>
      <c r="L1294">
        <v>8</v>
      </c>
      <c r="M1294">
        <v>5.8953574060427397E-3</v>
      </c>
      <c r="N1294" s="25">
        <f t="shared" si="70"/>
        <v>5.8953574060427449E-3</v>
      </c>
      <c r="O1294">
        <v>0.99410464259395703</v>
      </c>
      <c r="P1294" s="25">
        <f t="shared" si="72"/>
        <v>0.99410464259395726</v>
      </c>
      <c r="Q1294">
        <v>15</v>
      </c>
      <c r="R1294" t="s">
        <v>124</v>
      </c>
      <c r="S1294" t="s">
        <v>124</v>
      </c>
      <c r="T1294" t="s">
        <v>124</v>
      </c>
      <c r="U1294" t="s">
        <v>124</v>
      </c>
      <c r="X1294" s="19">
        <f t="shared" si="68"/>
        <v>0.89655172413793105</v>
      </c>
      <c r="Y1294" s="19">
        <f t="shared" si="69"/>
        <v>5.8953574060427449E-3</v>
      </c>
      <c r="Z1294" s="26"/>
    </row>
    <row r="1295" spans="1:26" x14ac:dyDescent="0.35">
      <c r="A1295" t="s">
        <v>122</v>
      </c>
      <c r="B1295" t="s">
        <v>122</v>
      </c>
      <c r="C1295" t="s">
        <v>123</v>
      </c>
      <c r="D1295" t="s">
        <v>101</v>
      </c>
      <c r="E1295" t="s">
        <v>99</v>
      </c>
      <c r="F1295" t="s">
        <v>12</v>
      </c>
      <c r="G1295">
        <v>1</v>
      </c>
      <c r="H1295">
        <v>130</v>
      </c>
      <c r="I1295">
        <v>0.89655172413793105</v>
      </c>
      <c r="J1295" s="25">
        <f t="shared" si="71"/>
        <v>0.89655172413793105</v>
      </c>
      <c r="K1295">
        <v>1349</v>
      </c>
      <c r="L1295">
        <v>8</v>
      </c>
      <c r="M1295">
        <v>5.8953574060427397E-3</v>
      </c>
      <c r="N1295" s="25">
        <f t="shared" si="70"/>
        <v>5.8953574060427449E-3</v>
      </c>
      <c r="O1295">
        <v>0.99410464259395703</v>
      </c>
      <c r="P1295" s="25">
        <f t="shared" si="72"/>
        <v>0.99410464259395726</v>
      </c>
      <c r="Q1295">
        <v>15</v>
      </c>
      <c r="R1295" t="s">
        <v>124</v>
      </c>
      <c r="S1295" t="s">
        <v>124</v>
      </c>
      <c r="T1295" t="s">
        <v>124</v>
      </c>
      <c r="U1295" t="s">
        <v>124</v>
      </c>
      <c r="X1295" s="19">
        <f t="shared" si="68"/>
        <v>0.89655172413793105</v>
      </c>
      <c r="Y1295" s="19">
        <f t="shared" si="69"/>
        <v>5.8953574060427449E-3</v>
      </c>
      <c r="Z1295" s="26"/>
    </row>
    <row r="1296" spans="1:26" x14ac:dyDescent="0.35">
      <c r="A1296" t="s">
        <v>122</v>
      </c>
      <c r="B1296" t="s">
        <v>122</v>
      </c>
      <c r="C1296" t="s">
        <v>123</v>
      </c>
      <c r="D1296" t="s">
        <v>101</v>
      </c>
      <c r="E1296" t="s">
        <v>99</v>
      </c>
      <c r="F1296" t="s">
        <v>12</v>
      </c>
      <c r="G1296">
        <v>1</v>
      </c>
      <c r="H1296">
        <v>130</v>
      </c>
      <c r="I1296">
        <v>0.89655172413793105</v>
      </c>
      <c r="J1296" s="25">
        <f t="shared" si="71"/>
        <v>0.89655172413793105</v>
      </c>
      <c r="K1296">
        <v>1349</v>
      </c>
      <c r="L1296">
        <v>8</v>
      </c>
      <c r="M1296">
        <v>5.8953574060427397E-3</v>
      </c>
      <c r="N1296" s="25">
        <f t="shared" si="70"/>
        <v>5.8953574060427449E-3</v>
      </c>
      <c r="O1296">
        <v>0.99410464259395703</v>
      </c>
      <c r="P1296" s="25">
        <f t="shared" si="72"/>
        <v>0.99410464259395726</v>
      </c>
      <c r="Q1296">
        <v>15</v>
      </c>
      <c r="R1296" t="s">
        <v>124</v>
      </c>
      <c r="S1296" t="s">
        <v>124</v>
      </c>
      <c r="T1296" t="s">
        <v>124</v>
      </c>
      <c r="U1296" t="s">
        <v>124</v>
      </c>
      <c r="X1296" s="19">
        <f t="shared" si="68"/>
        <v>0.89655172413793105</v>
      </c>
      <c r="Y1296" s="19">
        <f t="shared" si="69"/>
        <v>5.8953574060427449E-3</v>
      </c>
      <c r="Z1296" s="26"/>
    </row>
    <row r="1297" spans="1:26" x14ac:dyDescent="0.35">
      <c r="A1297" t="s">
        <v>122</v>
      </c>
      <c r="B1297" t="s">
        <v>122</v>
      </c>
      <c r="C1297" t="s">
        <v>123</v>
      </c>
      <c r="D1297" t="s">
        <v>101</v>
      </c>
      <c r="E1297" t="s">
        <v>99</v>
      </c>
      <c r="F1297" t="s">
        <v>12</v>
      </c>
      <c r="G1297">
        <v>1</v>
      </c>
      <c r="H1297">
        <v>130</v>
      </c>
      <c r="I1297">
        <v>0.89655172413793105</v>
      </c>
      <c r="J1297" s="25">
        <f t="shared" si="71"/>
        <v>0.89655172413793105</v>
      </c>
      <c r="K1297">
        <v>1349</v>
      </c>
      <c r="L1297">
        <v>8</v>
      </c>
      <c r="M1297">
        <v>5.8953574060427397E-3</v>
      </c>
      <c r="N1297" s="25">
        <f t="shared" si="70"/>
        <v>5.8953574060427449E-3</v>
      </c>
      <c r="O1297">
        <v>0.99410464259395703</v>
      </c>
      <c r="P1297" s="25">
        <f t="shared" si="72"/>
        <v>0.99410464259395726</v>
      </c>
      <c r="Q1297">
        <v>15</v>
      </c>
      <c r="R1297" t="s">
        <v>124</v>
      </c>
      <c r="S1297" t="s">
        <v>124</v>
      </c>
      <c r="T1297" t="s">
        <v>124</v>
      </c>
      <c r="U1297" t="s">
        <v>124</v>
      </c>
      <c r="X1297" s="19">
        <f t="shared" si="68"/>
        <v>0.89655172413793105</v>
      </c>
      <c r="Y1297" s="19">
        <f t="shared" si="69"/>
        <v>5.8953574060427449E-3</v>
      </c>
      <c r="Z1297" s="26"/>
    </row>
    <row r="1298" spans="1:26" x14ac:dyDescent="0.35">
      <c r="A1298" t="s">
        <v>122</v>
      </c>
      <c r="B1298" t="s">
        <v>122</v>
      </c>
      <c r="C1298" t="s">
        <v>123</v>
      </c>
      <c r="D1298" t="s">
        <v>101</v>
      </c>
      <c r="E1298" t="s">
        <v>99</v>
      </c>
      <c r="F1298" t="s">
        <v>12</v>
      </c>
      <c r="G1298">
        <v>1</v>
      </c>
      <c r="H1298">
        <v>130</v>
      </c>
      <c r="I1298">
        <v>0.89655172413793105</v>
      </c>
      <c r="J1298" s="25">
        <f t="shared" si="71"/>
        <v>0.89655172413793105</v>
      </c>
      <c r="K1298">
        <v>1349</v>
      </c>
      <c r="L1298">
        <v>8</v>
      </c>
      <c r="M1298">
        <v>5.8953574060427397E-3</v>
      </c>
      <c r="N1298" s="25">
        <f t="shared" si="70"/>
        <v>5.8953574060427449E-3</v>
      </c>
      <c r="O1298">
        <v>0.99410464259395703</v>
      </c>
      <c r="P1298" s="25">
        <f t="shared" si="72"/>
        <v>0.99410464259395726</v>
      </c>
      <c r="Q1298">
        <v>15</v>
      </c>
      <c r="R1298" t="s">
        <v>124</v>
      </c>
      <c r="S1298" t="s">
        <v>124</v>
      </c>
      <c r="T1298" t="s">
        <v>124</v>
      </c>
      <c r="U1298" t="s">
        <v>124</v>
      </c>
      <c r="X1298" s="19">
        <f t="shared" si="68"/>
        <v>0.89655172413793105</v>
      </c>
      <c r="Y1298" s="19">
        <f t="shared" si="69"/>
        <v>5.8953574060427449E-3</v>
      </c>
      <c r="Z1298" s="26"/>
    </row>
    <row r="1299" spans="1:26" x14ac:dyDescent="0.35">
      <c r="A1299" t="s">
        <v>122</v>
      </c>
      <c r="B1299" t="s">
        <v>122</v>
      </c>
      <c r="C1299" t="s">
        <v>123</v>
      </c>
      <c r="D1299" t="s">
        <v>101</v>
      </c>
      <c r="E1299" t="s">
        <v>99</v>
      </c>
      <c r="F1299" t="s">
        <v>12</v>
      </c>
      <c r="G1299">
        <v>1</v>
      </c>
      <c r="H1299">
        <v>130</v>
      </c>
      <c r="I1299">
        <v>0.89655172413793105</v>
      </c>
      <c r="J1299" s="25">
        <f t="shared" si="71"/>
        <v>0.89655172413793105</v>
      </c>
      <c r="K1299">
        <v>1349</v>
      </c>
      <c r="L1299">
        <v>8</v>
      </c>
      <c r="M1299">
        <v>5.8953574060427397E-3</v>
      </c>
      <c r="N1299" s="25">
        <f t="shared" si="70"/>
        <v>5.8953574060427449E-3</v>
      </c>
      <c r="O1299">
        <v>0.99410464259395703</v>
      </c>
      <c r="P1299" s="25">
        <f t="shared" si="72"/>
        <v>0.99410464259395726</v>
      </c>
      <c r="Q1299">
        <v>15</v>
      </c>
      <c r="R1299" t="s">
        <v>124</v>
      </c>
      <c r="S1299" t="s">
        <v>124</v>
      </c>
      <c r="T1299" t="s">
        <v>124</v>
      </c>
      <c r="U1299" t="s">
        <v>124</v>
      </c>
      <c r="X1299" s="19">
        <f t="shared" si="68"/>
        <v>0.89655172413793105</v>
      </c>
      <c r="Y1299" s="19">
        <f t="shared" si="69"/>
        <v>5.8953574060427449E-3</v>
      </c>
      <c r="Z1299" s="26"/>
    </row>
    <row r="1300" spans="1:26" x14ac:dyDescent="0.35">
      <c r="A1300" t="s">
        <v>122</v>
      </c>
      <c r="B1300" t="s">
        <v>122</v>
      </c>
      <c r="C1300" t="s">
        <v>123</v>
      </c>
      <c r="D1300" t="s">
        <v>101</v>
      </c>
      <c r="E1300" t="s">
        <v>99</v>
      </c>
      <c r="F1300" t="s">
        <v>12</v>
      </c>
      <c r="G1300">
        <v>1</v>
      </c>
      <c r="H1300">
        <v>130</v>
      </c>
      <c r="I1300">
        <v>0.89655172413793105</v>
      </c>
      <c r="J1300" s="25">
        <f t="shared" si="71"/>
        <v>0.89655172413793105</v>
      </c>
      <c r="K1300">
        <v>1349</v>
      </c>
      <c r="L1300">
        <v>8</v>
      </c>
      <c r="M1300">
        <v>5.8953574060427397E-3</v>
      </c>
      <c r="N1300" s="25">
        <f t="shared" si="70"/>
        <v>5.8953574060427449E-3</v>
      </c>
      <c r="O1300">
        <v>0.99410464259395703</v>
      </c>
      <c r="P1300" s="25">
        <f t="shared" si="72"/>
        <v>0.99410464259395726</v>
      </c>
      <c r="Q1300">
        <v>15</v>
      </c>
      <c r="R1300" t="s">
        <v>124</v>
      </c>
      <c r="S1300" t="s">
        <v>124</v>
      </c>
      <c r="T1300" t="s">
        <v>124</v>
      </c>
      <c r="U1300" t="s">
        <v>124</v>
      </c>
      <c r="X1300" s="19">
        <f t="shared" si="68"/>
        <v>0.89655172413793105</v>
      </c>
      <c r="Y1300" s="19">
        <f t="shared" si="69"/>
        <v>5.8953574060427449E-3</v>
      </c>
      <c r="Z1300" s="26"/>
    </row>
    <row r="1301" spans="1:26" x14ac:dyDescent="0.35">
      <c r="A1301" t="s">
        <v>122</v>
      </c>
      <c r="B1301" t="s">
        <v>122</v>
      </c>
      <c r="C1301" t="s">
        <v>123</v>
      </c>
      <c r="D1301" t="s">
        <v>101</v>
      </c>
      <c r="E1301" t="s">
        <v>99</v>
      </c>
      <c r="F1301" t="s">
        <v>12</v>
      </c>
      <c r="G1301">
        <v>1</v>
      </c>
      <c r="H1301">
        <v>130</v>
      </c>
      <c r="I1301">
        <v>0.89655172413793105</v>
      </c>
      <c r="J1301" s="25">
        <f t="shared" si="71"/>
        <v>0.89655172413793105</v>
      </c>
      <c r="K1301">
        <v>1349</v>
      </c>
      <c r="L1301">
        <v>8</v>
      </c>
      <c r="M1301">
        <v>5.8953574060427397E-3</v>
      </c>
      <c r="N1301" s="25">
        <f t="shared" si="70"/>
        <v>5.8953574060427449E-3</v>
      </c>
      <c r="O1301">
        <v>0.99410464259395703</v>
      </c>
      <c r="P1301" s="25">
        <f t="shared" si="72"/>
        <v>0.99410464259395726</v>
      </c>
      <c r="Q1301">
        <v>15</v>
      </c>
      <c r="R1301" t="s">
        <v>124</v>
      </c>
      <c r="S1301" t="s">
        <v>124</v>
      </c>
      <c r="T1301" t="s">
        <v>124</v>
      </c>
      <c r="U1301" t="s">
        <v>124</v>
      </c>
      <c r="X1301" s="19">
        <f t="shared" si="68"/>
        <v>0.89655172413793105</v>
      </c>
      <c r="Y1301" s="19">
        <f t="shared" si="69"/>
        <v>5.8953574060427449E-3</v>
      </c>
      <c r="Z1301" s="26"/>
    </row>
    <row r="1302" spans="1:26" x14ac:dyDescent="0.35">
      <c r="A1302" t="s">
        <v>122</v>
      </c>
      <c r="B1302" t="s">
        <v>122</v>
      </c>
      <c r="C1302" t="s">
        <v>123</v>
      </c>
      <c r="D1302" t="s">
        <v>101</v>
      </c>
      <c r="E1302" t="s">
        <v>99</v>
      </c>
      <c r="F1302" t="s">
        <v>12</v>
      </c>
      <c r="G1302">
        <v>1</v>
      </c>
      <c r="H1302">
        <v>130</v>
      </c>
      <c r="I1302">
        <v>0.89655172413793105</v>
      </c>
      <c r="J1302" s="25">
        <f t="shared" si="71"/>
        <v>0.89655172413793105</v>
      </c>
      <c r="K1302">
        <v>1349</v>
      </c>
      <c r="L1302">
        <v>8</v>
      </c>
      <c r="M1302">
        <v>5.8953574060427397E-3</v>
      </c>
      <c r="N1302" s="25">
        <f t="shared" si="70"/>
        <v>5.8953574060427449E-3</v>
      </c>
      <c r="O1302">
        <v>0.99410464259395703</v>
      </c>
      <c r="P1302" s="25">
        <f t="shared" si="72"/>
        <v>0.99410464259395726</v>
      </c>
      <c r="Q1302">
        <v>15</v>
      </c>
      <c r="R1302" t="s">
        <v>124</v>
      </c>
      <c r="S1302" t="s">
        <v>124</v>
      </c>
      <c r="T1302" t="s">
        <v>124</v>
      </c>
      <c r="U1302" t="s">
        <v>124</v>
      </c>
      <c r="X1302" s="19">
        <f t="shared" si="68"/>
        <v>0.89655172413793105</v>
      </c>
      <c r="Y1302" s="19">
        <f t="shared" si="69"/>
        <v>5.8953574060427449E-3</v>
      </c>
      <c r="Z1302" s="26"/>
    </row>
    <row r="1303" spans="1:26" x14ac:dyDescent="0.35">
      <c r="A1303" t="s">
        <v>122</v>
      </c>
      <c r="B1303" t="s">
        <v>122</v>
      </c>
      <c r="C1303" t="s">
        <v>123</v>
      </c>
      <c r="D1303" t="s">
        <v>101</v>
      </c>
      <c r="E1303" t="s">
        <v>99</v>
      </c>
      <c r="F1303" t="s">
        <v>12</v>
      </c>
      <c r="G1303">
        <v>1</v>
      </c>
      <c r="H1303">
        <v>130</v>
      </c>
      <c r="I1303">
        <v>0.89655172413793105</v>
      </c>
      <c r="J1303" s="25">
        <f t="shared" si="71"/>
        <v>0.89655172413793105</v>
      </c>
      <c r="K1303">
        <v>1349</v>
      </c>
      <c r="L1303">
        <v>8</v>
      </c>
      <c r="M1303">
        <v>5.8953574060427397E-3</v>
      </c>
      <c r="N1303" s="25">
        <f t="shared" si="70"/>
        <v>5.8953574060427449E-3</v>
      </c>
      <c r="O1303">
        <v>0.99410464259395703</v>
      </c>
      <c r="P1303" s="25">
        <f t="shared" si="72"/>
        <v>0.99410464259395726</v>
      </c>
      <c r="Q1303">
        <v>15</v>
      </c>
      <c r="R1303" t="s">
        <v>124</v>
      </c>
      <c r="S1303" t="s">
        <v>124</v>
      </c>
      <c r="T1303" t="s">
        <v>124</v>
      </c>
      <c r="U1303" t="s">
        <v>124</v>
      </c>
      <c r="X1303" s="19">
        <f t="shared" si="68"/>
        <v>0.89655172413793105</v>
      </c>
      <c r="Y1303" s="19">
        <f t="shared" si="69"/>
        <v>5.8953574060427449E-3</v>
      </c>
      <c r="Z1303" s="26"/>
    </row>
    <row r="1304" spans="1:26" x14ac:dyDescent="0.35">
      <c r="A1304" t="s">
        <v>122</v>
      </c>
      <c r="B1304" t="s">
        <v>122</v>
      </c>
      <c r="C1304" t="s">
        <v>123</v>
      </c>
      <c r="D1304" t="s">
        <v>101</v>
      </c>
      <c r="E1304" t="s">
        <v>99</v>
      </c>
      <c r="F1304" t="s">
        <v>12</v>
      </c>
      <c r="G1304">
        <v>1</v>
      </c>
      <c r="H1304">
        <v>130</v>
      </c>
      <c r="I1304">
        <v>0.89655172413793105</v>
      </c>
      <c r="J1304" s="25">
        <f t="shared" si="71"/>
        <v>0.89655172413793105</v>
      </c>
      <c r="K1304">
        <v>1349</v>
      </c>
      <c r="L1304">
        <v>8</v>
      </c>
      <c r="M1304">
        <v>5.8953574060427397E-3</v>
      </c>
      <c r="N1304" s="25">
        <f t="shared" si="70"/>
        <v>5.8953574060427449E-3</v>
      </c>
      <c r="O1304">
        <v>0.99410464259395703</v>
      </c>
      <c r="P1304" s="25">
        <f t="shared" si="72"/>
        <v>0.99410464259395726</v>
      </c>
      <c r="Q1304">
        <v>15</v>
      </c>
      <c r="R1304" t="s">
        <v>124</v>
      </c>
      <c r="S1304" t="s">
        <v>124</v>
      </c>
      <c r="T1304" t="s">
        <v>124</v>
      </c>
      <c r="U1304" t="s">
        <v>124</v>
      </c>
      <c r="X1304" s="19">
        <f t="shared" si="68"/>
        <v>0.89655172413793105</v>
      </c>
      <c r="Y1304" s="19">
        <f t="shared" si="69"/>
        <v>5.8953574060427449E-3</v>
      </c>
      <c r="Z1304" s="26"/>
    </row>
    <row r="1305" spans="1:26" x14ac:dyDescent="0.35">
      <c r="A1305" t="s">
        <v>122</v>
      </c>
      <c r="B1305" t="s">
        <v>122</v>
      </c>
      <c r="C1305" t="s">
        <v>123</v>
      </c>
      <c r="D1305" t="s">
        <v>101</v>
      </c>
      <c r="E1305" t="s">
        <v>99</v>
      </c>
      <c r="F1305" t="s">
        <v>12</v>
      </c>
      <c r="G1305">
        <v>1</v>
      </c>
      <c r="H1305">
        <v>130</v>
      </c>
      <c r="I1305">
        <v>0.89655172413793105</v>
      </c>
      <c r="J1305" s="25">
        <f t="shared" si="71"/>
        <v>0.89655172413793105</v>
      </c>
      <c r="K1305">
        <v>1349</v>
      </c>
      <c r="L1305">
        <v>8</v>
      </c>
      <c r="M1305">
        <v>5.8953574060427397E-3</v>
      </c>
      <c r="N1305" s="25">
        <f t="shared" si="70"/>
        <v>5.8953574060427449E-3</v>
      </c>
      <c r="O1305">
        <v>0.99410464259395703</v>
      </c>
      <c r="P1305" s="25">
        <f t="shared" si="72"/>
        <v>0.99410464259395726</v>
      </c>
      <c r="Q1305">
        <v>15</v>
      </c>
      <c r="R1305" t="s">
        <v>124</v>
      </c>
      <c r="S1305" t="s">
        <v>124</v>
      </c>
      <c r="T1305" t="s">
        <v>124</v>
      </c>
      <c r="U1305" t="s">
        <v>124</v>
      </c>
      <c r="X1305" s="19">
        <f t="shared" si="68"/>
        <v>0.89655172413793105</v>
      </c>
      <c r="Y1305" s="19">
        <f t="shared" si="69"/>
        <v>5.8953574060427449E-3</v>
      </c>
      <c r="Z1305" s="26"/>
    </row>
    <row r="1306" spans="1:26" x14ac:dyDescent="0.35">
      <c r="A1306" t="s">
        <v>122</v>
      </c>
      <c r="B1306" t="s">
        <v>122</v>
      </c>
      <c r="C1306" t="s">
        <v>123</v>
      </c>
      <c r="D1306" t="s">
        <v>101</v>
      </c>
      <c r="E1306" t="s">
        <v>99</v>
      </c>
      <c r="F1306" t="s">
        <v>12</v>
      </c>
      <c r="G1306">
        <v>1</v>
      </c>
      <c r="H1306">
        <v>130</v>
      </c>
      <c r="I1306">
        <v>0.89655172413793105</v>
      </c>
      <c r="J1306" s="25">
        <f t="shared" si="71"/>
        <v>0.89655172413793105</v>
      </c>
      <c r="K1306">
        <v>1349</v>
      </c>
      <c r="L1306">
        <v>8</v>
      </c>
      <c r="M1306">
        <v>5.8953574060427397E-3</v>
      </c>
      <c r="N1306" s="25">
        <f t="shared" si="70"/>
        <v>5.8953574060427449E-3</v>
      </c>
      <c r="O1306">
        <v>0.99410464259395703</v>
      </c>
      <c r="P1306" s="25">
        <f t="shared" si="72"/>
        <v>0.99410464259395726</v>
      </c>
      <c r="Q1306">
        <v>15</v>
      </c>
      <c r="R1306" t="s">
        <v>124</v>
      </c>
      <c r="S1306" t="s">
        <v>124</v>
      </c>
      <c r="T1306" t="s">
        <v>124</v>
      </c>
      <c r="U1306" t="s">
        <v>124</v>
      </c>
      <c r="X1306" s="19">
        <f t="shared" si="68"/>
        <v>0.89655172413793105</v>
      </c>
      <c r="Y1306" s="19">
        <f t="shared" si="69"/>
        <v>5.8953574060427449E-3</v>
      </c>
      <c r="Z1306" s="26"/>
    </row>
    <row r="1307" spans="1:26" x14ac:dyDescent="0.35">
      <c r="A1307" t="s">
        <v>122</v>
      </c>
      <c r="B1307" t="s">
        <v>122</v>
      </c>
      <c r="C1307" t="s">
        <v>123</v>
      </c>
      <c r="D1307" t="s">
        <v>101</v>
      </c>
      <c r="E1307" t="s">
        <v>99</v>
      </c>
      <c r="F1307" t="s">
        <v>12</v>
      </c>
      <c r="G1307">
        <v>1</v>
      </c>
      <c r="H1307">
        <v>130</v>
      </c>
      <c r="I1307">
        <v>0.89655172413793105</v>
      </c>
      <c r="J1307" s="25">
        <f t="shared" si="71"/>
        <v>0.89655172413793105</v>
      </c>
      <c r="K1307">
        <v>1349</v>
      </c>
      <c r="L1307">
        <v>8</v>
      </c>
      <c r="M1307">
        <v>5.8953574060427397E-3</v>
      </c>
      <c r="N1307" s="25">
        <f t="shared" si="70"/>
        <v>5.8953574060427449E-3</v>
      </c>
      <c r="O1307">
        <v>0.99410464259395703</v>
      </c>
      <c r="P1307" s="25">
        <f t="shared" si="72"/>
        <v>0.99410464259395726</v>
      </c>
      <c r="Q1307">
        <v>15</v>
      </c>
      <c r="R1307" t="s">
        <v>124</v>
      </c>
      <c r="S1307" t="s">
        <v>124</v>
      </c>
      <c r="T1307" t="s">
        <v>124</v>
      </c>
      <c r="U1307" t="s">
        <v>124</v>
      </c>
      <c r="X1307" s="19">
        <f t="shared" si="68"/>
        <v>0.89655172413793105</v>
      </c>
      <c r="Y1307" s="19">
        <f t="shared" si="69"/>
        <v>5.8953574060427449E-3</v>
      </c>
      <c r="Z1307" s="26"/>
    </row>
    <row r="1308" spans="1:26" x14ac:dyDescent="0.35">
      <c r="A1308" t="s">
        <v>122</v>
      </c>
      <c r="B1308" t="s">
        <v>122</v>
      </c>
      <c r="C1308" t="s">
        <v>123</v>
      </c>
      <c r="D1308" t="s">
        <v>101</v>
      </c>
      <c r="E1308" t="s">
        <v>99</v>
      </c>
      <c r="F1308" t="s">
        <v>12</v>
      </c>
      <c r="G1308">
        <v>1</v>
      </c>
      <c r="H1308">
        <v>130</v>
      </c>
      <c r="I1308">
        <v>0.89655172413793105</v>
      </c>
      <c r="J1308" s="25">
        <f t="shared" si="71"/>
        <v>0.89655172413793105</v>
      </c>
      <c r="K1308">
        <v>1349</v>
      </c>
      <c r="L1308">
        <v>8</v>
      </c>
      <c r="M1308">
        <v>5.8953574060427397E-3</v>
      </c>
      <c r="N1308" s="25">
        <f t="shared" si="70"/>
        <v>5.8953574060427449E-3</v>
      </c>
      <c r="O1308">
        <v>0.99410464259395703</v>
      </c>
      <c r="P1308" s="25">
        <f t="shared" si="72"/>
        <v>0.99410464259395726</v>
      </c>
      <c r="Q1308">
        <v>15</v>
      </c>
      <c r="R1308" t="s">
        <v>124</v>
      </c>
      <c r="S1308" t="s">
        <v>124</v>
      </c>
      <c r="T1308" t="s">
        <v>124</v>
      </c>
      <c r="U1308" t="s">
        <v>124</v>
      </c>
      <c r="X1308" s="19">
        <f t="shared" si="68"/>
        <v>0.89655172413793105</v>
      </c>
      <c r="Y1308" s="19">
        <f t="shared" si="69"/>
        <v>5.8953574060427449E-3</v>
      </c>
      <c r="Z1308" s="26"/>
    </row>
    <row r="1309" spans="1:26" x14ac:dyDescent="0.35">
      <c r="A1309" t="s">
        <v>122</v>
      </c>
      <c r="B1309" t="s">
        <v>122</v>
      </c>
      <c r="C1309" t="s">
        <v>123</v>
      </c>
      <c r="D1309" t="s">
        <v>101</v>
      </c>
      <c r="E1309" t="s">
        <v>99</v>
      </c>
      <c r="F1309" t="s">
        <v>12</v>
      </c>
      <c r="G1309">
        <v>1</v>
      </c>
      <c r="H1309">
        <v>130</v>
      </c>
      <c r="I1309">
        <v>0.89655172413793105</v>
      </c>
      <c r="J1309" s="25">
        <f t="shared" si="71"/>
        <v>0.89655172413793105</v>
      </c>
      <c r="K1309">
        <v>1349</v>
      </c>
      <c r="L1309">
        <v>8</v>
      </c>
      <c r="M1309">
        <v>5.8953574060427397E-3</v>
      </c>
      <c r="N1309" s="25">
        <f t="shared" si="70"/>
        <v>5.8953574060427449E-3</v>
      </c>
      <c r="O1309">
        <v>0.99410464259395703</v>
      </c>
      <c r="P1309" s="25">
        <f t="shared" si="72"/>
        <v>0.99410464259395726</v>
      </c>
      <c r="Q1309">
        <v>15</v>
      </c>
      <c r="R1309" t="s">
        <v>124</v>
      </c>
      <c r="S1309" t="s">
        <v>124</v>
      </c>
      <c r="T1309" t="s">
        <v>124</v>
      </c>
      <c r="U1309" t="s">
        <v>124</v>
      </c>
      <c r="X1309" s="19">
        <f t="shared" si="68"/>
        <v>0.89655172413793105</v>
      </c>
      <c r="Y1309" s="19">
        <f t="shared" si="69"/>
        <v>5.8953574060427449E-3</v>
      </c>
      <c r="Z1309" s="26"/>
    </row>
    <row r="1310" spans="1:26" x14ac:dyDescent="0.35">
      <c r="A1310" t="s">
        <v>122</v>
      </c>
      <c r="B1310" t="s">
        <v>122</v>
      </c>
      <c r="C1310" t="s">
        <v>123</v>
      </c>
      <c r="D1310" t="s">
        <v>101</v>
      </c>
      <c r="E1310" t="s">
        <v>99</v>
      </c>
      <c r="F1310" t="s">
        <v>12</v>
      </c>
      <c r="G1310">
        <v>1</v>
      </c>
      <c r="H1310">
        <v>130</v>
      </c>
      <c r="I1310">
        <v>0.89655172413793105</v>
      </c>
      <c r="J1310" s="25">
        <f t="shared" si="71"/>
        <v>0.89655172413793105</v>
      </c>
      <c r="K1310">
        <v>1349</v>
      </c>
      <c r="L1310">
        <v>8</v>
      </c>
      <c r="M1310">
        <v>5.8953574060427397E-3</v>
      </c>
      <c r="N1310" s="25">
        <f t="shared" si="70"/>
        <v>5.8953574060427449E-3</v>
      </c>
      <c r="O1310">
        <v>0.99410464259395703</v>
      </c>
      <c r="P1310" s="25">
        <f t="shared" si="72"/>
        <v>0.99410464259395726</v>
      </c>
      <c r="Q1310">
        <v>15</v>
      </c>
      <c r="R1310" t="s">
        <v>124</v>
      </c>
      <c r="S1310" t="s">
        <v>124</v>
      </c>
      <c r="T1310" t="s">
        <v>124</v>
      </c>
      <c r="U1310" t="s">
        <v>124</v>
      </c>
      <c r="X1310" s="19">
        <f t="shared" si="68"/>
        <v>0.89655172413793105</v>
      </c>
      <c r="Y1310" s="19">
        <f t="shared" si="69"/>
        <v>5.8953574060427449E-3</v>
      </c>
      <c r="Z1310" s="26"/>
    </row>
    <row r="1311" spans="1:26" x14ac:dyDescent="0.35">
      <c r="A1311" t="s">
        <v>122</v>
      </c>
      <c r="B1311" t="s">
        <v>122</v>
      </c>
      <c r="C1311" t="s">
        <v>123</v>
      </c>
      <c r="D1311" t="s">
        <v>101</v>
      </c>
      <c r="E1311" t="s">
        <v>99</v>
      </c>
      <c r="F1311" t="s">
        <v>12</v>
      </c>
      <c r="G1311">
        <v>1</v>
      </c>
      <c r="H1311">
        <v>130</v>
      </c>
      <c r="I1311">
        <v>0.89655172413793105</v>
      </c>
      <c r="J1311" s="25">
        <f t="shared" si="71"/>
        <v>0.89655172413793105</v>
      </c>
      <c r="K1311">
        <v>1349</v>
      </c>
      <c r="L1311">
        <v>8</v>
      </c>
      <c r="M1311">
        <v>5.8953574060427397E-3</v>
      </c>
      <c r="N1311" s="25">
        <f t="shared" si="70"/>
        <v>5.8953574060427449E-3</v>
      </c>
      <c r="O1311">
        <v>0.99410464259395703</v>
      </c>
      <c r="P1311" s="25">
        <f t="shared" si="72"/>
        <v>0.99410464259395726</v>
      </c>
      <c r="Q1311">
        <v>15</v>
      </c>
      <c r="R1311" t="s">
        <v>124</v>
      </c>
      <c r="S1311" t="s">
        <v>124</v>
      </c>
      <c r="T1311" t="s">
        <v>124</v>
      </c>
      <c r="U1311" t="s">
        <v>124</v>
      </c>
      <c r="X1311" s="19">
        <f t="shared" si="68"/>
        <v>0.89655172413793105</v>
      </c>
      <c r="Y1311" s="19">
        <f t="shared" si="69"/>
        <v>5.8953574060427449E-3</v>
      </c>
      <c r="Z1311" s="26"/>
    </row>
    <row r="1312" spans="1:26" x14ac:dyDescent="0.35">
      <c r="A1312" t="s">
        <v>122</v>
      </c>
      <c r="B1312" t="s">
        <v>122</v>
      </c>
      <c r="C1312" t="s">
        <v>123</v>
      </c>
      <c r="D1312" t="s">
        <v>101</v>
      </c>
      <c r="E1312" t="s">
        <v>99</v>
      </c>
      <c r="F1312" t="s">
        <v>12</v>
      </c>
      <c r="G1312">
        <v>1</v>
      </c>
      <c r="H1312">
        <v>130</v>
      </c>
      <c r="I1312">
        <v>0.89655172413793105</v>
      </c>
      <c r="J1312" s="25">
        <f t="shared" si="71"/>
        <v>0.89655172413793105</v>
      </c>
      <c r="K1312">
        <v>1349</v>
      </c>
      <c r="L1312">
        <v>8</v>
      </c>
      <c r="M1312">
        <v>5.8953574060427397E-3</v>
      </c>
      <c r="N1312" s="25">
        <f t="shared" si="70"/>
        <v>5.8953574060427449E-3</v>
      </c>
      <c r="O1312">
        <v>0.99410464259395703</v>
      </c>
      <c r="P1312" s="25">
        <f t="shared" si="72"/>
        <v>0.99410464259395726</v>
      </c>
      <c r="Q1312">
        <v>15</v>
      </c>
      <c r="R1312" t="s">
        <v>124</v>
      </c>
      <c r="S1312" t="s">
        <v>124</v>
      </c>
      <c r="T1312" t="s">
        <v>124</v>
      </c>
      <c r="U1312" t="s">
        <v>124</v>
      </c>
      <c r="X1312" s="19">
        <f t="shared" si="68"/>
        <v>0.89655172413793105</v>
      </c>
      <c r="Y1312" s="19">
        <f t="shared" si="69"/>
        <v>5.8953574060427449E-3</v>
      </c>
      <c r="Z1312" s="26"/>
    </row>
    <row r="1313" spans="1:26" x14ac:dyDescent="0.35">
      <c r="A1313" t="s">
        <v>122</v>
      </c>
      <c r="B1313" t="s">
        <v>122</v>
      </c>
      <c r="C1313" t="s">
        <v>123</v>
      </c>
      <c r="D1313" t="s">
        <v>101</v>
      </c>
      <c r="E1313" t="s">
        <v>99</v>
      </c>
      <c r="F1313" t="s">
        <v>12</v>
      </c>
      <c r="G1313">
        <v>1</v>
      </c>
      <c r="H1313">
        <v>130</v>
      </c>
      <c r="I1313">
        <v>0.89655172413793105</v>
      </c>
      <c r="J1313" s="25">
        <f t="shared" si="71"/>
        <v>0.89655172413793105</v>
      </c>
      <c r="K1313">
        <v>1349</v>
      </c>
      <c r="L1313">
        <v>8</v>
      </c>
      <c r="M1313">
        <v>5.8953574060427397E-3</v>
      </c>
      <c r="N1313" s="25">
        <f t="shared" si="70"/>
        <v>5.8953574060427449E-3</v>
      </c>
      <c r="O1313">
        <v>0.99410464259395703</v>
      </c>
      <c r="P1313" s="25">
        <f t="shared" si="72"/>
        <v>0.99410464259395726</v>
      </c>
      <c r="Q1313">
        <v>15</v>
      </c>
      <c r="R1313" t="s">
        <v>124</v>
      </c>
      <c r="S1313" t="s">
        <v>124</v>
      </c>
      <c r="T1313" t="s">
        <v>124</v>
      </c>
      <c r="U1313" t="s">
        <v>124</v>
      </c>
      <c r="X1313" s="19">
        <f t="shared" si="68"/>
        <v>0.89655172413793105</v>
      </c>
      <c r="Y1313" s="19">
        <f t="shared" si="69"/>
        <v>5.8953574060427449E-3</v>
      </c>
      <c r="Z1313" s="26"/>
    </row>
    <row r="1314" spans="1:26" x14ac:dyDescent="0.35">
      <c r="A1314" t="s">
        <v>122</v>
      </c>
      <c r="B1314" t="s">
        <v>122</v>
      </c>
      <c r="C1314" t="s">
        <v>123</v>
      </c>
      <c r="D1314" t="s">
        <v>101</v>
      </c>
      <c r="E1314" t="s">
        <v>99</v>
      </c>
      <c r="F1314" t="s">
        <v>12</v>
      </c>
      <c r="G1314">
        <v>1</v>
      </c>
      <c r="H1314">
        <v>130</v>
      </c>
      <c r="I1314">
        <v>0.89655172413793105</v>
      </c>
      <c r="J1314" s="25">
        <f t="shared" si="71"/>
        <v>0.89655172413793105</v>
      </c>
      <c r="K1314">
        <v>1349</v>
      </c>
      <c r="L1314">
        <v>8</v>
      </c>
      <c r="M1314">
        <v>5.8953574060427397E-3</v>
      </c>
      <c r="N1314" s="25">
        <f t="shared" si="70"/>
        <v>5.8953574060427449E-3</v>
      </c>
      <c r="O1314">
        <v>0.99410464259395703</v>
      </c>
      <c r="P1314" s="25">
        <f t="shared" si="72"/>
        <v>0.99410464259395726</v>
      </c>
      <c r="Q1314">
        <v>15</v>
      </c>
      <c r="R1314" t="s">
        <v>124</v>
      </c>
      <c r="S1314" t="s">
        <v>124</v>
      </c>
      <c r="T1314" t="s">
        <v>124</v>
      </c>
      <c r="U1314" t="s">
        <v>124</v>
      </c>
      <c r="X1314" s="19">
        <f t="shared" si="68"/>
        <v>0.89655172413793105</v>
      </c>
      <c r="Y1314" s="19">
        <f t="shared" si="69"/>
        <v>5.8953574060427449E-3</v>
      </c>
      <c r="Z1314" s="26"/>
    </row>
    <row r="1315" spans="1:26" x14ac:dyDescent="0.35">
      <c r="A1315" t="s">
        <v>122</v>
      </c>
      <c r="B1315" t="s">
        <v>122</v>
      </c>
      <c r="C1315" t="s">
        <v>123</v>
      </c>
      <c r="D1315" t="s">
        <v>101</v>
      </c>
      <c r="E1315" t="s">
        <v>99</v>
      </c>
      <c r="F1315" t="s">
        <v>12</v>
      </c>
      <c r="G1315">
        <v>1</v>
      </c>
      <c r="H1315">
        <v>130</v>
      </c>
      <c r="I1315">
        <v>0.89655172413793105</v>
      </c>
      <c r="J1315" s="25">
        <f t="shared" si="71"/>
        <v>0.89655172413793105</v>
      </c>
      <c r="K1315">
        <v>1349</v>
      </c>
      <c r="L1315">
        <v>8</v>
      </c>
      <c r="M1315">
        <v>5.8953574060427397E-3</v>
      </c>
      <c r="N1315" s="25">
        <f t="shared" si="70"/>
        <v>5.8953574060427449E-3</v>
      </c>
      <c r="O1315">
        <v>0.99410464259395703</v>
      </c>
      <c r="P1315" s="25">
        <f t="shared" si="72"/>
        <v>0.99410464259395726</v>
      </c>
      <c r="Q1315">
        <v>15</v>
      </c>
      <c r="R1315" t="s">
        <v>124</v>
      </c>
      <c r="S1315" t="s">
        <v>124</v>
      </c>
      <c r="T1315" t="s">
        <v>124</v>
      </c>
      <c r="U1315" t="s">
        <v>124</v>
      </c>
      <c r="X1315" s="19">
        <f t="shared" si="68"/>
        <v>0.89655172413793105</v>
      </c>
      <c r="Y1315" s="19">
        <f t="shared" si="69"/>
        <v>5.8953574060427449E-3</v>
      </c>
      <c r="Z1315" s="26"/>
    </row>
    <row r="1316" spans="1:26" x14ac:dyDescent="0.35">
      <c r="A1316" t="s">
        <v>122</v>
      </c>
      <c r="B1316" t="s">
        <v>122</v>
      </c>
      <c r="C1316" t="s">
        <v>123</v>
      </c>
      <c r="D1316" t="s">
        <v>101</v>
      </c>
      <c r="E1316" t="s">
        <v>99</v>
      </c>
      <c r="F1316" t="s">
        <v>12</v>
      </c>
      <c r="G1316">
        <v>1</v>
      </c>
      <c r="H1316">
        <v>130</v>
      </c>
      <c r="I1316">
        <v>0.89655172413793105</v>
      </c>
      <c r="J1316" s="25">
        <f t="shared" si="71"/>
        <v>0.89655172413793105</v>
      </c>
      <c r="K1316">
        <v>1349</v>
      </c>
      <c r="L1316">
        <v>8</v>
      </c>
      <c r="M1316">
        <v>5.8953574060427397E-3</v>
      </c>
      <c r="N1316" s="25">
        <f t="shared" si="70"/>
        <v>5.8953574060427449E-3</v>
      </c>
      <c r="O1316">
        <v>0.99410464259395703</v>
      </c>
      <c r="P1316" s="25">
        <f t="shared" si="72"/>
        <v>0.99410464259395726</v>
      </c>
      <c r="Q1316">
        <v>15</v>
      </c>
      <c r="R1316" t="s">
        <v>124</v>
      </c>
      <c r="S1316" t="s">
        <v>124</v>
      </c>
      <c r="T1316" t="s">
        <v>124</v>
      </c>
      <c r="U1316" t="s">
        <v>124</v>
      </c>
      <c r="X1316" s="19">
        <f t="shared" si="68"/>
        <v>0.89655172413793105</v>
      </c>
      <c r="Y1316" s="19">
        <f t="shared" si="69"/>
        <v>5.8953574060427449E-3</v>
      </c>
      <c r="Z1316" s="26"/>
    </row>
    <row r="1317" spans="1:26" x14ac:dyDescent="0.35">
      <c r="A1317" t="s">
        <v>122</v>
      </c>
      <c r="B1317" t="s">
        <v>122</v>
      </c>
      <c r="C1317" t="s">
        <v>123</v>
      </c>
      <c r="D1317" t="s">
        <v>101</v>
      </c>
      <c r="E1317" t="s">
        <v>99</v>
      </c>
      <c r="F1317" t="s">
        <v>12</v>
      </c>
      <c r="G1317">
        <v>1</v>
      </c>
      <c r="H1317">
        <v>130</v>
      </c>
      <c r="I1317">
        <v>0.89655172413793105</v>
      </c>
      <c r="J1317" s="25">
        <f t="shared" si="71"/>
        <v>0.89655172413793105</v>
      </c>
      <c r="K1317">
        <v>1349</v>
      </c>
      <c r="L1317">
        <v>8</v>
      </c>
      <c r="M1317">
        <v>5.8953574060427397E-3</v>
      </c>
      <c r="N1317" s="25">
        <f t="shared" si="70"/>
        <v>5.8953574060427449E-3</v>
      </c>
      <c r="O1317">
        <v>0.99410464259395703</v>
      </c>
      <c r="P1317" s="25">
        <f t="shared" si="72"/>
        <v>0.99410464259395726</v>
      </c>
      <c r="Q1317">
        <v>15</v>
      </c>
      <c r="R1317" t="s">
        <v>124</v>
      </c>
      <c r="S1317" t="s">
        <v>124</v>
      </c>
      <c r="T1317" t="s">
        <v>124</v>
      </c>
      <c r="U1317" t="s">
        <v>124</v>
      </c>
      <c r="X1317" s="19">
        <f t="shared" si="68"/>
        <v>0.89655172413793105</v>
      </c>
      <c r="Y1317" s="19">
        <f t="shared" si="69"/>
        <v>5.8953574060427449E-3</v>
      </c>
      <c r="Z1317" s="26"/>
    </row>
    <row r="1318" spans="1:26" x14ac:dyDescent="0.35">
      <c r="A1318" t="s">
        <v>122</v>
      </c>
      <c r="B1318" t="s">
        <v>122</v>
      </c>
      <c r="C1318" t="s">
        <v>123</v>
      </c>
      <c r="D1318" t="s">
        <v>101</v>
      </c>
      <c r="E1318" t="s">
        <v>99</v>
      </c>
      <c r="F1318" t="s">
        <v>12</v>
      </c>
      <c r="G1318">
        <v>1</v>
      </c>
      <c r="H1318">
        <v>130</v>
      </c>
      <c r="I1318">
        <v>0.89655172413793105</v>
      </c>
      <c r="J1318" s="25">
        <f t="shared" si="71"/>
        <v>0.89655172413793105</v>
      </c>
      <c r="K1318">
        <v>1349</v>
      </c>
      <c r="L1318">
        <v>8</v>
      </c>
      <c r="M1318">
        <v>5.8953574060427397E-3</v>
      </c>
      <c r="N1318" s="25">
        <f t="shared" si="70"/>
        <v>5.8953574060427449E-3</v>
      </c>
      <c r="O1318">
        <v>0.99410464259395703</v>
      </c>
      <c r="P1318" s="25">
        <f t="shared" si="72"/>
        <v>0.99410464259395726</v>
      </c>
      <c r="Q1318">
        <v>15</v>
      </c>
      <c r="R1318" t="s">
        <v>124</v>
      </c>
      <c r="S1318" t="s">
        <v>124</v>
      </c>
      <c r="T1318" t="s">
        <v>124</v>
      </c>
      <c r="U1318" t="s">
        <v>124</v>
      </c>
      <c r="X1318" s="19">
        <f t="shared" si="68"/>
        <v>0.89655172413793105</v>
      </c>
      <c r="Y1318" s="19">
        <f t="shared" si="69"/>
        <v>5.8953574060427449E-3</v>
      </c>
      <c r="Z1318" s="26"/>
    </row>
    <row r="1319" spans="1:26" x14ac:dyDescent="0.35">
      <c r="A1319" t="s">
        <v>122</v>
      </c>
      <c r="B1319" t="s">
        <v>122</v>
      </c>
      <c r="C1319" t="s">
        <v>123</v>
      </c>
      <c r="D1319" t="s">
        <v>101</v>
      </c>
      <c r="E1319" t="s">
        <v>99</v>
      </c>
      <c r="F1319" t="s">
        <v>12</v>
      </c>
      <c r="G1319">
        <v>1</v>
      </c>
      <c r="H1319">
        <v>130</v>
      </c>
      <c r="I1319">
        <v>0.89655172413793105</v>
      </c>
      <c r="J1319" s="25">
        <f t="shared" si="71"/>
        <v>0.89655172413793105</v>
      </c>
      <c r="K1319">
        <v>1349</v>
      </c>
      <c r="L1319">
        <v>8</v>
      </c>
      <c r="M1319">
        <v>5.8953574060427397E-3</v>
      </c>
      <c r="N1319" s="25">
        <f t="shared" si="70"/>
        <v>5.8953574060427449E-3</v>
      </c>
      <c r="O1319">
        <v>0.99410464259395703</v>
      </c>
      <c r="P1319" s="25">
        <f t="shared" si="72"/>
        <v>0.99410464259395726</v>
      </c>
      <c r="Q1319">
        <v>15</v>
      </c>
      <c r="R1319" t="s">
        <v>124</v>
      </c>
      <c r="S1319" t="s">
        <v>124</v>
      </c>
      <c r="T1319" t="s">
        <v>124</v>
      </c>
      <c r="U1319" t="s">
        <v>124</v>
      </c>
      <c r="X1319" s="19">
        <f t="shared" si="68"/>
        <v>0.89655172413793105</v>
      </c>
      <c r="Y1319" s="19">
        <f t="shared" si="69"/>
        <v>5.8953574060427449E-3</v>
      </c>
      <c r="Z1319" s="26"/>
    </row>
    <row r="1320" spans="1:26" x14ac:dyDescent="0.35">
      <c r="A1320" t="s">
        <v>122</v>
      </c>
      <c r="B1320" t="s">
        <v>122</v>
      </c>
      <c r="C1320" t="s">
        <v>123</v>
      </c>
      <c r="D1320" t="s">
        <v>101</v>
      </c>
      <c r="E1320" t="s">
        <v>99</v>
      </c>
      <c r="F1320" t="s">
        <v>12</v>
      </c>
      <c r="G1320">
        <v>1</v>
      </c>
      <c r="H1320">
        <v>130</v>
      </c>
      <c r="I1320">
        <v>0.89655172413793105</v>
      </c>
      <c r="J1320" s="25">
        <f t="shared" si="71"/>
        <v>0.89655172413793105</v>
      </c>
      <c r="K1320">
        <v>1349</v>
      </c>
      <c r="L1320">
        <v>8</v>
      </c>
      <c r="M1320">
        <v>5.8953574060427397E-3</v>
      </c>
      <c r="N1320" s="25">
        <f t="shared" si="70"/>
        <v>5.8953574060427449E-3</v>
      </c>
      <c r="O1320">
        <v>0.99410464259395703</v>
      </c>
      <c r="P1320" s="25">
        <f t="shared" si="72"/>
        <v>0.99410464259395726</v>
      </c>
      <c r="Q1320">
        <v>15</v>
      </c>
      <c r="R1320" t="s">
        <v>124</v>
      </c>
      <c r="S1320" t="s">
        <v>124</v>
      </c>
      <c r="T1320" t="s">
        <v>124</v>
      </c>
      <c r="U1320" t="s">
        <v>124</v>
      </c>
      <c r="X1320" s="19">
        <f t="shared" si="68"/>
        <v>0.89655172413793105</v>
      </c>
      <c r="Y1320" s="19">
        <f t="shared" si="69"/>
        <v>5.8953574060427449E-3</v>
      </c>
      <c r="Z1320" s="26"/>
    </row>
    <row r="1321" spans="1:26" x14ac:dyDescent="0.35">
      <c r="A1321" t="s">
        <v>122</v>
      </c>
      <c r="B1321" t="s">
        <v>122</v>
      </c>
      <c r="C1321" t="s">
        <v>123</v>
      </c>
      <c r="D1321" t="s">
        <v>101</v>
      </c>
      <c r="E1321" t="s">
        <v>99</v>
      </c>
      <c r="F1321" t="s">
        <v>12</v>
      </c>
      <c r="G1321">
        <v>1</v>
      </c>
      <c r="H1321">
        <v>130</v>
      </c>
      <c r="I1321">
        <v>0.89655172413793105</v>
      </c>
      <c r="J1321" s="25">
        <f t="shared" si="71"/>
        <v>0.89655172413793105</v>
      </c>
      <c r="K1321">
        <v>1349</v>
      </c>
      <c r="L1321">
        <v>8</v>
      </c>
      <c r="M1321">
        <v>5.8953574060427397E-3</v>
      </c>
      <c r="N1321" s="25">
        <f t="shared" si="70"/>
        <v>5.8953574060427449E-3</v>
      </c>
      <c r="O1321">
        <v>0.99410464259395703</v>
      </c>
      <c r="P1321" s="25">
        <f t="shared" si="72"/>
        <v>0.99410464259395726</v>
      </c>
      <c r="Q1321">
        <v>15</v>
      </c>
      <c r="R1321" t="s">
        <v>124</v>
      </c>
      <c r="S1321" t="s">
        <v>124</v>
      </c>
      <c r="T1321" t="s">
        <v>124</v>
      </c>
      <c r="U1321" t="s">
        <v>124</v>
      </c>
      <c r="X1321" s="19">
        <f t="shared" si="68"/>
        <v>0.89655172413793105</v>
      </c>
      <c r="Y1321" s="19">
        <f t="shared" si="69"/>
        <v>5.8953574060427449E-3</v>
      </c>
      <c r="Z1321" s="26"/>
    </row>
    <row r="1322" spans="1:26" x14ac:dyDescent="0.35">
      <c r="A1322" t="s">
        <v>122</v>
      </c>
      <c r="B1322" t="s">
        <v>122</v>
      </c>
      <c r="C1322" t="s">
        <v>123</v>
      </c>
      <c r="D1322" t="s">
        <v>101</v>
      </c>
      <c r="E1322" t="s">
        <v>99</v>
      </c>
      <c r="F1322" t="s">
        <v>12</v>
      </c>
      <c r="G1322">
        <v>1</v>
      </c>
      <c r="H1322">
        <v>130</v>
      </c>
      <c r="I1322">
        <v>0.89655172413793105</v>
      </c>
      <c r="J1322" s="25">
        <f t="shared" si="71"/>
        <v>0.89655172413793105</v>
      </c>
      <c r="K1322">
        <v>1349</v>
      </c>
      <c r="L1322">
        <v>8</v>
      </c>
      <c r="M1322">
        <v>5.8953574060427397E-3</v>
      </c>
      <c r="N1322" s="25">
        <f t="shared" si="70"/>
        <v>5.8953574060427449E-3</v>
      </c>
      <c r="O1322">
        <v>0.99410464259395703</v>
      </c>
      <c r="P1322" s="25">
        <f t="shared" si="72"/>
        <v>0.99410464259395726</v>
      </c>
      <c r="Q1322">
        <v>15</v>
      </c>
      <c r="R1322" t="s">
        <v>124</v>
      </c>
      <c r="S1322" t="s">
        <v>124</v>
      </c>
      <c r="T1322" t="s">
        <v>124</v>
      </c>
      <c r="U1322" t="s">
        <v>124</v>
      </c>
      <c r="X1322" s="19">
        <f t="shared" si="68"/>
        <v>0.89655172413793105</v>
      </c>
      <c r="Y1322" s="19">
        <f t="shared" si="69"/>
        <v>5.8953574060427449E-3</v>
      </c>
      <c r="Z1322" s="26"/>
    </row>
    <row r="1323" spans="1:26" x14ac:dyDescent="0.35">
      <c r="A1323" t="s">
        <v>122</v>
      </c>
      <c r="B1323" t="s">
        <v>122</v>
      </c>
      <c r="C1323" t="s">
        <v>123</v>
      </c>
      <c r="D1323" t="s">
        <v>101</v>
      </c>
      <c r="E1323" t="s">
        <v>99</v>
      </c>
      <c r="F1323" t="s">
        <v>12</v>
      </c>
      <c r="G1323">
        <v>1</v>
      </c>
      <c r="H1323">
        <v>130</v>
      </c>
      <c r="I1323">
        <v>0.89655172413793105</v>
      </c>
      <c r="J1323" s="25">
        <f t="shared" si="71"/>
        <v>0.89655172413793105</v>
      </c>
      <c r="K1323">
        <v>1349</v>
      </c>
      <c r="L1323">
        <v>8</v>
      </c>
      <c r="M1323">
        <v>5.8953574060427397E-3</v>
      </c>
      <c r="N1323" s="25">
        <f t="shared" si="70"/>
        <v>5.8953574060427449E-3</v>
      </c>
      <c r="O1323">
        <v>0.99410464259395703</v>
      </c>
      <c r="P1323" s="25">
        <f t="shared" si="72"/>
        <v>0.99410464259395726</v>
      </c>
      <c r="Q1323">
        <v>15</v>
      </c>
      <c r="R1323" t="s">
        <v>124</v>
      </c>
      <c r="S1323" t="s">
        <v>124</v>
      </c>
      <c r="T1323" t="s">
        <v>124</v>
      </c>
      <c r="U1323" t="s">
        <v>124</v>
      </c>
      <c r="X1323" s="19">
        <f t="shared" si="68"/>
        <v>0.89655172413793105</v>
      </c>
      <c r="Y1323" s="19">
        <f t="shared" si="69"/>
        <v>5.8953574060427449E-3</v>
      </c>
      <c r="Z1323" s="26"/>
    </row>
    <row r="1324" spans="1:26" x14ac:dyDescent="0.35">
      <c r="A1324" t="s">
        <v>122</v>
      </c>
      <c r="B1324" t="s">
        <v>122</v>
      </c>
      <c r="C1324" t="s">
        <v>123</v>
      </c>
      <c r="D1324" t="s">
        <v>101</v>
      </c>
      <c r="E1324" t="s">
        <v>99</v>
      </c>
      <c r="F1324" t="s">
        <v>12</v>
      </c>
      <c r="G1324">
        <v>1</v>
      </c>
      <c r="H1324">
        <v>130</v>
      </c>
      <c r="I1324">
        <v>0.89655172413793105</v>
      </c>
      <c r="J1324" s="25">
        <f t="shared" si="71"/>
        <v>0.89655172413793105</v>
      </c>
      <c r="K1324">
        <v>1349</v>
      </c>
      <c r="L1324">
        <v>8</v>
      </c>
      <c r="M1324">
        <v>5.8953574060427397E-3</v>
      </c>
      <c r="N1324" s="25">
        <f t="shared" si="70"/>
        <v>5.8953574060427449E-3</v>
      </c>
      <c r="O1324">
        <v>0.99410464259395703</v>
      </c>
      <c r="P1324" s="25">
        <f t="shared" si="72"/>
        <v>0.99410464259395726</v>
      </c>
      <c r="Q1324">
        <v>15</v>
      </c>
      <c r="R1324" t="s">
        <v>124</v>
      </c>
      <c r="S1324" t="s">
        <v>124</v>
      </c>
      <c r="T1324" t="s">
        <v>124</v>
      </c>
      <c r="U1324" t="s">
        <v>124</v>
      </c>
      <c r="X1324" s="19">
        <f t="shared" si="68"/>
        <v>0.89655172413793105</v>
      </c>
      <c r="Y1324" s="19">
        <f t="shared" si="69"/>
        <v>5.8953574060427449E-3</v>
      </c>
      <c r="Z1324" s="26"/>
    </row>
    <row r="1325" spans="1:26" x14ac:dyDescent="0.35">
      <c r="A1325" t="s">
        <v>122</v>
      </c>
      <c r="B1325" t="s">
        <v>122</v>
      </c>
      <c r="C1325" t="s">
        <v>123</v>
      </c>
      <c r="D1325" t="s">
        <v>101</v>
      </c>
      <c r="E1325" t="s">
        <v>99</v>
      </c>
      <c r="F1325" t="s">
        <v>12</v>
      </c>
      <c r="G1325">
        <v>1</v>
      </c>
      <c r="H1325">
        <v>130</v>
      </c>
      <c r="I1325">
        <v>0.89655172413793105</v>
      </c>
      <c r="J1325" s="25">
        <f t="shared" si="71"/>
        <v>0.89655172413793105</v>
      </c>
      <c r="K1325">
        <v>1349</v>
      </c>
      <c r="L1325">
        <v>8</v>
      </c>
      <c r="M1325">
        <v>5.8953574060427397E-3</v>
      </c>
      <c r="N1325" s="25">
        <f t="shared" si="70"/>
        <v>5.8953574060427449E-3</v>
      </c>
      <c r="O1325">
        <v>0.99410464259395703</v>
      </c>
      <c r="P1325" s="25">
        <f t="shared" si="72"/>
        <v>0.99410464259395726</v>
      </c>
      <c r="Q1325">
        <v>15</v>
      </c>
      <c r="R1325" t="s">
        <v>124</v>
      </c>
      <c r="S1325" t="s">
        <v>124</v>
      </c>
      <c r="T1325" t="s">
        <v>124</v>
      </c>
      <c r="U1325" t="s">
        <v>124</v>
      </c>
      <c r="X1325" s="19">
        <f t="shared" si="68"/>
        <v>0.89655172413793105</v>
      </c>
      <c r="Y1325" s="19">
        <f t="shared" si="69"/>
        <v>5.8953574060427449E-3</v>
      </c>
      <c r="Z1325" s="26"/>
    </row>
    <row r="1326" spans="1:26" x14ac:dyDescent="0.35">
      <c r="A1326" t="s">
        <v>122</v>
      </c>
      <c r="B1326" t="s">
        <v>122</v>
      </c>
      <c r="C1326" t="s">
        <v>123</v>
      </c>
      <c r="D1326" t="s">
        <v>101</v>
      </c>
      <c r="E1326" t="s">
        <v>99</v>
      </c>
      <c r="F1326" t="s">
        <v>12</v>
      </c>
      <c r="G1326">
        <v>1</v>
      </c>
      <c r="H1326">
        <v>130</v>
      </c>
      <c r="I1326">
        <v>0.89655172413793105</v>
      </c>
      <c r="J1326" s="25">
        <f t="shared" si="71"/>
        <v>0.89655172413793105</v>
      </c>
      <c r="K1326">
        <v>1349</v>
      </c>
      <c r="L1326">
        <v>8</v>
      </c>
      <c r="M1326">
        <v>5.8953574060427397E-3</v>
      </c>
      <c r="N1326" s="25">
        <f t="shared" si="70"/>
        <v>5.8953574060427449E-3</v>
      </c>
      <c r="O1326">
        <v>0.99410464259395703</v>
      </c>
      <c r="P1326" s="25">
        <f t="shared" si="72"/>
        <v>0.99410464259395726</v>
      </c>
      <c r="Q1326">
        <v>15</v>
      </c>
      <c r="R1326" t="s">
        <v>124</v>
      </c>
      <c r="S1326" t="s">
        <v>124</v>
      </c>
      <c r="T1326" t="s">
        <v>124</v>
      </c>
      <c r="U1326" t="s">
        <v>124</v>
      </c>
      <c r="X1326" s="19">
        <f t="shared" ref="X1326:X1389" si="73">J1326</f>
        <v>0.89655172413793105</v>
      </c>
      <c r="Y1326" s="19">
        <f t="shared" ref="Y1326:Y1389" si="74">N1326</f>
        <v>5.8953574060427449E-3</v>
      </c>
      <c r="Z1326" s="26"/>
    </row>
    <row r="1327" spans="1:26" x14ac:dyDescent="0.35">
      <c r="A1327" t="s">
        <v>122</v>
      </c>
      <c r="B1327" t="s">
        <v>122</v>
      </c>
      <c r="C1327" t="s">
        <v>123</v>
      </c>
      <c r="D1327" t="s">
        <v>101</v>
      </c>
      <c r="E1327" t="s">
        <v>99</v>
      </c>
      <c r="F1327" t="s">
        <v>12</v>
      </c>
      <c r="G1327">
        <v>1</v>
      </c>
      <c r="H1327">
        <v>130</v>
      </c>
      <c r="I1327">
        <v>0.89655172413793105</v>
      </c>
      <c r="J1327" s="25">
        <f t="shared" si="71"/>
        <v>0.89655172413793105</v>
      </c>
      <c r="K1327">
        <v>1349</v>
      </c>
      <c r="L1327">
        <v>8</v>
      </c>
      <c r="M1327">
        <v>5.8953574060427397E-3</v>
      </c>
      <c r="N1327" s="25">
        <f t="shared" si="70"/>
        <v>5.8953574060427449E-3</v>
      </c>
      <c r="O1327">
        <v>0.99410464259395703</v>
      </c>
      <c r="P1327" s="25">
        <f t="shared" si="72"/>
        <v>0.99410464259395726</v>
      </c>
      <c r="Q1327">
        <v>15</v>
      </c>
      <c r="R1327" t="s">
        <v>124</v>
      </c>
      <c r="S1327" t="s">
        <v>124</v>
      </c>
      <c r="T1327" t="s">
        <v>124</v>
      </c>
      <c r="U1327" t="s">
        <v>124</v>
      </c>
      <c r="X1327" s="19">
        <f t="shared" si="73"/>
        <v>0.89655172413793105</v>
      </c>
      <c r="Y1327" s="19">
        <f t="shared" si="74"/>
        <v>5.8953574060427449E-3</v>
      </c>
      <c r="Z1327" s="26"/>
    </row>
    <row r="1328" spans="1:26" x14ac:dyDescent="0.35">
      <c r="A1328" t="s">
        <v>122</v>
      </c>
      <c r="B1328" t="s">
        <v>122</v>
      </c>
      <c r="C1328" t="s">
        <v>123</v>
      </c>
      <c r="D1328" t="s">
        <v>101</v>
      </c>
      <c r="E1328" t="s">
        <v>99</v>
      </c>
      <c r="F1328" t="s">
        <v>12</v>
      </c>
      <c r="G1328">
        <v>1</v>
      </c>
      <c r="H1328">
        <v>130</v>
      </c>
      <c r="I1328">
        <v>0.89655172413793105</v>
      </c>
      <c r="J1328" s="25">
        <f t="shared" si="71"/>
        <v>0.89655172413793105</v>
      </c>
      <c r="K1328">
        <v>1349</v>
      </c>
      <c r="L1328">
        <v>8</v>
      </c>
      <c r="M1328">
        <v>5.8953574060427397E-3</v>
      </c>
      <c r="N1328" s="25">
        <f t="shared" si="70"/>
        <v>5.8953574060427449E-3</v>
      </c>
      <c r="O1328">
        <v>0.99410464259395703</v>
      </c>
      <c r="P1328" s="25">
        <f t="shared" si="72"/>
        <v>0.99410464259395726</v>
      </c>
      <c r="Q1328">
        <v>15</v>
      </c>
      <c r="R1328" t="s">
        <v>124</v>
      </c>
      <c r="S1328" t="s">
        <v>124</v>
      </c>
      <c r="T1328" t="s">
        <v>124</v>
      </c>
      <c r="U1328" t="s">
        <v>124</v>
      </c>
      <c r="X1328" s="19">
        <f t="shared" si="73"/>
        <v>0.89655172413793105</v>
      </c>
      <c r="Y1328" s="19">
        <f t="shared" si="74"/>
        <v>5.8953574060427449E-3</v>
      </c>
      <c r="Z1328" s="26"/>
    </row>
    <row r="1329" spans="1:26" x14ac:dyDescent="0.35">
      <c r="A1329" t="s">
        <v>122</v>
      </c>
      <c r="B1329" t="s">
        <v>122</v>
      </c>
      <c r="C1329" t="s">
        <v>123</v>
      </c>
      <c r="D1329" t="s">
        <v>101</v>
      </c>
      <c r="E1329" t="s">
        <v>99</v>
      </c>
      <c r="F1329" t="s">
        <v>12</v>
      </c>
      <c r="G1329">
        <v>1</v>
      </c>
      <c r="H1329">
        <v>130</v>
      </c>
      <c r="I1329">
        <v>0.89655172413793105</v>
      </c>
      <c r="J1329" s="25">
        <f t="shared" si="71"/>
        <v>0.89655172413793105</v>
      </c>
      <c r="K1329">
        <v>1349</v>
      </c>
      <c r="L1329">
        <v>8</v>
      </c>
      <c r="M1329">
        <v>5.8953574060427397E-3</v>
      </c>
      <c r="N1329" s="25">
        <f t="shared" si="70"/>
        <v>5.8953574060427449E-3</v>
      </c>
      <c r="O1329">
        <v>0.99410464259395703</v>
      </c>
      <c r="P1329" s="25">
        <f t="shared" si="72"/>
        <v>0.99410464259395726</v>
      </c>
      <c r="Q1329">
        <v>15</v>
      </c>
      <c r="R1329" t="s">
        <v>124</v>
      </c>
      <c r="S1329" t="s">
        <v>124</v>
      </c>
      <c r="T1329" t="s">
        <v>124</v>
      </c>
      <c r="U1329" t="s">
        <v>124</v>
      </c>
      <c r="X1329" s="19">
        <f t="shared" si="73"/>
        <v>0.89655172413793105</v>
      </c>
      <c r="Y1329" s="19">
        <f t="shared" si="74"/>
        <v>5.8953574060427449E-3</v>
      </c>
      <c r="Z1329" s="26"/>
    </row>
    <row r="1330" spans="1:26" x14ac:dyDescent="0.35">
      <c r="A1330" t="s">
        <v>122</v>
      </c>
      <c r="B1330" t="s">
        <v>122</v>
      </c>
      <c r="C1330" t="s">
        <v>123</v>
      </c>
      <c r="D1330" t="s">
        <v>101</v>
      </c>
      <c r="E1330" t="s">
        <v>99</v>
      </c>
      <c r="F1330" t="s">
        <v>12</v>
      </c>
      <c r="G1330">
        <v>1</v>
      </c>
      <c r="H1330">
        <v>130</v>
      </c>
      <c r="I1330">
        <v>0.89655172413793105</v>
      </c>
      <c r="J1330" s="25">
        <f t="shared" si="71"/>
        <v>0.89655172413793105</v>
      </c>
      <c r="K1330">
        <v>1349</v>
      </c>
      <c r="L1330">
        <v>8</v>
      </c>
      <c r="M1330">
        <v>5.8953574060427397E-3</v>
      </c>
      <c r="N1330" s="25">
        <f t="shared" si="70"/>
        <v>5.8953574060427449E-3</v>
      </c>
      <c r="O1330">
        <v>0.99410464259395703</v>
      </c>
      <c r="P1330" s="25">
        <f t="shared" si="72"/>
        <v>0.99410464259395726</v>
      </c>
      <c r="Q1330">
        <v>15</v>
      </c>
      <c r="R1330" t="s">
        <v>124</v>
      </c>
      <c r="S1330" t="s">
        <v>124</v>
      </c>
      <c r="T1330" t="s">
        <v>124</v>
      </c>
      <c r="U1330" t="s">
        <v>124</v>
      </c>
      <c r="X1330" s="19">
        <f t="shared" si="73"/>
        <v>0.89655172413793105</v>
      </c>
      <c r="Y1330" s="19">
        <f t="shared" si="74"/>
        <v>5.8953574060427449E-3</v>
      </c>
      <c r="Z1330" s="26"/>
    </row>
    <row r="1331" spans="1:26" x14ac:dyDescent="0.35">
      <c r="A1331" t="s">
        <v>122</v>
      </c>
      <c r="B1331" t="s">
        <v>122</v>
      </c>
      <c r="C1331" t="s">
        <v>123</v>
      </c>
      <c r="D1331" t="s">
        <v>101</v>
      </c>
      <c r="E1331" t="s">
        <v>99</v>
      </c>
      <c r="F1331" t="s">
        <v>12</v>
      </c>
      <c r="G1331">
        <v>1</v>
      </c>
      <c r="H1331">
        <v>130</v>
      </c>
      <c r="I1331">
        <v>0.89655172413793105</v>
      </c>
      <c r="J1331" s="25">
        <f t="shared" si="71"/>
        <v>0.89655172413793105</v>
      </c>
      <c r="K1331">
        <v>1349</v>
      </c>
      <c r="L1331">
        <v>8</v>
      </c>
      <c r="M1331">
        <v>5.8953574060427397E-3</v>
      </c>
      <c r="N1331" s="25">
        <f t="shared" si="70"/>
        <v>5.8953574060427449E-3</v>
      </c>
      <c r="O1331">
        <v>0.99410464259395703</v>
      </c>
      <c r="P1331" s="25">
        <f t="shared" si="72"/>
        <v>0.99410464259395726</v>
      </c>
      <c r="Q1331">
        <v>15</v>
      </c>
      <c r="R1331" t="s">
        <v>124</v>
      </c>
      <c r="S1331" t="s">
        <v>124</v>
      </c>
      <c r="T1331" t="s">
        <v>124</v>
      </c>
      <c r="U1331" t="s">
        <v>124</v>
      </c>
      <c r="X1331" s="19">
        <f t="shared" si="73"/>
        <v>0.89655172413793105</v>
      </c>
      <c r="Y1331" s="19">
        <f t="shared" si="74"/>
        <v>5.8953574060427449E-3</v>
      </c>
      <c r="Z1331" s="26"/>
    </row>
    <row r="1332" spans="1:26" x14ac:dyDescent="0.35">
      <c r="A1332" t="s">
        <v>122</v>
      </c>
      <c r="B1332" t="s">
        <v>122</v>
      </c>
      <c r="C1332" t="s">
        <v>123</v>
      </c>
      <c r="D1332" t="s">
        <v>101</v>
      </c>
      <c r="E1332" t="s">
        <v>99</v>
      </c>
      <c r="F1332" t="s">
        <v>12</v>
      </c>
      <c r="G1332">
        <v>1</v>
      </c>
      <c r="H1332">
        <v>130</v>
      </c>
      <c r="I1332">
        <v>0.89655172413793105</v>
      </c>
      <c r="J1332" s="25">
        <f t="shared" si="71"/>
        <v>0.89655172413793105</v>
      </c>
      <c r="K1332">
        <v>1349</v>
      </c>
      <c r="L1332">
        <v>8</v>
      </c>
      <c r="M1332">
        <v>5.8953574060427397E-3</v>
      </c>
      <c r="N1332" s="25">
        <f t="shared" si="70"/>
        <v>5.8953574060427449E-3</v>
      </c>
      <c r="O1332">
        <v>0.99410464259395703</v>
      </c>
      <c r="P1332" s="25">
        <f t="shared" si="72"/>
        <v>0.99410464259395726</v>
      </c>
      <c r="Q1332">
        <v>15</v>
      </c>
      <c r="R1332" t="s">
        <v>124</v>
      </c>
      <c r="S1332" t="s">
        <v>124</v>
      </c>
      <c r="T1332" t="s">
        <v>124</v>
      </c>
      <c r="U1332" t="s">
        <v>124</v>
      </c>
      <c r="X1332" s="19">
        <f t="shared" si="73"/>
        <v>0.89655172413793105</v>
      </c>
      <c r="Y1332" s="19">
        <f t="shared" si="74"/>
        <v>5.8953574060427449E-3</v>
      </c>
      <c r="Z1332" s="26"/>
    </row>
    <row r="1333" spans="1:26" x14ac:dyDescent="0.35">
      <c r="A1333" t="s">
        <v>122</v>
      </c>
      <c r="B1333" t="s">
        <v>122</v>
      </c>
      <c r="C1333" t="s">
        <v>123</v>
      </c>
      <c r="D1333" t="s">
        <v>101</v>
      </c>
      <c r="E1333" t="s">
        <v>99</v>
      </c>
      <c r="F1333" t="s">
        <v>12</v>
      </c>
      <c r="G1333">
        <v>1</v>
      </c>
      <c r="H1333">
        <v>130</v>
      </c>
      <c r="I1333">
        <v>0.89655172413793105</v>
      </c>
      <c r="J1333" s="25">
        <f t="shared" si="71"/>
        <v>0.89655172413793105</v>
      </c>
      <c r="K1333">
        <v>1349</v>
      </c>
      <c r="L1333">
        <v>8</v>
      </c>
      <c r="M1333">
        <v>5.8953574060427397E-3</v>
      </c>
      <c r="N1333" s="25">
        <f t="shared" si="70"/>
        <v>5.8953574060427449E-3</v>
      </c>
      <c r="O1333">
        <v>0.99410464259395703</v>
      </c>
      <c r="P1333" s="25">
        <f t="shared" si="72"/>
        <v>0.99410464259395726</v>
      </c>
      <c r="Q1333">
        <v>15</v>
      </c>
      <c r="R1333" t="s">
        <v>124</v>
      </c>
      <c r="S1333" t="s">
        <v>124</v>
      </c>
      <c r="T1333" t="s">
        <v>124</v>
      </c>
      <c r="U1333" t="s">
        <v>124</v>
      </c>
      <c r="X1333" s="19">
        <f t="shared" si="73"/>
        <v>0.89655172413793105</v>
      </c>
      <c r="Y1333" s="19">
        <f t="shared" si="74"/>
        <v>5.8953574060427449E-3</v>
      </c>
      <c r="Z1333" s="26"/>
    </row>
    <row r="1334" spans="1:26" x14ac:dyDescent="0.35">
      <c r="A1334" t="s">
        <v>122</v>
      </c>
      <c r="B1334" t="s">
        <v>122</v>
      </c>
      <c r="C1334" t="s">
        <v>123</v>
      </c>
      <c r="D1334" t="s">
        <v>101</v>
      </c>
      <c r="E1334" t="s">
        <v>99</v>
      </c>
      <c r="F1334" t="s">
        <v>12</v>
      </c>
      <c r="G1334">
        <v>1</v>
      </c>
      <c r="H1334">
        <v>130</v>
      </c>
      <c r="I1334">
        <v>0.89655172413793105</v>
      </c>
      <c r="J1334" s="25">
        <f t="shared" si="71"/>
        <v>0.89655172413793105</v>
      </c>
      <c r="K1334">
        <v>1349</v>
      </c>
      <c r="L1334">
        <v>8</v>
      </c>
      <c r="M1334">
        <v>5.8953574060427397E-3</v>
      </c>
      <c r="N1334" s="25">
        <f t="shared" si="70"/>
        <v>5.8953574060427449E-3</v>
      </c>
      <c r="O1334">
        <v>0.99410464259395703</v>
      </c>
      <c r="P1334" s="25">
        <f t="shared" si="72"/>
        <v>0.99410464259395726</v>
      </c>
      <c r="Q1334">
        <v>15</v>
      </c>
      <c r="R1334" t="s">
        <v>124</v>
      </c>
      <c r="S1334" t="s">
        <v>124</v>
      </c>
      <c r="T1334" t="s">
        <v>124</v>
      </c>
      <c r="U1334" t="s">
        <v>124</v>
      </c>
      <c r="X1334" s="19">
        <f t="shared" si="73"/>
        <v>0.89655172413793105</v>
      </c>
      <c r="Y1334" s="19">
        <f t="shared" si="74"/>
        <v>5.8953574060427449E-3</v>
      </c>
      <c r="Z1334" s="26"/>
    </row>
    <row r="1335" spans="1:26" x14ac:dyDescent="0.35">
      <c r="A1335" t="s">
        <v>122</v>
      </c>
      <c r="B1335" t="s">
        <v>122</v>
      </c>
      <c r="C1335" t="s">
        <v>123</v>
      </c>
      <c r="D1335" t="s">
        <v>101</v>
      </c>
      <c r="E1335" t="s">
        <v>99</v>
      </c>
      <c r="F1335" t="s">
        <v>12</v>
      </c>
      <c r="G1335">
        <v>1</v>
      </c>
      <c r="H1335">
        <v>130</v>
      </c>
      <c r="I1335">
        <v>0.89655172413793105</v>
      </c>
      <c r="J1335" s="25">
        <f t="shared" si="71"/>
        <v>0.89655172413793105</v>
      </c>
      <c r="K1335">
        <v>1349</v>
      </c>
      <c r="L1335">
        <v>8</v>
      </c>
      <c r="M1335">
        <v>5.8953574060427397E-3</v>
      </c>
      <c r="N1335" s="25">
        <f t="shared" si="70"/>
        <v>5.8953574060427449E-3</v>
      </c>
      <c r="O1335">
        <v>0.99410464259395703</v>
      </c>
      <c r="P1335" s="25">
        <f t="shared" si="72"/>
        <v>0.99410464259395726</v>
      </c>
      <c r="Q1335">
        <v>15</v>
      </c>
      <c r="R1335" t="s">
        <v>124</v>
      </c>
      <c r="S1335" t="s">
        <v>124</v>
      </c>
      <c r="T1335" t="s">
        <v>124</v>
      </c>
      <c r="U1335" t="s">
        <v>124</v>
      </c>
      <c r="X1335" s="19">
        <f t="shared" si="73"/>
        <v>0.89655172413793105</v>
      </c>
      <c r="Y1335" s="19">
        <f t="shared" si="74"/>
        <v>5.8953574060427449E-3</v>
      </c>
      <c r="Z1335" s="26"/>
    </row>
    <row r="1336" spans="1:26" x14ac:dyDescent="0.35">
      <c r="A1336" t="s">
        <v>122</v>
      </c>
      <c r="B1336" t="s">
        <v>122</v>
      </c>
      <c r="C1336" t="s">
        <v>123</v>
      </c>
      <c r="D1336" t="s">
        <v>101</v>
      </c>
      <c r="E1336" t="s">
        <v>99</v>
      </c>
      <c r="F1336" t="s">
        <v>12</v>
      </c>
      <c r="G1336">
        <v>1</v>
      </c>
      <c r="H1336">
        <v>130</v>
      </c>
      <c r="I1336">
        <v>0.89655172413793105</v>
      </c>
      <c r="J1336" s="25">
        <f t="shared" si="71"/>
        <v>0.89655172413793105</v>
      </c>
      <c r="K1336">
        <v>1349</v>
      </c>
      <c r="L1336">
        <v>8</v>
      </c>
      <c r="M1336">
        <v>5.8953574060427397E-3</v>
      </c>
      <c r="N1336" s="25">
        <f t="shared" si="70"/>
        <v>5.8953574060427449E-3</v>
      </c>
      <c r="O1336">
        <v>0.99410464259395703</v>
      </c>
      <c r="P1336" s="25">
        <f t="shared" si="72"/>
        <v>0.99410464259395726</v>
      </c>
      <c r="Q1336">
        <v>15</v>
      </c>
      <c r="R1336" t="s">
        <v>124</v>
      </c>
      <c r="S1336" t="s">
        <v>124</v>
      </c>
      <c r="T1336" t="s">
        <v>124</v>
      </c>
      <c r="U1336" t="s">
        <v>124</v>
      </c>
      <c r="X1336" s="19">
        <f t="shared" si="73"/>
        <v>0.89655172413793105</v>
      </c>
      <c r="Y1336" s="19">
        <f t="shared" si="74"/>
        <v>5.8953574060427449E-3</v>
      </c>
      <c r="Z1336" s="26"/>
    </row>
    <row r="1337" spans="1:26" x14ac:dyDescent="0.35">
      <c r="A1337" t="s">
        <v>122</v>
      </c>
      <c r="B1337" t="s">
        <v>122</v>
      </c>
      <c r="C1337" t="s">
        <v>123</v>
      </c>
      <c r="D1337" t="s">
        <v>101</v>
      </c>
      <c r="E1337" t="s">
        <v>99</v>
      </c>
      <c r="F1337" t="s">
        <v>12</v>
      </c>
      <c r="G1337">
        <v>1</v>
      </c>
      <c r="H1337">
        <v>130</v>
      </c>
      <c r="I1337">
        <v>0.89655172413793105</v>
      </c>
      <c r="J1337" s="25">
        <f t="shared" si="71"/>
        <v>0.89655172413793105</v>
      </c>
      <c r="K1337">
        <v>1349</v>
      </c>
      <c r="L1337">
        <v>8</v>
      </c>
      <c r="M1337">
        <v>5.8953574060427397E-3</v>
      </c>
      <c r="N1337" s="25">
        <f t="shared" si="70"/>
        <v>5.8953574060427449E-3</v>
      </c>
      <c r="O1337">
        <v>0.99410464259395703</v>
      </c>
      <c r="P1337" s="25">
        <f t="shared" si="72"/>
        <v>0.99410464259395726</v>
      </c>
      <c r="Q1337">
        <v>15</v>
      </c>
      <c r="R1337" t="s">
        <v>124</v>
      </c>
      <c r="S1337" t="s">
        <v>124</v>
      </c>
      <c r="T1337" t="s">
        <v>124</v>
      </c>
      <c r="U1337" t="s">
        <v>124</v>
      </c>
      <c r="X1337" s="19">
        <f t="shared" si="73"/>
        <v>0.89655172413793105</v>
      </c>
      <c r="Y1337" s="19">
        <f t="shared" si="74"/>
        <v>5.8953574060427449E-3</v>
      </c>
      <c r="Z1337" s="26"/>
    </row>
    <row r="1338" spans="1:26" x14ac:dyDescent="0.35">
      <c r="A1338" t="s">
        <v>122</v>
      </c>
      <c r="B1338" t="s">
        <v>122</v>
      </c>
      <c r="C1338" t="s">
        <v>123</v>
      </c>
      <c r="D1338" t="s">
        <v>101</v>
      </c>
      <c r="E1338" t="s">
        <v>99</v>
      </c>
      <c r="F1338" t="s">
        <v>12</v>
      </c>
      <c r="G1338">
        <v>1</v>
      </c>
      <c r="H1338">
        <v>130</v>
      </c>
      <c r="I1338">
        <v>0.89655172413793105</v>
      </c>
      <c r="J1338" s="25">
        <f t="shared" si="71"/>
        <v>0.89655172413793105</v>
      </c>
      <c r="K1338">
        <v>1349</v>
      </c>
      <c r="L1338">
        <v>8</v>
      </c>
      <c r="M1338">
        <v>5.8953574060427397E-3</v>
      </c>
      <c r="N1338" s="25">
        <f t="shared" si="70"/>
        <v>5.8953574060427449E-3</v>
      </c>
      <c r="O1338">
        <v>0.99410464259395703</v>
      </c>
      <c r="P1338" s="25">
        <f t="shared" si="72"/>
        <v>0.99410464259395726</v>
      </c>
      <c r="Q1338">
        <v>15</v>
      </c>
      <c r="R1338" t="s">
        <v>124</v>
      </c>
      <c r="S1338" t="s">
        <v>124</v>
      </c>
      <c r="T1338" t="s">
        <v>124</v>
      </c>
      <c r="U1338" t="s">
        <v>124</v>
      </c>
      <c r="X1338" s="19">
        <f t="shared" si="73"/>
        <v>0.89655172413793105</v>
      </c>
      <c r="Y1338" s="19">
        <f t="shared" si="74"/>
        <v>5.8953574060427449E-3</v>
      </c>
      <c r="Z1338" s="26"/>
    </row>
    <row r="1339" spans="1:26" x14ac:dyDescent="0.35">
      <c r="A1339" t="s">
        <v>122</v>
      </c>
      <c r="B1339" t="s">
        <v>122</v>
      </c>
      <c r="C1339" t="s">
        <v>123</v>
      </c>
      <c r="D1339" t="s">
        <v>101</v>
      </c>
      <c r="E1339" t="s">
        <v>99</v>
      </c>
      <c r="F1339" t="s">
        <v>12</v>
      </c>
      <c r="G1339">
        <v>1</v>
      </c>
      <c r="H1339">
        <v>130</v>
      </c>
      <c r="I1339">
        <v>0.89655172413793105</v>
      </c>
      <c r="J1339" s="25">
        <f t="shared" si="71"/>
        <v>0.89655172413793105</v>
      </c>
      <c r="K1339">
        <v>1349</v>
      </c>
      <c r="L1339">
        <v>8</v>
      </c>
      <c r="M1339">
        <v>5.8953574060427397E-3</v>
      </c>
      <c r="N1339" s="25">
        <f t="shared" si="70"/>
        <v>5.8953574060427449E-3</v>
      </c>
      <c r="O1339">
        <v>0.99410464259395703</v>
      </c>
      <c r="P1339" s="25">
        <f t="shared" si="72"/>
        <v>0.99410464259395726</v>
      </c>
      <c r="Q1339">
        <v>15</v>
      </c>
      <c r="R1339" t="s">
        <v>124</v>
      </c>
      <c r="S1339" t="s">
        <v>124</v>
      </c>
      <c r="T1339" t="s">
        <v>124</v>
      </c>
      <c r="U1339" t="s">
        <v>124</v>
      </c>
      <c r="X1339" s="19">
        <f t="shared" si="73"/>
        <v>0.89655172413793105</v>
      </c>
      <c r="Y1339" s="19">
        <f t="shared" si="74"/>
        <v>5.8953574060427449E-3</v>
      </c>
      <c r="Z1339" s="26"/>
    </row>
    <row r="1340" spans="1:26" x14ac:dyDescent="0.35">
      <c r="A1340" t="s">
        <v>122</v>
      </c>
      <c r="B1340" t="s">
        <v>122</v>
      </c>
      <c r="C1340" t="s">
        <v>123</v>
      </c>
      <c r="D1340" t="s">
        <v>101</v>
      </c>
      <c r="E1340" t="s">
        <v>99</v>
      </c>
      <c r="F1340" t="s">
        <v>12</v>
      </c>
      <c r="G1340">
        <v>1</v>
      </c>
      <c r="H1340">
        <v>130</v>
      </c>
      <c r="I1340">
        <v>0.89655172413793105</v>
      </c>
      <c r="J1340" s="25">
        <f t="shared" si="71"/>
        <v>0.89655172413793105</v>
      </c>
      <c r="K1340">
        <v>1349</v>
      </c>
      <c r="L1340">
        <v>8</v>
      </c>
      <c r="M1340">
        <v>5.8953574060427397E-3</v>
      </c>
      <c r="N1340" s="25">
        <f t="shared" si="70"/>
        <v>5.8953574060427449E-3</v>
      </c>
      <c r="O1340">
        <v>0.99410464259395703</v>
      </c>
      <c r="P1340" s="25">
        <f t="shared" si="72"/>
        <v>0.99410464259395726</v>
      </c>
      <c r="Q1340">
        <v>15</v>
      </c>
      <c r="R1340" t="s">
        <v>124</v>
      </c>
      <c r="S1340" t="s">
        <v>124</v>
      </c>
      <c r="T1340" t="s">
        <v>124</v>
      </c>
      <c r="U1340" t="s">
        <v>124</v>
      </c>
      <c r="X1340" s="19">
        <f t="shared" si="73"/>
        <v>0.89655172413793105</v>
      </c>
      <c r="Y1340" s="19">
        <f t="shared" si="74"/>
        <v>5.8953574060427449E-3</v>
      </c>
      <c r="Z1340" s="26"/>
    </row>
    <row r="1341" spans="1:26" x14ac:dyDescent="0.35">
      <c r="A1341" t="s">
        <v>122</v>
      </c>
      <c r="B1341" t="s">
        <v>122</v>
      </c>
      <c r="C1341" t="s">
        <v>123</v>
      </c>
      <c r="D1341" t="s">
        <v>101</v>
      </c>
      <c r="E1341" t="s">
        <v>99</v>
      </c>
      <c r="F1341" t="s">
        <v>12</v>
      </c>
      <c r="G1341">
        <v>1</v>
      </c>
      <c r="H1341">
        <v>130</v>
      </c>
      <c r="I1341">
        <v>0.89655172413793105</v>
      </c>
      <c r="J1341" s="25">
        <f t="shared" si="71"/>
        <v>0.89655172413793105</v>
      </c>
      <c r="K1341">
        <v>1349</v>
      </c>
      <c r="L1341">
        <v>8</v>
      </c>
      <c r="M1341">
        <v>5.8953574060427397E-3</v>
      </c>
      <c r="N1341" s="25">
        <f t="shared" si="70"/>
        <v>5.8953574060427449E-3</v>
      </c>
      <c r="O1341">
        <v>0.99410464259395703</v>
      </c>
      <c r="P1341" s="25">
        <f t="shared" si="72"/>
        <v>0.99410464259395726</v>
      </c>
      <c r="Q1341">
        <v>15</v>
      </c>
      <c r="R1341" t="s">
        <v>124</v>
      </c>
      <c r="S1341" t="s">
        <v>124</v>
      </c>
      <c r="T1341" t="s">
        <v>124</v>
      </c>
      <c r="U1341" t="s">
        <v>124</v>
      </c>
      <c r="X1341" s="19">
        <f t="shared" si="73"/>
        <v>0.89655172413793105</v>
      </c>
      <c r="Y1341" s="19">
        <f t="shared" si="74"/>
        <v>5.8953574060427449E-3</v>
      </c>
      <c r="Z1341" s="26"/>
    </row>
    <row r="1342" spans="1:26" x14ac:dyDescent="0.35">
      <c r="A1342" t="s">
        <v>122</v>
      </c>
      <c r="B1342" t="s">
        <v>122</v>
      </c>
      <c r="C1342" t="s">
        <v>123</v>
      </c>
      <c r="D1342" t="s">
        <v>101</v>
      </c>
      <c r="E1342" t="s">
        <v>99</v>
      </c>
      <c r="F1342" t="s">
        <v>12</v>
      </c>
      <c r="G1342">
        <v>1</v>
      </c>
      <c r="H1342">
        <v>130</v>
      </c>
      <c r="I1342">
        <v>0.89655172413793105</v>
      </c>
      <c r="J1342" s="25">
        <f t="shared" si="71"/>
        <v>0.89655172413793105</v>
      </c>
      <c r="K1342">
        <v>1349</v>
      </c>
      <c r="L1342">
        <v>8</v>
      </c>
      <c r="M1342">
        <v>5.8953574060427397E-3</v>
      </c>
      <c r="N1342" s="25">
        <f t="shared" si="70"/>
        <v>5.8953574060427449E-3</v>
      </c>
      <c r="O1342">
        <v>0.99410464259395703</v>
      </c>
      <c r="P1342" s="25">
        <f t="shared" si="72"/>
        <v>0.99410464259395726</v>
      </c>
      <c r="Q1342">
        <v>15</v>
      </c>
      <c r="R1342" t="s">
        <v>124</v>
      </c>
      <c r="S1342" t="s">
        <v>124</v>
      </c>
      <c r="T1342" t="s">
        <v>124</v>
      </c>
      <c r="U1342" t="s">
        <v>124</v>
      </c>
      <c r="X1342" s="19">
        <f t="shared" si="73"/>
        <v>0.89655172413793105</v>
      </c>
      <c r="Y1342" s="19">
        <f t="shared" si="74"/>
        <v>5.8953574060427449E-3</v>
      </c>
      <c r="Z1342" s="26"/>
    </row>
    <row r="1343" spans="1:26" x14ac:dyDescent="0.35">
      <c r="A1343" t="s">
        <v>122</v>
      </c>
      <c r="B1343" t="s">
        <v>122</v>
      </c>
      <c r="C1343" t="s">
        <v>123</v>
      </c>
      <c r="D1343" t="s">
        <v>101</v>
      </c>
      <c r="E1343" t="s">
        <v>99</v>
      </c>
      <c r="F1343" t="s">
        <v>12</v>
      </c>
      <c r="G1343">
        <v>1</v>
      </c>
      <c r="H1343">
        <v>130</v>
      </c>
      <c r="I1343">
        <v>0.89655172413793105</v>
      </c>
      <c r="J1343" s="25">
        <f t="shared" si="71"/>
        <v>0.89655172413793105</v>
      </c>
      <c r="K1343">
        <v>1349</v>
      </c>
      <c r="L1343">
        <v>8</v>
      </c>
      <c r="M1343">
        <v>5.8953574060427397E-3</v>
      </c>
      <c r="N1343" s="25">
        <f t="shared" si="70"/>
        <v>5.8953574060427449E-3</v>
      </c>
      <c r="O1343">
        <v>0.99410464259395703</v>
      </c>
      <c r="P1343" s="25">
        <f t="shared" si="72"/>
        <v>0.99410464259395726</v>
      </c>
      <c r="Q1343">
        <v>15</v>
      </c>
      <c r="R1343" t="s">
        <v>124</v>
      </c>
      <c r="S1343" t="s">
        <v>124</v>
      </c>
      <c r="T1343" t="s">
        <v>124</v>
      </c>
      <c r="U1343" t="s">
        <v>124</v>
      </c>
      <c r="X1343" s="19">
        <f t="shared" si="73"/>
        <v>0.89655172413793105</v>
      </c>
      <c r="Y1343" s="19">
        <f t="shared" si="74"/>
        <v>5.8953574060427449E-3</v>
      </c>
      <c r="Z1343" s="26"/>
    </row>
    <row r="1344" spans="1:26" x14ac:dyDescent="0.35">
      <c r="A1344" t="s">
        <v>122</v>
      </c>
      <c r="B1344" t="s">
        <v>122</v>
      </c>
      <c r="C1344" t="s">
        <v>123</v>
      </c>
      <c r="D1344" t="s">
        <v>101</v>
      </c>
      <c r="E1344" t="s">
        <v>99</v>
      </c>
      <c r="F1344" t="s">
        <v>12</v>
      </c>
      <c r="G1344">
        <v>1</v>
      </c>
      <c r="H1344">
        <v>130</v>
      </c>
      <c r="I1344">
        <v>0.89655172413793105</v>
      </c>
      <c r="J1344" s="25">
        <f t="shared" si="71"/>
        <v>0.89655172413793105</v>
      </c>
      <c r="K1344">
        <v>1349</v>
      </c>
      <c r="L1344">
        <v>8</v>
      </c>
      <c r="M1344">
        <v>5.8953574060427397E-3</v>
      </c>
      <c r="N1344" s="25">
        <f t="shared" si="70"/>
        <v>5.8953574060427449E-3</v>
      </c>
      <c r="O1344">
        <v>0.99410464259395703</v>
      </c>
      <c r="P1344" s="25">
        <f t="shared" si="72"/>
        <v>0.99410464259395726</v>
      </c>
      <c r="Q1344">
        <v>15</v>
      </c>
      <c r="R1344" t="s">
        <v>124</v>
      </c>
      <c r="S1344" t="s">
        <v>124</v>
      </c>
      <c r="T1344" t="s">
        <v>124</v>
      </c>
      <c r="U1344" t="s">
        <v>124</v>
      </c>
      <c r="X1344" s="19">
        <f t="shared" si="73"/>
        <v>0.89655172413793105</v>
      </c>
      <c r="Y1344" s="19">
        <f t="shared" si="74"/>
        <v>5.8953574060427449E-3</v>
      </c>
      <c r="Z1344" s="26"/>
    </row>
    <row r="1345" spans="1:26" x14ac:dyDescent="0.35">
      <c r="A1345" t="s">
        <v>122</v>
      </c>
      <c r="B1345" t="s">
        <v>122</v>
      </c>
      <c r="C1345" t="s">
        <v>123</v>
      </c>
      <c r="D1345" t="s">
        <v>101</v>
      </c>
      <c r="E1345" t="s">
        <v>99</v>
      </c>
      <c r="F1345" t="s">
        <v>12</v>
      </c>
      <c r="G1345">
        <v>1</v>
      </c>
      <c r="H1345">
        <v>130</v>
      </c>
      <c r="I1345">
        <v>0.89655172413793105</v>
      </c>
      <c r="J1345" s="25">
        <f t="shared" si="71"/>
        <v>0.89655172413793105</v>
      </c>
      <c r="K1345">
        <v>1349</v>
      </c>
      <c r="L1345">
        <v>8</v>
      </c>
      <c r="M1345">
        <v>5.8953574060427397E-3</v>
      </c>
      <c r="N1345" s="25">
        <f t="shared" si="70"/>
        <v>5.8953574060427449E-3</v>
      </c>
      <c r="O1345">
        <v>0.99410464259395703</v>
      </c>
      <c r="P1345" s="25">
        <f t="shared" si="72"/>
        <v>0.99410464259395726</v>
      </c>
      <c r="Q1345">
        <v>15</v>
      </c>
      <c r="R1345" t="s">
        <v>124</v>
      </c>
      <c r="S1345" t="s">
        <v>124</v>
      </c>
      <c r="T1345" t="s">
        <v>124</v>
      </c>
      <c r="U1345" t="s">
        <v>124</v>
      </c>
      <c r="X1345" s="19">
        <f t="shared" si="73"/>
        <v>0.89655172413793105</v>
      </c>
      <c r="Y1345" s="19">
        <f t="shared" si="74"/>
        <v>5.8953574060427449E-3</v>
      </c>
      <c r="Z1345" s="26"/>
    </row>
    <row r="1346" spans="1:26" x14ac:dyDescent="0.35">
      <c r="A1346" t="s">
        <v>122</v>
      </c>
      <c r="B1346" t="s">
        <v>122</v>
      </c>
      <c r="C1346" t="s">
        <v>123</v>
      </c>
      <c r="D1346" t="s">
        <v>101</v>
      </c>
      <c r="E1346" t="s">
        <v>99</v>
      </c>
      <c r="F1346" t="s">
        <v>12</v>
      </c>
      <c r="G1346">
        <v>1</v>
      </c>
      <c r="H1346">
        <v>130</v>
      </c>
      <c r="I1346">
        <v>0.89655172413793105</v>
      </c>
      <c r="J1346" s="25">
        <f t="shared" si="71"/>
        <v>0.89655172413793105</v>
      </c>
      <c r="K1346">
        <v>1349</v>
      </c>
      <c r="L1346">
        <v>8</v>
      </c>
      <c r="M1346">
        <v>5.8953574060427397E-3</v>
      </c>
      <c r="N1346" s="25">
        <f t="shared" ref="N1346:N1409" si="75">1-P1346</f>
        <v>5.8953574060427449E-3</v>
      </c>
      <c r="O1346">
        <v>0.99410464259395703</v>
      </c>
      <c r="P1346" s="25">
        <f t="shared" si="72"/>
        <v>0.99410464259395726</v>
      </c>
      <c r="Q1346">
        <v>15</v>
      </c>
      <c r="R1346" t="s">
        <v>124</v>
      </c>
      <c r="S1346" t="s">
        <v>124</v>
      </c>
      <c r="T1346" t="s">
        <v>124</v>
      </c>
      <c r="U1346" t="s">
        <v>124</v>
      </c>
      <c r="X1346" s="19">
        <f t="shared" si="73"/>
        <v>0.89655172413793105</v>
      </c>
      <c r="Y1346" s="19">
        <f t="shared" si="74"/>
        <v>5.8953574060427449E-3</v>
      </c>
      <c r="Z1346" s="26"/>
    </row>
    <row r="1347" spans="1:26" x14ac:dyDescent="0.35">
      <c r="A1347" t="s">
        <v>122</v>
      </c>
      <c r="B1347" t="s">
        <v>122</v>
      </c>
      <c r="C1347" t="s">
        <v>123</v>
      </c>
      <c r="D1347" t="s">
        <v>101</v>
      </c>
      <c r="E1347" t="s">
        <v>99</v>
      </c>
      <c r="F1347" t="s">
        <v>12</v>
      </c>
      <c r="G1347">
        <v>1</v>
      </c>
      <c r="H1347">
        <v>130</v>
      </c>
      <c r="I1347">
        <v>0.89655172413793105</v>
      </c>
      <c r="J1347" s="25">
        <f t="shared" ref="J1347:J1410" si="76">H1347/(H1347+Q1347)</f>
        <v>0.89655172413793105</v>
      </c>
      <c r="K1347">
        <v>1349</v>
      </c>
      <c r="L1347">
        <v>8</v>
      </c>
      <c r="M1347">
        <v>5.8953574060427397E-3</v>
      </c>
      <c r="N1347" s="25">
        <f t="shared" si="75"/>
        <v>5.8953574060427449E-3</v>
      </c>
      <c r="O1347">
        <v>0.99410464259395703</v>
      </c>
      <c r="P1347" s="25">
        <f t="shared" ref="P1347:P1410" si="77">K1347/(K1347+L1347)</f>
        <v>0.99410464259395726</v>
      </c>
      <c r="Q1347">
        <v>15</v>
      </c>
      <c r="R1347" t="s">
        <v>124</v>
      </c>
      <c r="S1347" t="s">
        <v>124</v>
      </c>
      <c r="T1347" t="s">
        <v>124</v>
      </c>
      <c r="U1347" t="s">
        <v>124</v>
      </c>
      <c r="X1347" s="19">
        <f t="shared" si="73"/>
        <v>0.89655172413793105</v>
      </c>
      <c r="Y1347" s="19">
        <f t="shared" si="74"/>
        <v>5.8953574060427449E-3</v>
      </c>
      <c r="Z1347" s="26"/>
    </row>
    <row r="1348" spans="1:26" x14ac:dyDescent="0.35">
      <c r="A1348" t="s">
        <v>122</v>
      </c>
      <c r="B1348" t="s">
        <v>122</v>
      </c>
      <c r="C1348" t="s">
        <v>123</v>
      </c>
      <c r="D1348" t="s">
        <v>101</v>
      </c>
      <c r="E1348" t="s">
        <v>99</v>
      </c>
      <c r="F1348" t="s">
        <v>12</v>
      </c>
      <c r="G1348">
        <v>1</v>
      </c>
      <c r="H1348">
        <v>130</v>
      </c>
      <c r="I1348">
        <v>0.89655172413793105</v>
      </c>
      <c r="J1348" s="25">
        <f t="shared" si="76"/>
        <v>0.89655172413793105</v>
      </c>
      <c r="K1348">
        <v>1349</v>
      </c>
      <c r="L1348">
        <v>8</v>
      </c>
      <c r="M1348">
        <v>5.8953574060427397E-3</v>
      </c>
      <c r="N1348" s="25">
        <f t="shared" si="75"/>
        <v>5.8953574060427449E-3</v>
      </c>
      <c r="O1348">
        <v>0.99410464259395703</v>
      </c>
      <c r="P1348" s="25">
        <f t="shared" si="77"/>
        <v>0.99410464259395726</v>
      </c>
      <c r="Q1348">
        <v>15</v>
      </c>
      <c r="R1348" t="s">
        <v>124</v>
      </c>
      <c r="S1348" t="s">
        <v>124</v>
      </c>
      <c r="T1348" t="s">
        <v>124</v>
      </c>
      <c r="U1348" t="s">
        <v>124</v>
      </c>
      <c r="X1348" s="19">
        <f t="shared" si="73"/>
        <v>0.89655172413793105</v>
      </c>
      <c r="Y1348" s="19">
        <f t="shared" si="74"/>
        <v>5.8953574060427449E-3</v>
      </c>
      <c r="Z1348" s="26"/>
    </row>
    <row r="1349" spans="1:26" x14ac:dyDescent="0.35">
      <c r="A1349" t="s">
        <v>122</v>
      </c>
      <c r="B1349" t="s">
        <v>122</v>
      </c>
      <c r="C1349" t="s">
        <v>123</v>
      </c>
      <c r="D1349" t="s">
        <v>101</v>
      </c>
      <c r="E1349" t="s">
        <v>99</v>
      </c>
      <c r="F1349" t="s">
        <v>12</v>
      </c>
      <c r="G1349">
        <v>1</v>
      </c>
      <c r="H1349">
        <v>130</v>
      </c>
      <c r="I1349">
        <v>0.89655172413793105</v>
      </c>
      <c r="J1349" s="25">
        <f t="shared" si="76"/>
        <v>0.89655172413793105</v>
      </c>
      <c r="K1349">
        <v>1349</v>
      </c>
      <c r="L1349">
        <v>8</v>
      </c>
      <c r="M1349">
        <v>5.8953574060427397E-3</v>
      </c>
      <c r="N1349" s="25">
        <f t="shared" si="75"/>
        <v>5.8953574060427449E-3</v>
      </c>
      <c r="O1349">
        <v>0.99410464259395703</v>
      </c>
      <c r="P1349" s="25">
        <f t="shared" si="77"/>
        <v>0.99410464259395726</v>
      </c>
      <c r="Q1349">
        <v>15</v>
      </c>
      <c r="R1349" t="s">
        <v>124</v>
      </c>
      <c r="S1349" t="s">
        <v>124</v>
      </c>
      <c r="T1349" t="s">
        <v>124</v>
      </c>
      <c r="U1349" t="s">
        <v>124</v>
      </c>
      <c r="X1349" s="19">
        <f t="shared" si="73"/>
        <v>0.89655172413793105</v>
      </c>
      <c r="Y1349" s="19">
        <f t="shared" si="74"/>
        <v>5.8953574060427449E-3</v>
      </c>
      <c r="Z1349" s="26"/>
    </row>
    <row r="1350" spans="1:26" x14ac:dyDescent="0.35">
      <c r="A1350" t="s">
        <v>122</v>
      </c>
      <c r="B1350" t="s">
        <v>122</v>
      </c>
      <c r="C1350" t="s">
        <v>123</v>
      </c>
      <c r="D1350" t="s">
        <v>101</v>
      </c>
      <c r="E1350" t="s">
        <v>99</v>
      </c>
      <c r="F1350" t="s">
        <v>12</v>
      </c>
      <c r="G1350">
        <v>1</v>
      </c>
      <c r="H1350">
        <v>130</v>
      </c>
      <c r="I1350">
        <v>0.89655172413793105</v>
      </c>
      <c r="J1350" s="25">
        <f t="shared" si="76"/>
        <v>0.89655172413793105</v>
      </c>
      <c r="K1350">
        <v>1349</v>
      </c>
      <c r="L1350">
        <v>8</v>
      </c>
      <c r="M1350">
        <v>5.8953574060427397E-3</v>
      </c>
      <c r="N1350" s="25">
        <f t="shared" si="75"/>
        <v>5.8953574060427449E-3</v>
      </c>
      <c r="O1350">
        <v>0.99410464259395703</v>
      </c>
      <c r="P1350" s="25">
        <f t="shared" si="77"/>
        <v>0.99410464259395726</v>
      </c>
      <c r="Q1350">
        <v>15</v>
      </c>
      <c r="R1350" t="s">
        <v>124</v>
      </c>
      <c r="S1350" t="s">
        <v>124</v>
      </c>
      <c r="T1350" t="s">
        <v>124</v>
      </c>
      <c r="U1350" t="s">
        <v>124</v>
      </c>
      <c r="X1350" s="19">
        <f t="shared" si="73"/>
        <v>0.89655172413793105</v>
      </c>
      <c r="Y1350" s="19">
        <f t="shared" si="74"/>
        <v>5.8953574060427449E-3</v>
      </c>
      <c r="Z1350" s="26"/>
    </row>
    <row r="1351" spans="1:26" x14ac:dyDescent="0.35">
      <c r="A1351" t="s">
        <v>122</v>
      </c>
      <c r="B1351" t="s">
        <v>122</v>
      </c>
      <c r="C1351" t="s">
        <v>123</v>
      </c>
      <c r="D1351" t="s">
        <v>101</v>
      </c>
      <c r="E1351" t="s">
        <v>99</v>
      </c>
      <c r="F1351" t="s">
        <v>12</v>
      </c>
      <c r="G1351">
        <v>1</v>
      </c>
      <c r="H1351">
        <v>130</v>
      </c>
      <c r="I1351">
        <v>0.89655172413793105</v>
      </c>
      <c r="J1351" s="25">
        <f t="shared" si="76"/>
        <v>0.89655172413793105</v>
      </c>
      <c r="K1351">
        <v>1349</v>
      </c>
      <c r="L1351">
        <v>8</v>
      </c>
      <c r="M1351">
        <v>5.8953574060427397E-3</v>
      </c>
      <c r="N1351" s="25">
        <f t="shared" si="75"/>
        <v>5.8953574060427449E-3</v>
      </c>
      <c r="O1351">
        <v>0.99410464259395703</v>
      </c>
      <c r="P1351" s="25">
        <f t="shared" si="77"/>
        <v>0.99410464259395726</v>
      </c>
      <c r="Q1351">
        <v>15</v>
      </c>
      <c r="R1351" t="s">
        <v>124</v>
      </c>
      <c r="S1351" t="s">
        <v>124</v>
      </c>
      <c r="T1351" t="s">
        <v>124</v>
      </c>
      <c r="U1351" t="s">
        <v>124</v>
      </c>
      <c r="X1351" s="19">
        <f t="shared" si="73"/>
        <v>0.89655172413793105</v>
      </c>
      <c r="Y1351" s="19">
        <f t="shared" si="74"/>
        <v>5.8953574060427449E-3</v>
      </c>
      <c r="Z1351" s="26"/>
    </row>
    <row r="1352" spans="1:26" x14ac:dyDescent="0.35">
      <c r="A1352" t="s">
        <v>122</v>
      </c>
      <c r="B1352" t="s">
        <v>122</v>
      </c>
      <c r="C1352" t="s">
        <v>123</v>
      </c>
      <c r="D1352" t="s">
        <v>101</v>
      </c>
      <c r="E1352" t="s">
        <v>99</v>
      </c>
      <c r="F1352" t="s">
        <v>12</v>
      </c>
      <c r="G1352">
        <v>1</v>
      </c>
      <c r="H1352">
        <v>130</v>
      </c>
      <c r="I1352">
        <v>0.89655172413793105</v>
      </c>
      <c r="J1352" s="25">
        <f t="shared" si="76"/>
        <v>0.89655172413793105</v>
      </c>
      <c r="K1352">
        <v>1349</v>
      </c>
      <c r="L1352">
        <v>8</v>
      </c>
      <c r="M1352">
        <v>5.8953574060427397E-3</v>
      </c>
      <c r="N1352" s="25">
        <f t="shared" si="75"/>
        <v>5.8953574060427449E-3</v>
      </c>
      <c r="O1352">
        <v>0.99410464259395703</v>
      </c>
      <c r="P1352" s="25">
        <f t="shared" si="77"/>
        <v>0.99410464259395726</v>
      </c>
      <c r="Q1352">
        <v>15</v>
      </c>
      <c r="R1352" t="s">
        <v>124</v>
      </c>
      <c r="S1352" t="s">
        <v>124</v>
      </c>
      <c r="T1352" t="s">
        <v>124</v>
      </c>
      <c r="U1352" t="s">
        <v>124</v>
      </c>
      <c r="X1352" s="19">
        <f t="shared" si="73"/>
        <v>0.89655172413793105</v>
      </c>
      <c r="Y1352" s="19">
        <f t="shared" si="74"/>
        <v>5.8953574060427449E-3</v>
      </c>
      <c r="Z1352" s="26"/>
    </row>
    <row r="1353" spans="1:26" x14ac:dyDescent="0.35">
      <c r="A1353" t="s">
        <v>122</v>
      </c>
      <c r="B1353" t="s">
        <v>122</v>
      </c>
      <c r="C1353" t="s">
        <v>123</v>
      </c>
      <c r="D1353" t="s">
        <v>101</v>
      </c>
      <c r="E1353" t="s">
        <v>99</v>
      </c>
      <c r="F1353" t="s">
        <v>12</v>
      </c>
      <c r="G1353">
        <v>1</v>
      </c>
      <c r="H1353">
        <v>130</v>
      </c>
      <c r="I1353">
        <v>0.89655172413793105</v>
      </c>
      <c r="J1353" s="25">
        <f t="shared" si="76"/>
        <v>0.89655172413793105</v>
      </c>
      <c r="K1353">
        <v>1349</v>
      </c>
      <c r="L1353">
        <v>8</v>
      </c>
      <c r="M1353">
        <v>5.8953574060427397E-3</v>
      </c>
      <c r="N1353" s="25">
        <f t="shared" si="75"/>
        <v>5.8953574060427449E-3</v>
      </c>
      <c r="O1353">
        <v>0.99410464259395703</v>
      </c>
      <c r="P1353" s="25">
        <f t="shared" si="77"/>
        <v>0.99410464259395726</v>
      </c>
      <c r="Q1353">
        <v>15</v>
      </c>
      <c r="R1353" t="s">
        <v>124</v>
      </c>
      <c r="S1353" t="s">
        <v>124</v>
      </c>
      <c r="T1353" t="s">
        <v>124</v>
      </c>
      <c r="U1353" t="s">
        <v>124</v>
      </c>
      <c r="X1353" s="19">
        <f t="shared" si="73"/>
        <v>0.89655172413793105</v>
      </c>
      <c r="Y1353" s="19">
        <f t="shared" si="74"/>
        <v>5.8953574060427449E-3</v>
      </c>
      <c r="Z1353" s="26"/>
    </row>
    <row r="1354" spans="1:26" x14ac:dyDescent="0.35">
      <c r="A1354" t="s">
        <v>122</v>
      </c>
      <c r="B1354" t="s">
        <v>122</v>
      </c>
      <c r="C1354" t="s">
        <v>123</v>
      </c>
      <c r="D1354" t="s">
        <v>101</v>
      </c>
      <c r="E1354" t="s">
        <v>99</v>
      </c>
      <c r="F1354" t="s">
        <v>12</v>
      </c>
      <c r="G1354">
        <v>1</v>
      </c>
      <c r="H1354">
        <v>130</v>
      </c>
      <c r="I1354">
        <v>0.89655172413793105</v>
      </c>
      <c r="J1354" s="25">
        <f t="shared" si="76"/>
        <v>0.89655172413793105</v>
      </c>
      <c r="K1354">
        <v>1349</v>
      </c>
      <c r="L1354">
        <v>8</v>
      </c>
      <c r="M1354">
        <v>5.8953574060427397E-3</v>
      </c>
      <c r="N1354" s="25">
        <f t="shared" si="75"/>
        <v>5.8953574060427449E-3</v>
      </c>
      <c r="O1354">
        <v>0.99410464259395703</v>
      </c>
      <c r="P1354" s="25">
        <f t="shared" si="77"/>
        <v>0.99410464259395726</v>
      </c>
      <c r="Q1354">
        <v>15</v>
      </c>
      <c r="R1354" t="s">
        <v>124</v>
      </c>
      <c r="S1354" t="s">
        <v>124</v>
      </c>
      <c r="T1354" t="s">
        <v>124</v>
      </c>
      <c r="U1354" t="s">
        <v>124</v>
      </c>
      <c r="X1354" s="19">
        <f t="shared" si="73"/>
        <v>0.89655172413793105</v>
      </c>
      <c r="Y1354" s="19">
        <f t="shared" si="74"/>
        <v>5.8953574060427449E-3</v>
      </c>
      <c r="Z1354" s="26"/>
    </row>
    <row r="1355" spans="1:26" x14ac:dyDescent="0.35">
      <c r="A1355" t="s">
        <v>122</v>
      </c>
      <c r="B1355" t="s">
        <v>122</v>
      </c>
      <c r="C1355" t="s">
        <v>123</v>
      </c>
      <c r="D1355" t="s">
        <v>101</v>
      </c>
      <c r="E1355" t="s">
        <v>99</v>
      </c>
      <c r="F1355" t="s">
        <v>12</v>
      </c>
      <c r="G1355">
        <v>1</v>
      </c>
      <c r="H1355">
        <v>130</v>
      </c>
      <c r="I1355">
        <v>0.89655172413793105</v>
      </c>
      <c r="J1355" s="25">
        <f t="shared" si="76"/>
        <v>0.89655172413793105</v>
      </c>
      <c r="K1355">
        <v>1349</v>
      </c>
      <c r="L1355">
        <v>8</v>
      </c>
      <c r="M1355">
        <v>5.8953574060427397E-3</v>
      </c>
      <c r="N1355" s="25">
        <f t="shared" si="75"/>
        <v>5.8953574060427449E-3</v>
      </c>
      <c r="O1355">
        <v>0.99410464259395703</v>
      </c>
      <c r="P1355" s="25">
        <f t="shared" si="77"/>
        <v>0.99410464259395726</v>
      </c>
      <c r="Q1355">
        <v>15</v>
      </c>
      <c r="R1355" t="s">
        <v>124</v>
      </c>
      <c r="S1355" t="s">
        <v>124</v>
      </c>
      <c r="T1355" t="s">
        <v>124</v>
      </c>
      <c r="U1355" t="s">
        <v>124</v>
      </c>
      <c r="X1355" s="19">
        <f t="shared" si="73"/>
        <v>0.89655172413793105</v>
      </c>
      <c r="Y1355" s="19">
        <f t="shared" si="74"/>
        <v>5.8953574060427449E-3</v>
      </c>
      <c r="Z1355" s="26"/>
    </row>
    <row r="1356" spans="1:26" x14ac:dyDescent="0.35">
      <c r="A1356" t="s">
        <v>122</v>
      </c>
      <c r="B1356" t="s">
        <v>122</v>
      </c>
      <c r="C1356" t="s">
        <v>123</v>
      </c>
      <c r="D1356" t="s">
        <v>101</v>
      </c>
      <c r="E1356" t="s">
        <v>99</v>
      </c>
      <c r="F1356" t="s">
        <v>12</v>
      </c>
      <c r="G1356">
        <v>1</v>
      </c>
      <c r="H1356">
        <v>130</v>
      </c>
      <c r="I1356">
        <v>0.89655172413793105</v>
      </c>
      <c r="J1356" s="25">
        <f t="shared" si="76"/>
        <v>0.89655172413793105</v>
      </c>
      <c r="K1356">
        <v>1349</v>
      </c>
      <c r="L1356">
        <v>8</v>
      </c>
      <c r="M1356">
        <v>5.8953574060427397E-3</v>
      </c>
      <c r="N1356" s="25">
        <f t="shared" si="75"/>
        <v>5.8953574060427449E-3</v>
      </c>
      <c r="O1356">
        <v>0.99410464259395703</v>
      </c>
      <c r="P1356" s="25">
        <f t="shared" si="77"/>
        <v>0.99410464259395726</v>
      </c>
      <c r="Q1356">
        <v>15</v>
      </c>
      <c r="R1356" t="s">
        <v>124</v>
      </c>
      <c r="S1356" t="s">
        <v>124</v>
      </c>
      <c r="T1356" t="s">
        <v>124</v>
      </c>
      <c r="U1356" t="s">
        <v>124</v>
      </c>
      <c r="X1356" s="19">
        <f t="shared" si="73"/>
        <v>0.89655172413793105</v>
      </c>
      <c r="Y1356" s="19">
        <f t="shared" si="74"/>
        <v>5.8953574060427449E-3</v>
      </c>
      <c r="Z1356" s="26"/>
    </row>
    <row r="1357" spans="1:26" x14ac:dyDescent="0.35">
      <c r="A1357" t="s">
        <v>122</v>
      </c>
      <c r="B1357" t="s">
        <v>122</v>
      </c>
      <c r="C1357" t="s">
        <v>123</v>
      </c>
      <c r="D1357" t="s">
        <v>101</v>
      </c>
      <c r="E1357" t="s">
        <v>99</v>
      </c>
      <c r="F1357" t="s">
        <v>12</v>
      </c>
      <c r="G1357">
        <v>1</v>
      </c>
      <c r="H1357">
        <v>130</v>
      </c>
      <c r="I1357">
        <v>0.89655172413793105</v>
      </c>
      <c r="J1357" s="25">
        <f t="shared" si="76"/>
        <v>0.89655172413793105</v>
      </c>
      <c r="K1357">
        <v>1349</v>
      </c>
      <c r="L1357">
        <v>8</v>
      </c>
      <c r="M1357">
        <v>5.8953574060427397E-3</v>
      </c>
      <c r="N1357" s="25">
        <f t="shared" si="75"/>
        <v>5.8953574060427449E-3</v>
      </c>
      <c r="O1357">
        <v>0.99410464259395703</v>
      </c>
      <c r="P1357" s="25">
        <f t="shared" si="77"/>
        <v>0.99410464259395726</v>
      </c>
      <c r="Q1357">
        <v>15</v>
      </c>
      <c r="R1357" t="s">
        <v>124</v>
      </c>
      <c r="S1357" t="s">
        <v>124</v>
      </c>
      <c r="T1357" t="s">
        <v>124</v>
      </c>
      <c r="U1357" t="s">
        <v>124</v>
      </c>
      <c r="X1357" s="19">
        <f t="shared" si="73"/>
        <v>0.89655172413793105</v>
      </c>
      <c r="Y1357" s="19">
        <f t="shared" si="74"/>
        <v>5.8953574060427449E-3</v>
      </c>
      <c r="Z1357" s="26"/>
    </row>
    <row r="1358" spans="1:26" x14ac:dyDescent="0.35">
      <c r="A1358" t="s">
        <v>122</v>
      </c>
      <c r="B1358" t="s">
        <v>122</v>
      </c>
      <c r="C1358" t="s">
        <v>123</v>
      </c>
      <c r="D1358" t="s">
        <v>101</v>
      </c>
      <c r="E1358" t="s">
        <v>99</v>
      </c>
      <c r="F1358" t="s">
        <v>12</v>
      </c>
      <c r="G1358">
        <v>1</v>
      </c>
      <c r="H1358">
        <v>130</v>
      </c>
      <c r="I1358">
        <v>0.89655172413793105</v>
      </c>
      <c r="J1358" s="25">
        <f t="shared" si="76"/>
        <v>0.89655172413793105</v>
      </c>
      <c r="K1358">
        <v>1349</v>
      </c>
      <c r="L1358">
        <v>8</v>
      </c>
      <c r="M1358">
        <v>5.8953574060427397E-3</v>
      </c>
      <c r="N1358" s="25">
        <f t="shared" si="75"/>
        <v>5.8953574060427449E-3</v>
      </c>
      <c r="O1358">
        <v>0.99410464259395703</v>
      </c>
      <c r="P1358" s="25">
        <f t="shared" si="77"/>
        <v>0.99410464259395726</v>
      </c>
      <c r="Q1358">
        <v>15</v>
      </c>
      <c r="R1358" t="s">
        <v>124</v>
      </c>
      <c r="S1358" t="s">
        <v>124</v>
      </c>
      <c r="T1358" t="s">
        <v>124</v>
      </c>
      <c r="U1358" t="s">
        <v>124</v>
      </c>
      <c r="X1358" s="19">
        <f t="shared" si="73"/>
        <v>0.89655172413793105</v>
      </c>
      <c r="Y1358" s="19">
        <f t="shared" si="74"/>
        <v>5.8953574060427449E-3</v>
      </c>
      <c r="Z1358" s="26"/>
    </row>
    <row r="1359" spans="1:26" x14ac:dyDescent="0.35">
      <c r="A1359" t="s">
        <v>122</v>
      </c>
      <c r="B1359" t="s">
        <v>122</v>
      </c>
      <c r="C1359" t="s">
        <v>123</v>
      </c>
      <c r="D1359" t="s">
        <v>101</v>
      </c>
      <c r="E1359" t="s">
        <v>99</v>
      </c>
      <c r="F1359" t="s">
        <v>12</v>
      </c>
      <c r="G1359">
        <v>1</v>
      </c>
      <c r="H1359">
        <v>130</v>
      </c>
      <c r="I1359">
        <v>0.89655172413793105</v>
      </c>
      <c r="J1359" s="25">
        <f t="shared" si="76"/>
        <v>0.89655172413793105</v>
      </c>
      <c r="K1359">
        <v>1349</v>
      </c>
      <c r="L1359">
        <v>8</v>
      </c>
      <c r="M1359">
        <v>5.8953574060427397E-3</v>
      </c>
      <c r="N1359" s="25">
        <f t="shared" si="75"/>
        <v>5.8953574060427449E-3</v>
      </c>
      <c r="O1359">
        <v>0.99410464259395703</v>
      </c>
      <c r="P1359" s="25">
        <f t="shared" si="77"/>
        <v>0.99410464259395726</v>
      </c>
      <c r="Q1359">
        <v>15</v>
      </c>
      <c r="R1359" t="s">
        <v>124</v>
      </c>
      <c r="S1359" t="s">
        <v>124</v>
      </c>
      <c r="T1359" t="s">
        <v>124</v>
      </c>
      <c r="U1359" t="s">
        <v>124</v>
      </c>
      <c r="X1359" s="19">
        <f t="shared" si="73"/>
        <v>0.89655172413793105</v>
      </c>
      <c r="Y1359" s="19">
        <f t="shared" si="74"/>
        <v>5.8953574060427449E-3</v>
      </c>
      <c r="Z1359" s="26"/>
    </row>
    <row r="1360" spans="1:26" x14ac:dyDescent="0.35">
      <c r="A1360" t="s">
        <v>122</v>
      </c>
      <c r="B1360" t="s">
        <v>122</v>
      </c>
      <c r="C1360" t="s">
        <v>123</v>
      </c>
      <c r="D1360" t="s">
        <v>101</v>
      </c>
      <c r="E1360" t="s">
        <v>99</v>
      </c>
      <c r="F1360" t="s">
        <v>12</v>
      </c>
      <c r="G1360">
        <v>1</v>
      </c>
      <c r="H1360">
        <v>130</v>
      </c>
      <c r="I1360">
        <v>0.89655172413793105</v>
      </c>
      <c r="J1360" s="25">
        <f t="shared" si="76"/>
        <v>0.89655172413793105</v>
      </c>
      <c r="K1360">
        <v>1349</v>
      </c>
      <c r="L1360">
        <v>8</v>
      </c>
      <c r="M1360">
        <v>5.8953574060427397E-3</v>
      </c>
      <c r="N1360" s="25">
        <f t="shared" si="75"/>
        <v>5.8953574060427449E-3</v>
      </c>
      <c r="O1360">
        <v>0.99410464259395703</v>
      </c>
      <c r="P1360" s="25">
        <f t="shared" si="77"/>
        <v>0.99410464259395726</v>
      </c>
      <c r="Q1360">
        <v>15</v>
      </c>
      <c r="R1360" t="s">
        <v>124</v>
      </c>
      <c r="S1360" t="s">
        <v>124</v>
      </c>
      <c r="T1360" t="s">
        <v>124</v>
      </c>
      <c r="U1360" t="s">
        <v>124</v>
      </c>
      <c r="X1360" s="19">
        <f t="shared" si="73"/>
        <v>0.89655172413793105</v>
      </c>
      <c r="Y1360" s="19">
        <f t="shared" si="74"/>
        <v>5.8953574060427449E-3</v>
      </c>
      <c r="Z1360" s="26"/>
    </row>
    <row r="1361" spans="1:26" x14ac:dyDescent="0.35">
      <c r="A1361" t="s">
        <v>122</v>
      </c>
      <c r="B1361" t="s">
        <v>122</v>
      </c>
      <c r="C1361" t="s">
        <v>123</v>
      </c>
      <c r="D1361" t="s">
        <v>101</v>
      </c>
      <c r="E1361" t="s">
        <v>99</v>
      </c>
      <c r="F1361" t="s">
        <v>12</v>
      </c>
      <c r="G1361">
        <v>1</v>
      </c>
      <c r="H1361">
        <v>130</v>
      </c>
      <c r="I1361">
        <v>0.89655172413793105</v>
      </c>
      <c r="J1361" s="25">
        <f t="shared" si="76"/>
        <v>0.89655172413793105</v>
      </c>
      <c r="K1361">
        <v>1349</v>
      </c>
      <c r="L1361">
        <v>8</v>
      </c>
      <c r="M1361">
        <v>5.8953574060427397E-3</v>
      </c>
      <c r="N1361" s="25">
        <f t="shared" si="75"/>
        <v>5.8953574060427449E-3</v>
      </c>
      <c r="O1361">
        <v>0.99410464259395703</v>
      </c>
      <c r="P1361" s="25">
        <f t="shared" si="77"/>
        <v>0.99410464259395726</v>
      </c>
      <c r="Q1361">
        <v>15</v>
      </c>
      <c r="R1361" t="s">
        <v>124</v>
      </c>
      <c r="S1361" t="s">
        <v>124</v>
      </c>
      <c r="T1361" t="s">
        <v>124</v>
      </c>
      <c r="U1361" t="s">
        <v>124</v>
      </c>
      <c r="X1361" s="19">
        <f t="shared" si="73"/>
        <v>0.89655172413793105</v>
      </c>
      <c r="Y1361" s="19">
        <f t="shared" si="74"/>
        <v>5.8953574060427449E-3</v>
      </c>
      <c r="Z1361" s="26"/>
    </row>
    <row r="1362" spans="1:26" x14ac:dyDescent="0.35">
      <c r="A1362" t="s">
        <v>122</v>
      </c>
      <c r="B1362" t="s">
        <v>122</v>
      </c>
      <c r="C1362" t="s">
        <v>123</v>
      </c>
      <c r="D1362" t="s">
        <v>101</v>
      </c>
      <c r="E1362" t="s">
        <v>99</v>
      </c>
      <c r="F1362" t="s">
        <v>12</v>
      </c>
      <c r="G1362">
        <v>1</v>
      </c>
      <c r="H1362">
        <v>130</v>
      </c>
      <c r="I1362">
        <v>0.89655172413793105</v>
      </c>
      <c r="J1362" s="25">
        <f t="shared" si="76"/>
        <v>0.89655172413793105</v>
      </c>
      <c r="K1362">
        <v>1349</v>
      </c>
      <c r="L1362">
        <v>8</v>
      </c>
      <c r="M1362">
        <v>5.8953574060427397E-3</v>
      </c>
      <c r="N1362" s="25">
        <f t="shared" si="75"/>
        <v>5.8953574060427449E-3</v>
      </c>
      <c r="O1362">
        <v>0.99410464259395703</v>
      </c>
      <c r="P1362" s="25">
        <f t="shared" si="77"/>
        <v>0.99410464259395726</v>
      </c>
      <c r="Q1362">
        <v>15</v>
      </c>
      <c r="R1362" t="s">
        <v>124</v>
      </c>
      <c r="S1362" t="s">
        <v>124</v>
      </c>
      <c r="T1362" t="s">
        <v>124</v>
      </c>
      <c r="U1362" t="s">
        <v>124</v>
      </c>
      <c r="X1362" s="19">
        <f t="shared" si="73"/>
        <v>0.89655172413793105</v>
      </c>
      <c r="Y1362" s="19">
        <f t="shared" si="74"/>
        <v>5.8953574060427449E-3</v>
      </c>
      <c r="Z1362" s="26"/>
    </row>
    <row r="1363" spans="1:26" x14ac:dyDescent="0.35">
      <c r="A1363" t="s">
        <v>122</v>
      </c>
      <c r="B1363" t="s">
        <v>122</v>
      </c>
      <c r="C1363" t="s">
        <v>123</v>
      </c>
      <c r="D1363" t="s">
        <v>101</v>
      </c>
      <c r="E1363" t="s">
        <v>99</v>
      </c>
      <c r="F1363" t="s">
        <v>12</v>
      </c>
      <c r="G1363">
        <v>1</v>
      </c>
      <c r="H1363">
        <v>130</v>
      </c>
      <c r="I1363">
        <v>0.89655172413793105</v>
      </c>
      <c r="J1363" s="25">
        <f t="shared" si="76"/>
        <v>0.89655172413793105</v>
      </c>
      <c r="K1363">
        <v>1349</v>
      </c>
      <c r="L1363">
        <v>8</v>
      </c>
      <c r="M1363">
        <v>5.8953574060427397E-3</v>
      </c>
      <c r="N1363" s="25">
        <f t="shared" si="75"/>
        <v>5.8953574060427449E-3</v>
      </c>
      <c r="O1363">
        <v>0.99410464259395703</v>
      </c>
      <c r="P1363" s="25">
        <f t="shared" si="77"/>
        <v>0.99410464259395726</v>
      </c>
      <c r="Q1363">
        <v>15</v>
      </c>
      <c r="R1363" t="s">
        <v>124</v>
      </c>
      <c r="S1363" t="s">
        <v>124</v>
      </c>
      <c r="T1363" t="s">
        <v>124</v>
      </c>
      <c r="U1363" t="s">
        <v>124</v>
      </c>
      <c r="X1363" s="19">
        <f t="shared" si="73"/>
        <v>0.89655172413793105</v>
      </c>
      <c r="Y1363" s="19">
        <f t="shared" si="74"/>
        <v>5.8953574060427449E-3</v>
      </c>
      <c r="Z1363" s="26"/>
    </row>
    <row r="1364" spans="1:26" x14ac:dyDescent="0.35">
      <c r="A1364" t="s">
        <v>122</v>
      </c>
      <c r="B1364" t="s">
        <v>122</v>
      </c>
      <c r="C1364" t="s">
        <v>123</v>
      </c>
      <c r="D1364" t="s">
        <v>101</v>
      </c>
      <c r="E1364" t="s">
        <v>99</v>
      </c>
      <c r="F1364" t="s">
        <v>12</v>
      </c>
      <c r="G1364">
        <v>1</v>
      </c>
      <c r="H1364">
        <v>130</v>
      </c>
      <c r="I1364">
        <v>0.89655172413793105</v>
      </c>
      <c r="J1364" s="25">
        <f t="shared" si="76"/>
        <v>0.89655172413793105</v>
      </c>
      <c r="K1364">
        <v>1349</v>
      </c>
      <c r="L1364">
        <v>8</v>
      </c>
      <c r="M1364">
        <v>5.8953574060427397E-3</v>
      </c>
      <c r="N1364" s="25">
        <f t="shared" si="75"/>
        <v>5.8953574060427449E-3</v>
      </c>
      <c r="O1364">
        <v>0.99410464259395703</v>
      </c>
      <c r="P1364" s="25">
        <f t="shared" si="77"/>
        <v>0.99410464259395726</v>
      </c>
      <c r="Q1364">
        <v>15</v>
      </c>
      <c r="R1364" t="s">
        <v>124</v>
      </c>
      <c r="S1364" t="s">
        <v>124</v>
      </c>
      <c r="T1364" t="s">
        <v>124</v>
      </c>
      <c r="U1364" t="s">
        <v>124</v>
      </c>
      <c r="X1364" s="19">
        <f t="shared" si="73"/>
        <v>0.89655172413793105</v>
      </c>
      <c r="Y1364" s="19">
        <f t="shared" si="74"/>
        <v>5.8953574060427449E-3</v>
      </c>
      <c r="Z1364" s="26"/>
    </row>
    <row r="1365" spans="1:26" x14ac:dyDescent="0.35">
      <c r="A1365" t="s">
        <v>122</v>
      </c>
      <c r="B1365" t="s">
        <v>122</v>
      </c>
      <c r="C1365" t="s">
        <v>123</v>
      </c>
      <c r="D1365" t="s">
        <v>101</v>
      </c>
      <c r="E1365" t="s">
        <v>99</v>
      </c>
      <c r="F1365" t="s">
        <v>12</v>
      </c>
      <c r="G1365">
        <v>1</v>
      </c>
      <c r="H1365">
        <v>130</v>
      </c>
      <c r="I1365">
        <v>0.89655172413793105</v>
      </c>
      <c r="J1365" s="25">
        <f t="shared" si="76"/>
        <v>0.89655172413793105</v>
      </c>
      <c r="K1365">
        <v>1349</v>
      </c>
      <c r="L1365">
        <v>8</v>
      </c>
      <c r="M1365">
        <v>5.8953574060427397E-3</v>
      </c>
      <c r="N1365" s="25">
        <f t="shared" si="75"/>
        <v>5.8953574060427449E-3</v>
      </c>
      <c r="O1365">
        <v>0.99410464259395703</v>
      </c>
      <c r="P1365" s="25">
        <f t="shared" si="77"/>
        <v>0.99410464259395726</v>
      </c>
      <c r="Q1365">
        <v>15</v>
      </c>
      <c r="R1365" t="s">
        <v>124</v>
      </c>
      <c r="S1365" t="s">
        <v>124</v>
      </c>
      <c r="T1365" t="s">
        <v>124</v>
      </c>
      <c r="U1365" t="s">
        <v>124</v>
      </c>
      <c r="X1365" s="19">
        <f t="shared" si="73"/>
        <v>0.89655172413793105</v>
      </c>
      <c r="Y1365" s="19">
        <f t="shared" si="74"/>
        <v>5.8953574060427449E-3</v>
      </c>
      <c r="Z1365" s="26"/>
    </row>
    <row r="1366" spans="1:26" x14ac:dyDescent="0.35">
      <c r="A1366" t="s">
        <v>122</v>
      </c>
      <c r="B1366" t="s">
        <v>122</v>
      </c>
      <c r="C1366" t="s">
        <v>123</v>
      </c>
      <c r="D1366" t="s">
        <v>101</v>
      </c>
      <c r="E1366" t="s">
        <v>99</v>
      </c>
      <c r="F1366" t="s">
        <v>12</v>
      </c>
      <c r="G1366">
        <v>1</v>
      </c>
      <c r="H1366">
        <v>130</v>
      </c>
      <c r="I1366">
        <v>0.89655172413793105</v>
      </c>
      <c r="J1366" s="25">
        <f t="shared" si="76"/>
        <v>0.89655172413793105</v>
      </c>
      <c r="K1366">
        <v>1349</v>
      </c>
      <c r="L1366">
        <v>8</v>
      </c>
      <c r="M1366">
        <v>5.8953574060427397E-3</v>
      </c>
      <c r="N1366" s="25">
        <f t="shared" si="75"/>
        <v>5.8953574060427449E-3</v>
      </c>
      <c r="O1366">
        <v>0.99410464259395703</v>
      </c>
      <c r="P1366" s="25">
        <f t="shared" si="77"/>
        <v>0.99410464259395726</v>
      </c>
      <c r="Q1366">
        <v>15</v>
      </c>
      <c r="R1366" t="s">
        <v>124</v>
      </c>
      <c r="S1366" t="s">
        <v>124</v>
      </c>
      <c r="T1366" t="s">
        <v>124</v>
      </c>
      <c r="U1366" t="s">
        <v>124</v>
      </c>
      <c r="X1366" s="19">
        <f t="shared" si="73"/>
        <v>0.89655172413793105</v>
      </c>
      <c r="Y1366" s="19">
        <f t="shared" si="74"/>
        <v>5.8953574060427449E-3</v>
      </c>
      <c r="Z1366" s="26"/>
    </row>
    <row r="1367" spans="1:26" x14ac:dyDescent="0.35">
      <c r="A1367" t="s">
        <v>122</v>
      </c>
      <c r="B1367" t="s">
        <v>122</v>
      </c>
      <c r="C1367" t="s">
        <v>123</v>
      </c>
      <c r="D1367" t="s">
        <v>101</v>
      </c>
      <c r="E1367" t="s">
        <v>99</v>
      </c>
      <c r="F1367" t="s">
        <v>12</v>
      </c>
      <c r="G1367">
        <v>1</v>
      </c>
      <c r="H1367">
        <v>130</v>
      </c>
      <c r="I1367">
        <v>0.89655172413793105</v>
      </c>
      <c r="J1367" s="25">
        <f t="shared" si="76"/>
        <v>0.89655172413793105</v>
      </c>
      <c r="K1367">
        <v>1349</v>
      </c>
      <c r="L1367">
        <v>8</v>
      </c>
      <c r="M1367">
        <v>5.8953574060427397E-3</v>
      </c>
      <c r="N1367" s="25">
        <f t="shared" si="75"/>
        <v>5.8953574060427449E-3</v>
      </c>
      <c r="O1367">
        <v>0.99410464259395703</v>
      </c>
      <c r="P1367" s="25">
        <f t="shared" si="77"/>
        <v>0.99410464259395726</v>
      </c>
      <c r="Q1367">
        <v>15</v>
      </c>
      <c r="R1367" t="s">
        <v>124</v>
      </c>
      <c r="S1367" t="s">
        <v>124</v>
      </c>
      <c r="T1367" t="s">
        <v>124</v>
      </c>
      <c r="U1367" t="s">
        <v>124</v>
      </c>
      <c r="X1367" s="19">
        <f t="shared" si="73"/>
        <v>0.89655172413793105</v>
      </c>
      <c r="Y1367" s="19">
        <f t="shared" si="74"/>
        <v>5.8953574060427449E-3</v>
      </c>
      <c r="Z1367" s="26"/>
    </row>
    <row r="1368" spans="1:26" x14ac:dyDescent="0.35">
      <c r="A1368" t="s">
        <v>122</v>
      </c>
      <c r="B1368" t="s">
        <v>122</v>
      </c>
      <c r="C1368" t="s">
        <v>123</v>
      </c>
      <c r="D1368" t="s">
        <v>101</v>
      </c>
      <c r="E1368" t="s">
        <v>99</v>
      </c>
      <c r="F1368" t="s">
        <v>12</v>
      </c>
      <c r="G1368">
        <v>1</v>
      </c>
      <c r="H1368">
        <v>130</v>
      </c>
      <c r="I1368">
        <v>0.89655172413793105</v>
      </c>
      <c r="J1368" s="25">
        <f t="shared" si="76"/>
        <v>0.89655172413793105</v>
      </c>
      <c r="K1368">
        <v>1349</v>
      </c>
      <c r="L1368">
        <v>8</v>
      </c>
      <c r="M1368">
        <v>5.8953574060427397E-3</v>
      </c>
      <c r="N1368" s="25">
        <f t="shared" si="75"/>
        <v>5.8953574060427449E-3</v>
      </c>
      <c r="O1368">
        <v>0.99410464259395703</v>
      </c>
      <c r="P1368" s="25">
        <f t="shared" si="77"/>
        <v>0.99410464259395726</v>
      </c>
      <c r="Q1368">
        <v>15</v>
      </c>
      <c r="R1368" t="s">
        <v>124</v>
      </c>
      <c r="S1368" t="s">
        <v>124</v>
      </c>
      <c r="T1368" t="s">
        <v>124</v>
      </c>
      <c r="U1368" t="s">
        <v>124</v>
      </c>
      <c r="X1368" s="19">
        <f t="shared" si="73"/>
        <v>0.89655172413793105</v>
      </c>
      <c r="Y1368" s="19">
        <f t="shared" si="74"/>
        <v>5.8953574060427449E-3</v>
      </c>
      <c r="Z1368" s="26"/>
    </row>
    <row r="1369" spans="1:26" x14ac:dyDescent="0.35">
      <c r="A1369" t="s">
        <v>122</v>
      </c>
      <c r="B1369" t="s">
        <v>122</v>
      </c>
      <c r="C1369" t="s">
        <v>123</v>
      </c>
      <c r="D1369" t="s">
        <v>101</v>
      </c>
      <c r="E1369" t="s">
        <v>99</v>
      </c>
      <c r="F1369" t="s">
        <v>12</v>
      </c>
      <c r="G1369">
        <v>1</v>
      </c>
      <c r="H1369">
        <v>130</v>
      </c>
      <c r="I1369">
        <v>0.89655172413793105</v>
      </c>
      <c r="J1369" s="25">
        <f t="shared" si="76"/>
        <v>0.89655172413793105</v>
      </c>
      <c r="K1369">
        <v>1349</v>
      </c>
      <c r="L1369">
        <v>8</v>
      </c>
      <c r="M1369">
        <v>5.8953574060427397E-3</v>
      </c>
      <c r="N1369" s="25">
        <f t="shared" si="75"/>
        <v>5.8953574060427449E-3</v>
      </c>
      <c r="O1369">
        <v>0.99410464259395703</v>
      </c>
      <c r="P1369" s="25">
        <f t="shared" si="77"/>
        <v>0.99410464259395726</v>
      </c>
      <c r="Q1369">
        <v>15</v>
      </c>
      <c r="R1369" t="s">
        <v>124</v>
      </c>
      <c r="S1369" t="s">
        <v>124</v>
      </c>
      <c r="T1369" t="s">
        <v>124</v>
      </c>
      <c r="U1369" t="s">
        <v>124</v>
      </c>
      <c r="X1369" s="19">
        <f t="shared" si="73"/>
        <v>0.89655172413793105</v>
      </c>
      <c r="Y1369" s="19">
        <f t="shared" si="74"/>
        <v>5.8953574060427449E-3</v>
      </c>
      <c r="Z1369" s="26"/>
    </row>
    <row r="1370" spans="1:26" x14ac:dyDescent="0.35">
      <c r="A1370" t="s">
        <v>122</v>
      </c>
      <c r="B1370" t="s">
        <v>122</v>
      </c>
      <c r="C1370" t="s">
        <v>123</v>
      </c>
      <c r="D1370" t="s">
        <v>101</v>
      </c>
      <c r="E1370" t="s">
        <v>99</v>
      </c>
      <c r="F1370" t="s">
        <v>12</v>
      </c>
      <c r="G1370">
        <v>1</v>
      </c>
      <c r="H1370">
        <v>130</v>
      </c>
      <c r="I1370">
        <v>0.89655172413793105</v>
      </c>
      <c r="J1370" s="25">
        <f t="shared" si="76"/>
        <v>0.89655172413793105</v>
      </c>
      <c r="K1370">
        <v>1349</v>
      </c>
      <c r="L1370">
        <v>8</v>
      </c>
      <c r="M1370">
        <v>5.8953574060427397E-3</v>
      </c>
      <c r="N1370" s="25">
        <f t="shared" si="75"/>
        <v>5.8953574060427449E-3</v>
      </c>
      <c r="O1370">
        <v>0.99410464259395703</v>
      </c>
      <c r="P1370" s="25">
        <f t="shared" si="77"/>
        <v>0.99410464259395726</v>
      </c>
      <c r="Q1370">
        <v>15</v>
      </c>
      <c r="R1370" t="s">
        <v>124</v>
      </c>
      <c r="S1370" t="s">
        <v>124</v>
      </c>
      <c r="T1370" t="s">
        <v>124</v>
      </c>
      <c r="U1370" t="s">
        <v>124</v>
      </c>
      <c r="X1370" s="19">
        <f t="shared" si="73"/>
        <v>0.89655172413793105</v>
      </c>
      <c r="Y1370" s="19">
        <f t="shared" si="74"/>
        <v>5.8953574060427449E-3</v>
      </c>
      <c r="Z1370" s="26"/>
    </row>
    <row r="1371" spans="1:26" x14ac:dyDescent="0.35">
      <c r="A1371" t="s">
        <v>122</v>
      </c>
      <c r="B1371" t="s">
        <v>122</v>
      </c>
      <c r="C1371" t="s">
        <v>123</v>
      </c>
      <c r="D1371" t="s">
        <v>101</v>
      </c>
      <c r="E1371" t="s">
        <v>99</v>
      </c>
      <c r="F1371" t="s">
        <v>12</v>
      </c>
      <c r="G1371">
        <v>1</v>
      </c>
      <c r="H1371">
        <v>130</v>
      </c>
      <c r="I1371">
        <v>0.89655172413793105</v>
      </c>
      <c r="J1371" s="25">
        <f t="shared" si="76"/>
        <v>0.89655172413793105</v>
      </c>
      <c r="K1371">
        <v>1349</v>
      </c>
      <c r="L1371">
        <v>8</v>
      </c>
      <c r="M1371">
        <v>5.8953574060427397E-3</v>
      </c>
      <c r="N1371" s="25">
        <f t="shared" si="75"/>
        <v>5.8953574060427449E-3</v>
      </c>
      <c r="O1371">
        <v>0.99410464259395703</v>
      </c>
      <c r="P1371" s="25">
        <f t="shared" si="77"/>
        <v>0.99410464259395726</v>
      </c>
      <c r="Q1371">
        <v>15</v>
      </c>
      <c r="R1371" t="s">
        <v>124</v>
      </c>
      <c r="S1371" t="s">
        <v>124</v>
      </c>
      <c r="T1371" t="s">
        <v>124</v>
      </c>
      <c r="U1371" t="s">
        <v>124</v>
      </c>
      <c r="X1371" s="19">
        <f t="shared" si="73"/>
        <v>0.89655172413793105</v>
      </c>
      <c r="Y1371" s="19">
        <f t="shared" si="74"/>
        <v>5.8953574060427449E-3</v>
      </c>
      <c r="Z1371" s="26"/>
    </row>
    <row r="1372" spans="1:26" x14ac:dyDescent="0.35">
      <c r="A1372" t="s">
        <v>122</v>
      </c>
      <c r="B1372" t="s">
        <v>122</v>
      </c>
      <c r="C1372" t="s">
        <v>123</v>
      </c>
      <c r="D1372" t="s">
        <v>101</v>
      </c>
      <c r="E1372" t="s">
        <v>99</v>
      </c>
      <c r="F1372" t="s">
        <v>12</v>
      </c>
      <c r="G1372">
        <v>1</v>
      </c>
      <c r="H1372">
        <v>130</v>
      </c>
      <c r="I1372">
        <v>0.89655172413793105</v>
      </c>
      <c r="J1372" s="25">
        <f t="shared" si="76"/>
        <v>0.89655172413793105</v>
      </c>
      <c r="K1372">
        <v>1349</v>
      </c>
      <c r="L1372">
        <v>8</v>
      </c>
      <c r="M1372">
        <v>5.8953574060427397E-3</v>
      </c>
      <c r="N1372" s="25">
        <f t="shared" si="75"/>
        <v>5.8953574060427449E-3</v>
      </c>
      <c r="O1372">
        <v>0.99410464259395703</v>
      </c>
      <c r="P1372" s="25">
        <f t="shared" si="77"/>
        <v>0.99410464259395726</v>
      </c>
      <c r="Q1372">
        <v>15</v>
      </c>
      <c r="R1372" t="s">
        <v>124</v>
      </c>
      <c r="S1372" t="s">
        <v>124</v>
      </c>
      <c r="T1372" t="s">
        <v>124</v>
      </c>
      <c r="U1372" t="s">
        <v>124</v>
      </c>
      <c r="X1372" s="19">
        <f t="shared" si="73"/>
        <v>0.89655172413793105</v>
      </c>
      <c r="Y1372" s="19">
        <f t="shared" si="74"/>
        <v>5.8953574060427449E-3</v>
      </c>
      <c r="Z1372" s="26"/>
    </row>
    <row r="1373" spans="1:26" x14ac:dyDescent="0.35">
      <c r="A1373" t="s">
        <v>122</v>
      </c>
      <c r="B1373" t="s">
        <v>122</v>
      </c>
      <c r="C1373" t="s">
        <v>123</v>
      </c>
      <c r="D1373" t="s">
        <v>101</v>
      </c>
      <c r="E1373" t="s">
        <v>99</v>
      </c>
      <c r="F1373" t="s">
        <v>12</v>
      </c>
      <c r="G1373">
        <v>1</v>
      </c>
      <c r="H1373">
        <v>130</v>
      </c>
      <c r="I1373">
        <v>0.89655172413793105</v>
      </c>
      <c r="J1373" s="25">
        <f t="shared" si="76"/>
        <v>0.89655172413793105</v>
      </c>
      <c r="K1373">
        <v>1349</v>
      </c>
      <c r="L1373">
        <v>8</v>
      </c>
      <c r="M1373">
        <v>5.8953574060427397E-3</v>
      </c>
      <c r="N1373" s="25">
        <f t="shared" si="75"/>
        <v>5.8953574060427449E-3</v>
      </c>
      <c r="O1373">
        <v>0.99410464259395703</v>
      </c>
      <c r="P1373" s="25">
        <f t="shared" si="77"/>
        <v>0.99410464259395726</v>
      </c>
      <c r="Q1373">
        <v>15</v>
      </c>
      <c r="R1373" t="s">
        <v>124</v>
      </c>
      <c r="S1373" t="s">
        <v>124</v>
      </c>
      <c r="T1373" t="s">
        <v>124</v>
      </c>
      <c r="U1373" t="s">
        <v>124</v>
      </c>
      <c r="X1373" s="19">
        <f t="shared" si="73"/>
        <v>0.89655172413793105</v>
      </c>
      <c r="Y1373" s="19">
        <f t="shared" si="74"/>
        <v>5.8953574060427449E-3</v>
      </c>
      <c r="Z1373" s="26"/>
    </row>
    <row r="1374" spans="1:26" x14ac:dyDescent="0.35">
      <c r="A1374" t="s">
        <v>122</v>
      </c>
      <c r="B1374" t="s">
        <v>122</v>
      </c>
      <c r="C1374" t="s">
        <v>123</v>
      </c>
      <c r="D1374" t="s">
        <v>101</v>
      </c>
      <c r="E1374" t="s">
        <v>99</v>
      </c>
      <c r="F1374" t="s">
        <v>12</v>
      </c>
      <c r="G1374">
        <v>1</v>
      </c>
      <c r="H1374">
        <v>130</v>
      </c>
      <c r="I1374">
        <v>0.89655172413793105</v>
      </c>
      <c r="J1374" s="25">
        <f t="shared" si="76"/>
        <v>0.89655172413793105</v>
      </c>
      <c r="K1374">
        <v>1349</v>
      </c>
      <c r="L1374">
        <v>8</v>
      </c>
      <c r="M1374">
        <v>5.8953574060427397E-3</v>
      </c>
      <c r="N1374" s="25">
        <f t="shared" si="75"/>
        <v>5.8953574060427449E-3</v>
      </c>
      <c r="O1374">
        <v>0.99410464259395703</v>
      </c>
      <c r="P1374" s="25">
        <f t="shared" si="77"/>
        <v>0.99410464259395726</v>
      </c>
      <c r="Q1374">
        <v>15</v>
      </c>
      <c r="R1374" t="s">
        <v>124</v>
      </c>
      <c r="S1374" t="s">
        <v>124</v>
      </c>
      <c r="T1374" t="s">
        <v>124</v>
      </c>
      <c r="U1374" t="s">
        <v>124</v>
      </c>
      <c r="X1374" s="19">
        <f t="shared" si="73"/>
        <v>0.89655172413793105</v>
      </c>
      <c r="Y1374" s="19">
        <f t="shared" si="74"/>
        <v>5.8953574060427449E-3</v>
      </c>
      <c r="Z1374" s="26"/>
    </row>
    <row r="1375" spans="1:26" x14ac:dyDescent="0.35">
      <c r="A1375" t="s">
        <v>122</v>
      </c>
      <c r="B1375" t="s">
        <v>122</v>
      </c>
      <c r="C1375" t="s">
        <v>123</v>
      </c>
      <c r="D1375" t="s">
        <v>101</v>
      </c>
      <c r="E1375" t="s">
        <v>99</v>
      </c>
      <c r="F1375" t="s">
        <v>12</v>
      </c>
      <c r="G1375">
        <v>1</v>
      </c>
      <c r="H1375">
        <v>130</v>
      </c>
      <c r="I1375">
        <v>0.89655172413793105</v>
      </c>
      <c r="J1375" s="25">
        <f t="shared" si="76"/>
        <v>0.89655172413793105</v>
      </c>
      <c r="K1375">
        <v>1349</v>
      </c>
      <c r="L1375">
        <v>8</v>
      </c>
      <c r="M1375">
        <v>5.8953574060427397E-3</v>
      </c>
      <c r="N1375" s="25">
        <f t="shared" si="75"/>
        <v>5.8953574060427449E-3</v>
      </c>
      <c r="O1375">
        <v>0.99410464259395703</v>
      </c>
      <c r="P1375" s="25">
        <f t="shared" si="77"/>
        <v>0.99410464259395726</v>
      </c>
      <c r="Q1375">
        <v>15</v>
      </c>
      <c r="R1375" t="s">
        <v>124</v>
      </c>
      <c r="S1375" t="s">
        <v>124</v>
      </c>
      <c r="T1375" t="s">
        <v>124</v>
      </c>
      <c r="U1375" t="s">
        <v>124</v>
      </c>
      <c r="X1375" s="19">
        <f t="shared" si="73"/>
        <v>0.89655172413793105</v>
      </c>
      <c r="Y1375" s="19">
        <f t="shared" si="74"/>
        <v>5.8953574060427449E-3</v>
      </c>
      <c r="Z1375" s="26"/>
    </row>
    <row r="1376" spans="1:26" x14ac:dyDescent="0.35">
      <c r="A1376" t="s">
        <v>122</v>
      </c>
      <c r="B1376" t="s">
        <v>122</v>
      </c>
      <c r="C1376" t="s">
        <v>123</v>
      </c>
      <c r="D1376" t="s">
        <v>101</v>
      </c>
      <c r="E1376" t="s">
        <v>99</v>
      </c>
      <c r="F1376" t="s">
        <v>12</v>
      </c>
      <c r="G1376">
        <v>1</v>
      </c>
      <c r="H1376">
        <v>130</v>
      </c>
      <c r="I1376">
        <v>0.89655172413793105</v>
      </c>
      <c r="J1376" s="25">
        <f t="shared" si="76"/>
        <v>0.89655172413793105</v>
      </c>
      <c r="K1376">
        <v>1349</v>
      </c>
      <c r="L1376">
        <v>8</v>
      </c>
      <c r="M1376">
        <v>5.8953574060427397E-3</v>
      </c>
      <c r="N1376" s="25">
        <f t="shared" si="75"/>
        <v>5.8953574060427449E-3</v>
      </c>
      <c r="O1376">
        <v>0.99410464259395703</v>
      </c>
      <c r="P1376" s="25">
        <f t="shared" si="77"/>
        <v>0.99410464259395726</v>
      </c>
      <c r="Q1376">
        <v>15</v>
      </c>
      <c r="R1376" t="s">
        <v>124</v>
      </c>
      <c r="S1376" t="s">
        <v>124</v>
      </c>
      <c r="T1376" t="s">
        <v>124</v>
      </c>
      <c r="U1376" t="s">
        <v>124</v>
      </c>
      <c r="X1376" s="19">
        <f t="shared" si="73"/>
        <v>0.89655172413793105</v>
      </c>
      <c r="Y1376" s="19">
        <f t="shared" si="74"/>
        <v>5.8953574060427449E-3</v>
      </c>
      <c r="Z1376" s="26"/>
    </row>
    <row r="1377" spans="1:26" x14ac:dyDescent="0.35">
      <c r="A1377" t="s">
        <v>122</v>
      </c>
      <c r="B1377" t="s">
        <v>122</v>
      </c>
      <c r="C1377" t="s">
        <v>123</v>
      </c>
      <c r="D1377" t="s">
        <v>101</v>
      </c>
      <c r="E1377" t="s">
        <v>99</v>
      </c>
      <c r="F1377" t="s">
        <v>12</v>
      </c>
      <c r="G1377">
        <v>1</v>
      </c>
      <c r="H1377">
        <v>130</v>
      </c>
      <c r="I1377">
        <v>0.89655172413793105</v>
      </c>
      <c r="J1377" s="25">
        <f t="shared" si="76"/>
        <v>0.89655172413793105</v>
      </c>
      <c r="K1377">
        <v>1349</v>
      </c>
      <c r="L1377">
        <v>8</v>
      </c>
      <c r="M1377">
        <v>5.8953574060427397E-3</v>
      </c>
      <c r="N1377" s="25">
        <f t="shared" si="75"/>
        <v>5.8953574060427449E-3</v>
      </c>
      <c r="O1377">
        <v>0.99410464259395703</v>
      </c>
      <c r="P1377" s="25">
        <f t="shared" si="77"/>
        <v>0.99410464259395726</v>
      </c>
      <c r="Q1377">
        <v>15</v>
      </c>
      <c r="R1377" t="s">
        <v>124</v>
      </c>
      <c r="S1377" t="s">
        <v>124</v>
      </c>
      <c r="T1377" t="s">
        <v>124</v>
      </c>
      <c r="U1377" t="s">
        <v>124</v>
      </c>
      <c r="X1377" s="19">
        <f t="shared" si="73"/>
        <v>0.89655172413793105</v>
      </c>
      <c r="Y1377" s="19">
        <f t="shared" si="74"/>
        <v>5.8953574060427449E-3</v>
      </c>
      <c r="Z1377" s="26"/>
    </row>
    <row r="1378" spans="1:26" x14ac:dyDescent="0.35">
      <c r="A1378" t="s">
        <v>122</v>
      </c>
      <c r="B1378" t="s">
        <v>122</v>
      </c>
      <c r="C1378" t="s">
        <v>123</v>
      </c>
      <c r="D1378" t="s">
        <v>101</v>
      </c>
      <c r="E1378" t="s">
        <v>99</v>
      </c>
      <c r="F1378" t="s">
        <v>12</v>
      </c>
      <c r="G1378">
        <v>1</v>
      </c>
      <c r="H1378">
        <v>130</v>
      </c>
      <c r="I1378">
        <v>0.89655172413793105</v>
      </c>
      <c r="J1378" s="25">
        <f t="shared" si="76"/>
        <v>0.89655172413793105</v>
      </c>
      <c r="K1378">
        <v>1349</v>
      </c>
      <c r="L1378">
        <v>8</v>
      </c>
      <c r="M1378">
        <v>5.8953574060427397E-3</v>
      </c>
      <c r="N1378" s="25">
        <f t="shared" si="75"/>
        <v>5.8953574060427449E-3</v>
      </c>
      <c r="O1378">
        <v>0.99410464259395703</v>
      </c>
      <c r="P1378" s="25">
        <f t="shared" si="77"/>
        <v>0.99410464259395726</v>
      </c>
      <c r="Q1378">
        <v>15</v>
      </c>
      <c r="R1378" t="s">
        <v>124</v>
      </c>
      <c r="S1378" t="s">
        <v>124</v>
      </c>
      <c r="T1378" t="s">
        <v>124</v>
      </c>
      <c r="U1378" t="s">
        <v>124</v>
      </c>
      <c r="X1378" s="19">
        <f t="shared" si="73"/>
        <v>0.89655172413793105</v>
      </c>
      <c r="Y1378" s="19">
        <f t="shared" si="74"/>
        <v>5.8953574060427449E-3</v>
      </c>
      <c r="Z1378" s="26"/>
    </row>
    <row r="1379" spans="1:26" x14ac:dyDescent="0.35">
      <c r="A1379" t="s">
        <v>122</v>
      </c>
      <c r="B1379" t="s">
        <v>122</v>
      </c>
      <c r="C1379" t="s">
        <v>123</v>
      </c>
      <c r="D1379" t="s">
        <v>101</v>
      </c>
      <c r="E1379" t="s">
        <v>99</v>
      </c>
      <c r="F1379" t="s">
        <v>12</v>
      </c>
      <c r="G1379">
        <v>1</v>
      </c>
      <c r="H1379">
        <v>130</v>
      </c>
      <c r="I1379">
        <v>0.89655172413793105</v>
      </c>
      <c r="J1379" s="25">
        <f t="shared" si="76"/>
        <v>0.89655172413793105</v>
      </c>
      <c r="K1379">
        <v>1349</v>
      </c>
      <c r="L1379">
        <v>8</v>
      </c>
      <c r="M1379">
        <v>5.8953574060427397E-3</v>
      </c>
      <c r="N1379" s="25">
        <f t="shared" si="75"/>
        <v>5.8953574060427449E-3</v>
      </c>
      <c r="O1379">
        <v>0.99410464259395703</v>
      </c>
      <c r="P1379" s="25">
        <f t="shared" si="77"/>
        <v>0.99410464259395726</v>
      </c>
      <c r="Q1379">
        <v>15</v>
      </c>
      <c r="R1379" t="s">
        <v>124</v>
      </c>
      <c r="S1379" t="s">
        <v>124</v>
      </c>
      <c r="T1379" t="s">
        <v>124</v>
      </c>
      <c r="U1379" t="s">
        <v>124</v>
      </c>
      <c r="X1379" s="19">
        <f t="shared" si="73"/>
        <v>0.89655172413793105</v>
      </c>
      <c r="Y1379" s="19">
        <f t="shared" si="74"/>
        <v>5.8953574060427449E-3</v>
      </c>
      <c r="Z1379" s="26"/>
    </row>
    <row r="1380" spans="1:26" x14ac:dyDescent="0.35">
      <c r="A1380" t="s">
        <v>122</v>
      </c>
      <c r="B1380" t="s">
        <v>122</v>
      </c>
      <c r="C1380" t="s">
        <v>123</v>
      </c>
      <c r="D1380" t="s">
        <v>101</v>
      </c>
      <c r="E1380" t="s">
        <v>99</v>
      </c>
      <c r="F1380" t="s">
        <v>12</v>
      </c>
      <c r="G1380">
        <v>1</v>
      </c>
      <c r="H1380">
        <v>130</v>
      </c>
      <c r="I1380">
        <v>0.89655172413793105</v>
      </c>
      <c r="J1380" s="25">
        <f t="shared" si="76"/>
        <v>0.89655172413793105</v>
      </c>
      <c r="K1380">
        <v>1349</v>
      </c>
      <c r="L1380">
        <v>8</v>
      </c>
      <c r="M1380">
        <v>5.8953574060427397E-3</v>
      </c>
      <c r="N1380" s="25">
        <f t="shared" si="75"/>
        <v>5.8953574060427449E-3</v>
      </c>
      <c r="O1380">
        <v>0.99410464259395703</v>
      </c>
      <c r="P1380" s="25">
        <f t="shared" si="77"/>
        <v>0.99410464259395726</v>
      </c>
      <c r="Q1380">
        <v>15</v>
      </c>
      <c r="R1380" t="s">
        <v>124</v>
      </c>
      <c r="S1380" t="s">
        <v>124</v>
      </c>
      <c r="T1380" t="s">
        <v>124</v>
      </c>
      <c r="U1380" t="s">
        <v>124</v>
      </c>
      <c r="X1380" s="19">
        <f t="shared" si="73"/>
        <v>0.89655172413793105</v>
      </c>
      <c r="Y1380" s="19">
        <f t="shared" si="74"/>
        <v>5.8953574060427449E-3</v>
      </c>
      <c r="Z1380" s="26"/>
    </row>
    <row r="1381" spans="1:26" x14ac:dyDescent="0.35">
      <c r="A1381" t="s">
        <v>122</v>
      </c>
      <c r="B1381" t="s">
        <v>122</v>
      </c>
      <c r="C1381" t="s">
        <v>123</v>
      </c>
      <c r="D1381" t="s">
        <v>101</v>
      </c>
      <c r="E1381" t="s">
        <v>99</v>
      </c>
      <c r="F1381" t="s">
        <v>12</v>
      </c>
      <c r="G1381">
        <v>1</v>
      </c>
      <c r="H1381">
        <v>130</v>
      </c>
      <c r="I1381">
        <v>0.89655172413793105</v>
      </c>
      <c r="J1381" s="25">
        <f t="shared" si="76"/>
        <v>0.89655172413793105</v>
      </c>
      <c r="K1381">
        <v>1349</v>
      </c>
      <c r="L1381">
        <v>8</v>
      </c>
      <c r="M1381">
        <v>5.8953574060427397E-3</v>
      </c>
      <c r="N1381" s="25">
        <f t="shared" si="75"/>
        <v>5.8953574060427449E-3</v>
      </c>
      <c r="O1381">
        <v>0.99410464259395703</v>
      </c>
      <c r="P1381" s="25">
        <f t="shared" si="77"/>
        <v>0.99410464259395726</v>
      </c>
      <c r="Q1381">
        <v>15</v>
      </c>
      <c r="R1381" t="s">
        <v>124</v>
      </c>
      <c r="S1381" t="s">
        <v>124</v>
      </c>
      <c r="T1381" t="s">
        <v>124</v>
      </c>
      <c r="U1381" t="s">
        <v>124</v>
      </c>
      <c r="X1381" s="19">
        <f t="shared" si="73"/>
        <v>0.89655172413793105</v>
      </c>
      <c r="Y1381" s="19">
        <f t="shared" si="74"/>
        <v>5.8953574060427449E-3</v>
      </c>
      <c r="Z1381" s="26"/>
    </row>
    <row r="1382" spans="1:26" x14ac:dyDescent="0.35">
      <c r="A1382" t="s">
        <v>122</v>
      </c>
      <c r="B1382" t="s">
        <v>122</v>
      </c>
      <c r="C1382" t="s">
        <v>123</v>
      </c>
      <c r="D1382" t="s">
        <v>101</v>
      </c>
      <c r="E1382" t="s">
        <v>99</v>
      </c>
      <c r="F1382" t="s">
        <v>12</v>
      </c>
      <c r="G1382">
        <v>1</v>
      </c>
      <c r="H1382">
        <v>130</v>
      </c>
      <c r="I1382">
        <v>0.89655172413793105</v>
      </c>
      <c r="J1382" s="25">
        <f t="shared" si="76"/>
        <v>0.89655172413793105</v>
      </c>
      <c r="K1382">
        <v>1349</v>
      </c>
      <c r="L1382">
        <v>8</v>
      </c>
      <c r="M1382">
        <v>5.8953574060427397E-3</v>
      </c>
      <c r="N1382" s="25">
        <f t="shared" si="75"/>
        <v>5.8953574060427449E-3</v>
      </c>
      <c r="O1382">
        <v>0.99410464259395703</v>
      </c>
      <c r="P1382" s="25">
        <f t="shared" si="77"/>
        <v>0.99410464259395726</v>
      </c>
      <c r="Q1382">
        <v>15</v>
      </c>
      <c r="R1382" t="s">
        <v>124</v>
      </c>
      <c r="S1382" t="s">
        <v>124</v>
      </c>
      <c r="T1382" t="s">
        <v>124</v>
      </c>
      <c r="U1382" t="s">
        <v>124</v>
      </c>
      <c r="X1382" s="19">
        <f t="shared" si="73"/>
        <v>0.89655172413793105</v>
      </c>
      <c r="Y1382" s="19">
        <f t="shared" si="74"/>
        <v>5.8953574060427449E-3</v>
      </c>
      <c r="Z1382" s="26"/>
    </row>
    <row r="1383" spans="1:26" x14ac:dyDescent="0.35">
      <c r="A1383" t="s">
        <v>122</v>
      </c>
      <c r="B1383" t="s">
        <v>122</v>
      </c>
      <c r="C1383" t="s">
        <v>123</v>
      </c>
      <c r="D1383" t="s">
        <v>101</v>
      </c>
      <c r="E1383" t="s">
        <v>99</v>
      </c>
      <c r="F1383" t="s">
        <v>12</v>
      </c>
      <c r="G1383">
        <v>1</v>
      </c>
      <c r="H1383">
        <v>130</v>
      </c>
      <c r="I1383">
        <v>0.89655172413793105</v>
      </c>
      <c r="J1383" s="25">
        <f t="shared" si="76"/>
        <v>0.89655172413793105</v>
      </c>
      <c r="K1383">
        <v>1349</v>
      </c>
      <c r="L1383">
        <v>8</v>
      </c>
      <c r="M1383">
        <v>5.8953574060427397E-3</v>
      </c>
      <c r="N1383" s="25">
        <f t="shared" si="75"/>
        <v>5.8953574060427449E-3</v>
      </c>
      <c r="O1383">
        <v>0.99410464259395703</v>
      </c>
      <c r="P1383" s="25">
        <f t="shared" si="77"/>
        <v>0.99410464259395726</v>
      </c>
      <c r="Q1383">
        <v>15</v>
      </c>
      <c r="R1383" t="s">
        <v>124</v>
      </c>
      <c r="S1383" t="s">
        <v>124</v>
      </c>
      <c r="T1383" t="s">
        <v>124</v>
      </c>
      <c r="U1383" t="s">
        <v>124</v>
      </c>
      <c r="X1383" s="19">
        <f t="shared" si="73"/>
        <v>0.89655172413793105</v>
      </c>
      <c r="Y1383" s="19">
        <f t="shared" si="74"/>
        <v>5.8953574060427449E-3</v>
      </c>
      <c r="Z1383" s="26"/>
    </row>
    <row r="1384" spans="1:26" x14ac:dyDescent="0.35">
      <c r="A1384" t="s">
        <v>122</v>
      </c>
      <c r="B1384" t="s">
        <v>122</v>
      </c>
      <c r="C1384" t="s">
        <v>123</v>
      </c>
      <c r="D1384" t="s">
        <v>101</v>
      </c>
      <c r="E1384" t="s">
        <v>99</v>
      </c>
      <c r="F1384" t="s">
        <v>12</v>
      </c>
      <c r="G1384">
        <v>1</v>
      </c>
      <c r="H1384">
        <v>130</v>
      </c>
      <c r="I1384">
        <v>0.89655172413793105</v>
      </c>
      <c r="J1384" s="25">
        <f t="shared" si="76"/>
        <v>0.89655172413793105</v>
      </c>
      <c r="K1384">
        <v>1349</v>
      </c>
      <c r="L1384">
        <v>8</v>
      </c>
      <c r="M1384">
        <v>5.8953574060427397E-3</v>
      </c>
      <c r="N1384" s="25">
        <f t="shared" si="75"/>
        <v>5.8953574060427449E-3</v>
      </c>
      <c r="O1384">
        <v>0.99410464259395703</v>
      </c>
      <c r="P1384" s="25">
        <f t="shared" si="77"/>
        <v>0.99410464259395726</v>
      </c>
      <c r="Q1384">
        <v>15</v>
      </c>
      <c r="R1384" t="s">
        <v>124</v>
      </c>
      <c r="S1384" t="s">
        <v>124</v>
      </c>
      <c r="T1384" t="s">
        <v>124</v>
      </c>
      <c r="U1384" t="s">
        <v>124</v>
      </c>
      <c r="X1384" s="19">
        <f t="shared" si="73"/>
        <v>0.89655172413793105</v>
      </c>
      <c r="Y1384" s="19">
        <f t="shared" si="74"/>
        <v>5.8953574060427449E-3</v>
      </c>
      <c r="Z1384" s="26"/>
    </row>
    <row r="1385" spans="1:26" x14ac:dyDescent="0.35">
      <c r="A1385" t="s">
        <v>122</v>
      </c>
      <c r="B1385" t="s">
        <v>122</v>
      </c>
      <c r="C1385" t="s">
        <v>123</v>
      </c>
      <c r="D1385" t="s">
        <v>101</v>
      </c>
      <c r="E1385" t="s">
        <v>99</v>
      </c>
      <c r="F1385" t="s">
        <v>12</v>
      </c>
      <c r="G1385">
        <v>1</v>
      </c>
      <c r="H1385">
        <v>130</v>
      </c>
      <c r="I1385">
        <v>0.89655172413793105</v>
      </c>
      <c r="J1385" s="25">
        <f t="shared" si="76"/>
        <v>0.89655172413793105</v>
      </c>
      <c r="K1385">
        <v>1349</v>
      </c>
      <c r="L1385">
        <v>8</v>
      </c>
      <c r="M1385">
        <v>5.8953574060427397E-3</v>
      </c>
      <c r="N1385" s="25">
        <f t="shared" si="75"/>
        <v>5.8953574060427449E-3</v>
      </c>
      <c r="O1385">
        <v>0.99410464259395703</v>
      </c>
      <c r="P1385" s="25">
        <f t="shared" si="77"/>
        <v>0.99410464259395726</v>
      </c>
      <c r="Q1385">
        <v>15</v>
      </c>
      <c r="R1385" t="s">
        <v>124</v>
      </c>
      <c r="S1385" t="s">
        <v>124</v>
      </c>
      <c r="T1385" t="s">
        <v>124</v>
      </c>
      <c r="U1385" t="s">
        <v>124</v>
      </c>
      <c r="X1385" s="19">
        <f t="shared" si="73"/>
        <v>0.89655172413793105</v>
      </c>
      <c r="Y1385" s="19">
        <f t="shared" si="74"/>
        <v>5.8953574060427449E-3</v>
      </c>
      <c r="Z1385" s="26"/>
    </row>
    <row r="1386" spans="1:26" x14ac:dyDescent="0.35">
      <c r="A1386" t="s">
        <v>122</v>
      </c>
      <c r="B1386" t="s">
        <v>122</v>
      </c>
      <c r="C1386" t="s">
        <v>123</v>
      </c>
      <c r="D1386" t="s">
        <v>101</v>
      </c>
      <c r="E1386" t="s">
        <v>99</v>
      </c>
      <c r="F1386" t="s">
        <v>12</v>
      </c>
      <c r="G1386">
        <v>1</v>
      </c>
      <c r="H1386">
        <v>130</v>
      </c>
      <c r="I1386">
        <v>0.89655172413793105</v>
      </c>
      <c r="J1386" s="25">
        <f t="shared" si="76"/>
        <v>0.89655172413793105</v>
      </c>
      <c r="K1386">
        <v>1349</v>
      </c>
      <c r="L1386">
        <v>8</v>
      </c>
      <c r="M1386">
        <v>5.8953574060427397E-3</v>
      </c>
      <c r="N1386" s="25">
        <f t="shared" si="75"/>
        <v>5.8953574060427449E-3</v>
      </c>
      <c r="O1386">
        <v>0.99410464259395703</v>
      </c>
      <c r="P1386" s="25">
        <f t="shared" si="77"/>
        <v>0.99410464259395726</v>
      </c>
      <c r="Q1386">
        <v>15</v>
      </c>
      <c r="R1386" t="s">
        <v>124</v>
      </c>
      <c r="S1386" t="s">
        <v>124</v>
      </c>
      <c r="T1386" t="s">
        <v>124</v>
      </c>
      <c r="U1386" t="s">
        <v>124</v>
      </c>
      <c r="X1386" s="19">
        <f t="shared" si="73"/>
        <v>0.89655172413793105</v>
      </c>
      <c r="Y1386" s="19">
        <f t="shared" si="74"/>
        <v>5.8953574060427449E-3</v>
      </c>
      <c r="Z1386" s="26"/>
    </row>
    <row r="1387" spans="1:26" x14ac:dyDescent="0.35">
      <c r="A1387" t="s">
        <v>122</v>
      </c>
      <c r="B1387" t="s">
        <v>122</v>
      </c>
      <c r="C1387" t="s">
        <v>123</v>
      </c>
      <c r="D1387" t="s">
        <v>101</v>
      </c>
      <c r="E1387" t="s">
        <v>99</v>
      </c>
      <c r="F1387" t="s">
        <v>12</v>
      </c>
      <c r="G1387">
        <v>1</v>
      </c>
      <c r="H1387">
        <v>130</v>
      </c>
      <c r="I1387">
        <v>0.89655172413793105</v>
      </c>
      <c r="J1387" s="25">
        <f t="shared" si="76"/>
        <v>0.89655172413793105</v>
      </c>
      <c r="K1387">
        <v>1349</v>
      </c>
      <c r="L1387">
        <v>8</v>
      </c>
      <c r="M1387">
        <v>5.8953574060427397E-3</v>
      </c>
      <c r="N1387" s="25">
        <f t="shared" si="75"/>
        <v>5.8953574060427449E-3</v>
      </c>
      <c r="O1387">
        <v>0.99410464259395703</v>
      </c>
      <c r="P1387" s="25">
        <f t="shared" si="77"/>
        <v>0.99410464259395726</v>
      </c>
      <c r="Q1387">
        <v>15</v>
      </c>
      <c r="R1387" t="s">
        <v>124</v>
      </c>
      <c r="S1387" t="s">
        <v>124</v>
      </c>
      <c r="T1387" t="s">
        <v>124</v>
      </c>
      <c r="U1387" t="s">
        <v>124</v>
      </c>
      <c r="X1387" s="19">
        <f t="shared" si="73"/>
        <v>0.89655172413793105</v>
      </c>
      <c r="Y1387" s="19">
        <f t="shared" si="74"/>
        <v>5.8953574060427449E-3</v>
      </c>
      <c r="Z1387" s="26"/>
    </row>
    <row r="1388" spans="1:26" x14ac:dyDescent="0.35">
      <c r="A1388" t="s">
        <v>122</v>
      </c>
      <c r="B1388" t="s">
        <v>122</v>
      </c>
      <c r="C1388" t="s">
        <v>123</v>
      </c>
      <c r="D1388" t="s">
        <v>101</v>
      </c>
      <c r="E1388" t="s">
        <v>99</v>
      </c>
      <c r="F1388" t="s">
        <v>12</v>
      </c>
      <c r="G1388">
        <v>1</v>
      </c>
      <c r="H1388">
        <v>130</v>
      </c>
      <c r="I1388">
        <v>0.89655172413793105</v>
      </c>
      <c r="J1388" s="25">
        <f t="shared" si="76"/>
        <v>0.89655172413793105</v>
      </c>
      <c r="K1388">
        <v>1349</v>
      </c>
      <c r="L1388">
        <v>8</v>
      </c>
      <c r="M1388">
        <v>5.8953574060427397E-3</v>
      </c>
      <c r="N1388" s="25">
        <f t="shared" si="75"/>
        <v>5.8953574060427449E-3</v>
      </c>
      <c r="O1388">
        <v>0.99410464259395703</v>
      </c>
      <c r="P1388" s="25">
        <f t="shared" si="77"/>
        <v>0.99410464259395726</v>
      </c>
      <c r="Q1388">
        <v>15</v>
      </c>
      <c r="R1388" t="s">
        <v>124</v>
      </c>
      <c r="S1388" t="s">
        <v>124</v>
      </c>
      <c r="T1388" t="s">
        <v>124</v>
      </c>
      <c r="U1388" t="s">
        <v>124</v>
      </c>
      <c r="X1388" s="19">
        <f t="shared" si="73"/>
        <v>0.89655172413793105</v>
      </c>
      <c r="Y1388" s="19">
        <f t="shared" si="74"/>
        <v>5.8953574060427449E-3</v>
      </c>
      <c r="Z1388" s="26"/>
    </row>
    <row r="1389" spans="1:26" x14ac:dyDescent="0.35">
      <c r="A1389" t="s">
        <v>122</v>
      </c>
      <c r="B1389" t="s">
        <v>122</v>
      </c>
      <c r="C1389" t="s">
        <v>123</v>
      </c>
      <c r="D1389" t="s">
        <v>101</v>
      </c>
      <c r="E1389" t="s">
        <v>99</v>
      </c>
      <c r="F1389" t="s">
        <v>12</v>
      </c>
      <c r="G1389">
        <v>1</v>
      </c>
      <c r="H1389">
        <v>130</v>
      </c>
      <c r="I1389">
        <v>0.89655172413793105</v>
      </c>
      <c r="J1389" s="25">
        <f t="shared" si="76"/>
        <v>0.89655172413793105</v>
      </c>
      <c r="K1389">
        <v>1349</v>
      </c>
      <c r="L1389">
        <v>8</v>
      </c>
      <c r="M1389">
        <v>5.8953574060427397E-3</v>
      </c>
      <c r="N1389" s="25">
        <f t="shared" si="75"/>
        <v>5.8953574060427449E-3</v>
      </c>
      <c r="O1389">
        <v>0.99410464259395703</v>
      </c>
      <c r="P1389" s="25">
        <f t="shared" si="77"/>
        <v>0.99410464259395726</v>
      </c>
      <c r="Q1389">
        <v>15</v>
      </c>
      <c r="R1389" t="s">
        <v>124</v>
      </c>
      <c r="S1389" t="s">
        <v>124</v>
      </c>
      <c r="T1389" t="s">
        <v>124</v>
      </c>
      <c r="U1389" t="s">
        <v>124</v>
      </c>
      <c r="X1389" s="19">
        <f t="shared" si="73"/>
        <v>0.89655172413793105</v>
      </c>
      <c r="Y1389" s="19">
        <f t="shared" si="74"/>
        <v>5.8953574060427449E-3</v>
      </c>
      <c r="Z1389" s="26"/>
    </row>
    <row r="1390" spans="1:26" x14ac:dyDescent="0.35">
      <c r="A1390" t="s">
        <v>122</v>
      </c>
      <c r="B1390" t="s">
        <v>122</v>
      </c>
      <c r="C1390" t="s">
        <v>123</v>
      </c>
      <c r="D1390" t="s">
        <v>101</v>
      </c>
      <c r="E1390" t="s">
        <v>99</v>
      </c>
      <c r="F1390" t="s">
        <v>12</v>
      </c>
      <c r="G1390">
        <v>1</v>
      </c>
      <c r="H1390">
        <v>130</v>
      </c>
      <c r="I1390">
        <v>0.89655172413793105</v>
      </c>
      <c r="J1390" s="25">
        <f t="shared" si="76"/>
        <v>0.89655172413793105</v>
      </c>
      <c r="K1390">
        <v>1349</v>
      </c>
      <c r="L1390">
        <v>8</v>
      </c>
      <c r="M1390">
        <v>5.8953574060427397E-3</v>
      </c>
      <c r="N1390" s="25">
        <f t="shared" si="75"/>
        <v>5.8953574060427449E-3</v>
      </c>
      <c r="O1390">
        <v>0.99410464259395703</v>
      </c>
      <c r="P1390" s="25">
        <f t="shared" si="77"/>
        <v>0.99410464259395726</v>
      </c>
      <c r="Q1390">
        <v>15</v>
      </c>
      <c r="R1390" t="s">
        <v>124</v>
      </c>
      <c r="S1390" t="s">
        <v>124</v>
      </c>
      <c r="T1390" t="s">
        <v>124</v>
      </c>
      <c r="U1390" t="s">
        <v>124</v>
      </c>
      <c r="X1390" s="19">
        <f t="shared" ref="X1390:X1453" si="78">J1390</f>
        <v>0.89655172413793105</v>
      </c>
      <c r="Y1390" s="19">
        <f t="shared" ref="Y1390:Y1453" si="79">N1390</f>
        <v>5.8953574060427449E-3</v>
      </c>
      <c r="Z1390" s="26"/>
    </row>
    <row r="1391" spans="1:26" x14ac:dyDescent="0.35">
      <c r="A1391" t="s">
        <v>122</v>
      </c>
      <c r="B1391" t="s">
        <v>122</v>
      </c>
      <c r="C1391" t="s">
        <v>123</v>
      </c>
      <c r="D1391" t="s">
        <v>101</v>
      </c>
      <c r="E1391" t="s">
        <v>99</v>
      </c>
      <c r="F1391" t="s">
        <v>12</v>
      </c>
      <c r="G1391">
        <v>1</v>
      </c>
      <c r="H1391">
        <v>130</v>
      </c>
      <c r="I1391">
        <v>0.89655172413793105</v>
      </c>
      <c r="J1391" s="25">
        <f t="shared" si="76"/>
        <v>0.89655172413793105</v>
      </c>
      <c r="K1391">
        <v>1349</v>
      </c>
      <c r="L1391">
        <v>8</v>
      </c>
      <c r="M1391">
        <v>5.8953574060427397E-3</v>
      </c>
      <c r="N1391" s="25">
        <f t="shared" si="75"/>
        <v>5.8953574060427449E-3</v>
      </c>
      <c r="O1391">
        <v>0.99410464259395703</v>
      </c>
      <c r="P1391" s="25">
        <f t="shared" si="77"/>
        <v>0.99410464259395726</v>
      </c>
      <c r="Q1391">
        <v>15</v>
      </c>
      <c r="R1391" t="s">
        <v>124</v>
      </c>
      <c r="S1391" t="s">
        <v>124</v>
      </c>
      <c r="T1391" t="s">
        <v>124</v>
      </c>
      <c r="U1391" t="s">
        <v>124</v>
      </c>
      <c r="X1391" s="19">
        <f t="shared" si="78"/>
        <v>0.89655172413793105</v>
      </c>
      <c r="Y1391" s="19">
        <f t="shared" si="79"/>
        <v>5.8953574060427449E-3</v>
      </c>
      <c r="Z1391" s="26"/>
    </row>
    <row r="1392" spans="1:26" x14ac:dyDescent="0.35">
      <c r="A1392" t="s">
        <v>122</v>
      </c>
      <c r="B1392" t="s">
        <v>122</v>
      </c>
      <c r="C1392" t="s">
        <v>123</v>
      </c>
      <c r="D1392" t="s">
        <v>101</v>
      </c>
      <c r="E1392" t="s">
        <v>99</v>
      </c>
      <c r="F1392" t="s">
        <v>12</v>
      </c>
      <c r="G1392">
        <v>1</v>
      </c>
      <c r="H1392">
        <v>130</v>
      </c>
      <c r="I1392">
        <v>0.89655172413793105</v>
      </c>
      <c r="J1392" s="25">
        <f t="shared" si="76"/>
        <v>0.89655172413793105</v>
      </c>
      <c r="K1392">
        <v>1349</v>
      </c>
      <c r="L1392">
        <v>8</v>
      </c>
      <c r="M1392">
        <v>5.8953574060427397E-3</v>
      </c>
      <c r="N1392" s="25">
        <f t="shared" si="75"/>
        <v>5.8953574060427449E-3</v>
      </c>
      <c r="O1392">
        <v>0.99410464259395703</v>
      </c>
      <c r="P1392" s="25">
        <f t="shared" si="77"/>
        <v>0.99410464259395726</v>
      </c>
      <c r="Q1392">
        <v>15</v>
      </c>
      <c r="R1392" t="s">
        <v>124</v>
      </c>
      <c r="S1392" t="s">
        <v>124</v>
      </c>
      <c r="T1392" t="s">
        <v>124</v>
      </c>
      <c r="U1392" t="s">
        <v>124</v>
      </c>
      <c r="X1392" s="19">
        <f t="shared" si="78"/>
        <v>0.89655172413793105</v>
      </c>
      <c r="Y1392" s="19">
        <f t="shared" si="79"/>
        <v>5.8953574060427449E-3</v>
      </c>
      <c r="Z1392" s="26"/>
    </row>
    <row r="1393" spans="1:26" x14ac:dyDescent="0.35">
      <c r="A1393" t="s">
        <v>122</v>
      </c>
      <c r="B1393" t="s">
        <v>122</v>
      </c>
      <c r="C1393" t="s">
        <v>123</v>
      </c>
      <c r="D1393" t="s">
        <v>101</v>
      </c>
      <c r="E1393" t="s">
        <v>99</v>
      </c>
      <c r="F1393" t="s">
        <v>12</v>
      </c>
      <c r="G1393">
        <v>1</v>
      </c>
      <c r="H1393">
        <v>130</v>
      </c>
      <c r="I1393">
        <v>0.89655172413793105</v>
      </c>
      <c r="J1393" s="25">
        <f t="shared" si="76"/>
        <v>0.89655172413793105</v>
      </c>
      <c r="K1393">
        <v>1349</v>
      </c>
      <c r="L1393">
        <v>8</v>
      </c>
      <c r="M1393">
        <v>5.8953574060427397E-3</v>
      </c>
      <c r="N1393" s="25">
        <f t="shared" si="75"/>
        <v>5.8953574060427449E-3</v>
      </c>
      <c r="O1393">
        <v>0.99410464259395703</v>
      </c>
      <c r="P1393" s="25">
        <f t="shared" si="77"/>
        <v>0.99410464259395726</v>
      </c>
      <c r="Q1393">
        <v>15</v>
      </c>
      <c r="R1393" t="s">
        <v>124</v>
      </c>
      <c r="S1393" t="s">
        <v>124</v>
      </c>
      <c r="T1393" t="s">
        <v>124</v>
      </c>
      <c r="U1393" t="s">
        <v>124</v>
      </c>
      <c r="X1393" s="19">
        <f t="shared" si="78"/>
        <v>0.89655172413793105</v>
      </c>
      <c r="Y1393" s="19">
        <f t="shared" si="79"/>
        <v>5.8953574060427449E-3</v>
      </c>
      <c r="Z1393" s="26"/>
    </row>
    <row r="1394" spans="1:26" x14ac:dyDescent="0.35">
      <c r="A1394" t="s">
        <v>122</v>
      </c>
      <c r="B1394" t="s">
        <v>122</v>
      </c>
      <c r="C1394" t="s">
        <v>123</v>
      </c>
      <c r="D1394" t="s">
        <v>101</v>
      </c>
      <c r="E1394" t="s">
        <v>99</v>
      </c>
      <c r="F1394" t="s">
        <v>12</v>
      </c>
      <c r="G1394">
        <v>1</v>
      </c>
      <c r="H1394">
        <v>130</v>
      </c>
      <c r="I1394">
        <v>0.89655172413793105</v>
      </c>
      <c r="J1394" s="25">
        <f t="shared" si="76"/>
        <v>0.89655172413793105</v>
      </c>
      <c r="K1394">
        <v>1349</v>
      </c>
      <c r="L1394">
        <v>8</v>
      </c>
      <c r="M1394">
        <v>5.8953574060427397E-3</v>
      </c>
      <c r="N1394" s="25">
        <f t="shared" si="75"/>
        <v>5.8953574060427449E-3</v>
      </c>
      <c r="O1394">
        <v>0.99410464259395703</v>
      </c>
      <c r="P1394" s="25">
        <f t="shared" si="77"/>
        <v>0.99410464259395726</v>
      </c>
      <c r="Q1394">
        <v>15</v>
      </c>
      <c r="R1394" t="s">
        <v>124</v>
      </c>
      <c r="S1394" t="s">
        <v>124</v>
      </c>
      <c r="T1394" t="s">
        <v>124</v>
      </c>
      <c r="U1394" t="s">
        <v>124</v>
      </c>
      <c r="X1394" s="19">
        <f t="shared" si="78"/>
        <v>0.89655172413793105</v>
      </c>
      <c r="Y1394" s="19">
        <f t="shared" si="79"/>
        <v>5.8953574060427449E-3</v>
      </c>
      <c r="Z1394" s="26"/>
    </row>
    <row r="1395" spans="1:26" x14ac:dyDescent="0.35">
      <c r="A1395" t="s">
        <v>122</v>
      </c>
      <c r="B1395" t="s">
        <v>122</v>
      </c>
      <c r="C1395" t="s">
        <v>123</v>
      </c>
      <c r="D1395" t="s">
        <v>101</v>
      </c>
      <c r="E1395" t="s">
        <v>99</v>
      </c>
      <c r="F1395" t="s">
        <v>12</v>
      </c>
      <c r="G1395">
        <v>1</v>
      </c>
      <c r="H1395">
        <v>130</v>
      </c>
      <c r="I1395">
        <v>0.89655172413793105</v>
      </c>
      <c r="J1395" s="25">
        <f t="shared" si="76"/>
        <v>0.89655172413793105</v>
      </c>
      <c r="K1395">
        <v>1349</v>
      </c>
      <c r="L1395">
        <v>8</v>
      </c>
      <c r="M1395">
        <v>5.8953574060427397E-3</v>
      </c>
      <c r="N1395" s="25">
        <f t="shared" si="75"/>
        <v>5.8953574060427449E-3</v>
      </c>
      <c r="O1395">
        <v>0.99410464259395703</v>
      </c>
      <c r="P1395" s="25">
        <f t="shared" si="77"/>
        <v>0.99410464259395726</v>
      </c>
      <c r="Q1395">
        <v>15</v>
      </c>
      <c r="R1395" t="s">
        <v>124</v>
      </c>
      <c r="S1395" t="s">
        <v>124</v>
      </c>
      <c r="T1395" t="s">
        <v>124</v>
      </c>
      <c r="U1395" t="s">
        <v>124</v>
      </c>
      <c r="X1395" s="19">
        <f t="shared" si="78"/>
        <v>0.89655172413793105</v>
      </c>
      <c r="Y1395" s="19">
        <f t="shared" si="79"/>
        <v>5.8953574060427449E-3</v>
      </c>
      <c r="Z1395" s="26"/>
    </row>
    <row r="1396" spans="1:26" x14ac:dyDescent="0.35">
      <c r="A1396" t="s">
        <v>122</v>
      </c>
      <c r="B1396" t="s">
        <v>122</v>
      </c>
      <c r="C1396" t="s">
        <v>123</v>
      </c>
      <c r="D1396" t="s">
        <v>101</v>
      </c>
      <c r="E1396" t="s">
        <v>99</v>
      </c>
      <c r="F1396" t="s">
        <v>12</v>
      </c>
      <c r="G1396">
        <v>1</v>
      </c>
      <c r="H1396">
        <v>130</v>
      </c>
      <c r="I1396">
        <v>0.89655172413793105</v>
      </c>
      <c r="J1396" s="25">
        <f t="shared" si="76"/>
        <v>0.89655172413793105</v>
      </c>
      <c r="K1396">
        <v>1349</v>
      </c>
      <c r="L1396">
        <v>8</v>
      </c>
      <c r="M1396">
        <v>5.8953574060427397E-3</v>
      </c>
      <c r="N1396" s="25">
        <f t="shared" si="75"/>
        <v>5.8953574060427449E-3</v>
      </c>
      <c r="O1396">
        <v>0.99410464259395703</v>
      </c>
      <c r="P1396" s="25">
        <f t="shared" si="77"/>
        <v>0.99410464259395726</v>
      </c>
      <c r="Q1396">
        <v>15</v>
      </c>
      <c r="R1396" t="s">
        <v>124</v>
      </c>
      <c r="S1396" t="s">
        <v>124</v>
      </c>
      <c r="T1396" t="s">
        <v>124</v>
      </c>
      <c r="U1396" t="s">
        <v>124</v>
      </c>
      <c r="X1396" s="19">
        <f t="shared" si="78"/>
        <v>0.89655172413793105</v>
      </c>
      <c r="Y1396" s="19">
        <f t="shared" si="79"/>
        <v>5.8953574060427449E-3</v>
      </c>
      <c r="Z1396" s="26"/>
    </row>
    <row r="1397" spans="1:26" x14ac:dyDescent="0.35">
      <c r="A1397" t="s">
        <v>122</v>
      </c>
      <c r="B1397" t="s">
        <v>122</v>
      </c>
      <c r="C1397" t="s">
        <v>123</v>
      </c>
      <c r="D1397" t="s">
        <v>101</v>
      </c>
      <c r="E1397" t="s">
        <v>99</v>
      </c>
      <c r="F1397" t="s">
        <v>12</v>
      </c>
      <c r="G1397">
        <v>1</v>
      </c>
      <c r="H1397">
        <v>130</v>
      </c>
      <c r="I1397">
        <v>0.89655172413793105</v>
      </c>
      <c r="J1397" s="25">
        <f t="shared" si="76"/>
        <v>0.89655172413793105</v>
      </c>
      <c r="K1397">
        <v>1349</v>
      </c>
      <c r="L1397">
        <v>8</v>
      </c>
      <c r="M1397">
        <v>5.8953574060427397E-3</v>
      </c>
      <c r="N1397" s="25">
        <f t="shared" si="75"/>
        <v>5.8953574060427449E-3</v>
      </c>
      <c r="O1397">
        <v>0.99410464259395703</v>
      </c>
      <c r="P1397" s="25">
        <f t="shared" si="77"/>
        <v>0.99410464259395726</v>
      </c>
      <c r="Q1397">
        <v>15</v>
      </c>
      <c r="R1397" t="s">
        <v>124</v>
      </c>
      <c r="S1397" t="s">
        <v>124</v>
      </c>
      <c r="T1397" t="s">
        <v>124</v>
      </c>
      <c r="U1397" t="s">
        <v>124</v>
      </c>
      <c r="X1397" s="19">
        <f t="shared" si="78"/>
        <v>0.89655172413793105</v>
      </c>
      <c r="Y1397" s="19">
        <f t="shared" si="79"/>
        <v>5.8953574060427449E-3</v>
      </c>
      <c r="Z1397" s="26"/>
    </row>
    <row r="1398" spans="1:26" x14ac:dyDescent="0.35">
      <c r="A1398" t="s">
        <v>122</v>
      </c>
      <c r="B1398" t="s">
        <v>122</v>
      </c>
      <c r="C1398" t="s">
        <v>123</v>
      </c>
      <c r="D1398" t="s">
        <v>101</v>
      </c>
      <c r="E1398" t="s">
        <v>99</v>
      </c>
      <c r="F1398" t="s">
        <v>12</v>
      </c>
      <c r="G1398">
        <v>1</v>
      </c>
      <c r="H1398">
        <v>130</v>
      </c>
      <c r="I1398">
        <v>0.89655172413793105</v>
      </c>
      <c r="J1398" s="25">
        <f t="shared" si="76"/>
        <v>0.89655172413793105</v>
      </c>
      <c r="K1398">
        <v>1349</v>
      </c>
      <c r="L1398">
        <v>8</v>
      </c>
      <c r="M1398">
        <v>5.8953574060427397E-3</v>
      </c>
      <c r="N1398" s="25">
        <f t="shared" si="75"/>
        <v>5.8953574060427449E-3</v>
      </c>
      <c r="O1398">
        <v>0.99410464259395703</v>
      </c>
      <c r="P1398" s="25">
        <f t="shared" si="77"/>
        <v>0.99410464259395726</v>
      </c>
      <c r="Q1398">
        <v>15</v>
      </c>
      <c r="R1398" t="s">
        <v>124</v>
      </c>
      <c r="S1398" t="s">
        <v>124</v>
      </c>
      <c r="T1398" t="s">
        <v>124</v>
      </c>
      <c r="U1398" t="s">
        <v>124</v>
      </c>
      <c r="X1398" s="19">
        <f t="shared" si="78"/>
        <v>0.89655172413793105</v>
      </c>
      <c r="Y1398" s="19">
        <f t="shared" si="79"/>
        <v>5.8953574060427449E-3</v>
      </c>
      <c r="Z1398" s="26"/>
    </row>
    <row r="1399" spans="1:26" x14ac:dyDescent="0.35">
      <c r="A1399" t="s">
        <v>122</v>
      </c>
      <c r="B1399" t="s">
        <v>122</v>
      </c>
      <c r="C1399" t="s">
        <v>123</v>
      </c>
      <c r="D1399" t="s">
        <v>101</v>
      </c>
      <c r="E1399" t="s">
        <v>99</v>
      </c>
      <c r="F1399" t="s">
        <v>12</v>
      </c>
      <c r="G1399">
        <v>1</v>
      </c>
      <c r="H1399">
        <v>130</v>
      </c>
      <c r="I1399">
        <v>0.89655172413793105</v>
      </c>
      <c r="J1399" s="25">
        <f t="shared" si="76"/>
        <v>0.89655172413793105</v>
      </c>
      <c r="K1399">
        <v>1349</v>
      </c>
      <c r="L1399">
        <v>8</v>
      </c>
      <c r="M1399">
        <v>5.8953574060427397E-3</v>
      </c>
      <c r="N1399" s="25">
        <f t="shared" si="75"/>
        <v>5.8953574060427449E-3</v>
      </c>
      <c r="O1399">
        <v>0.99410464259395703</v>
      </c>
      <c r="P1399" s="25">
        <f t="shared" si="77"/>
        <v>0.99410464259395726</v>
      </c>
      <c r="Q1399">
        <v>15</v>
      </c>
      <c r="R1399" t="s">
        <v>124</v>
      </c>
      <c r="S1399" t="s">
        <v>124</v>
      </c>
      <c r="T1399" t="s">
        <v>124</v>
      </c>
      <c r="U1399" t="s">
        <v>124</v>
      </c>
      <c r="X1399" s="19">
        <f t="shared" si="78"/>
        <v>0.89655172413793105</v>
      </c>
      <c r="Y1399" s="19">
        <f t="shared" si="79"/>
        <v>5.8953574060427449E-3</v>
      </c>
      <c r="Z1399" s="26"/>
    </row>
    <row r="1400" spans="1:26" x14ac:dyDescent="0.35">
      <c r="A1400" t="s">
        <v>122</v>
      </c>
      <c r="B1400" t="s">
        <v>122</v>
      </c>
      <c r="C1400" t="s">
        <v>123</v>
      </c>
      <c r="D1400" t="s">
        <v>101</v>
      </c>
      <c r="E1400" t="s">
        <v>99</v>
      </c>
      <c r="F1400" t="s">
        <v>12</v>
      </c>
      <c r="G1400">
        <v>1</v>
      </c>
      <c r="H1400">
        <v>130</v>
      </c>
      <c r="I1400">
        <v>0.89655172413793105</v>
      </c>
      <c r="J1400" s="25">
        <f t="shared" si="76"/>
        <v>0.89655172413793105</v>
      </c>
      <c r="K1400">
        <v>1349</v>
      </c>
      <c r="L1400">
        <v>8</v>
      </c>
      <c r="M1400">
        <v>5.8953574060427397E-3</v>
      </c>
      <c r="N1400" s="25">
        <f t="shared" si="75"/>
        <v>5.8953574060427449E-3</v>
      </c>
      <c r="O1400">
        <v>0.99410464259395703</v>
      </c>
      <c r="P1400" s="25">
        <f t="shared" si="77"/>
        <v>0.99410464259395726</v>
      </c>
      <c r="Q1400">
        <v>15</v>
      </c>
      <c r="R1400" t="s">
        <v>124</v>
      </c>
      <c r="S1400" t="s">
        <v>124</v>
      </c>
      <c r="T1400" t="s">
        <v>124</v>
      </c>
      <c r="U1400" t="s">
        <v>124</v>
      </c>
      <c r="X1400" s="19">
        <f t="shared" si="78"/>
        <v>0.89655172413793105</v>
      </c>
      <c r="Y1400" s="19">
        <f t="shared" si="79"/>
        <v>5.8953574060427449E-3</v>
      </c>
      <c r="Z1400" s="26"/>
    </row>
    <row r="1401" spans="1:26" x14ac:dyDescent="0.35">
      <c r="A1401" t="s">
        <v>122</v>
      </c>
      <c r="B1401" t="s">
        <v>122</v>
      </c>
      <c r="C1401" t="s">
        <v>123</v>
      </c>
      <c r="D1401" t="s">
        <v>101</v>
      </c>
      <c r="E1401" t="s">
        <v>99</v>
      </c>
      <c r="F1401" t="s">
        <v>12</v>
      </c>
      <c r="G1401">
        <v>1</v>
      </c>
      <c r="H1401">
        <v>130</v>
      </c>
      <c r="I1401">
        <v>0.89655172413793105</v>
      </c>
      <c r="J1401" s="25">
        <f t="shared" si="76"/>
        <v>0.89655172413793105</v>
      </c>
      <c r="K1401">
        <v>1349</v>
      </c>
      <c r="L1401">
        <v>8</v>
      </c>
      <c r="M1401">
        <v>5.8953574060427397E-3</v>
      </c>
      <c r="N1401" s="25">
        <f t="shared" si="75"/>
        <v>5.8953574060427449E-3</v>
      </c>
      <c r="O1401">
        <v>0.99410464259395703</v>
      </c>
      <c r="P1401" s="25">
        <f t="shared" si="77"/>
        <v>0.99410464259395726</v>
      </c>
      <c r="Q1401">
        <v>15</v>
      </c>
      <c r="R1401" t="s">
        <v>124</v>
      </c>
      <c r="S1401" t="s">
        <v>124</v>
      </c>
      <c r="T1401" t="s">
        <v>124</v>
      </c>
      <c r="U1401" t="s">
        <v>124</v>
      </c>
      <c r="X1401" s="19">
        <f t="shared" si="78"/>
        <v>0.89655172413793105</v>
      </c>
      <c r="Y1401" s="19">
        <f t="shared" si="79"/>
        <v>5.8953574060427449E-3</v>
      </c>
      <c r="Z1401" s="26"/>
    </row>
    <row r="1402" spans="1:26" x14ac:dyDescent="0.35">
      <c r="A1402" t="s">
        <v>122</v>
      </c>
      <c r="B1402" t="s">
        <v>122</v>
      </c>
      <c r="C1402" t="s">
        <v>123</v>
      </c>
      <c r="D1402" t="s">
        <v>101</v>
      </c>
      <c r="E1402" t="s">
        <v>99</v>
      </c>
      <c r="F1402" t="s">
        <v>12</v>
      </c>
      <c r="G1402">
        <v>1</v>
      </c>
      <c r="H1402">
        <v>130</v>
      </c>
      <c r="I1402">
        <v>0.89655172413793105</v>
      </c>
      <c r="J1402" s="25">
        <f t="shared" si="76"/>
        <v>0.89655172413793105</v>
      </c>
      <c r="K1402">
        <v>1349</v>
      </c>
      <c r="L1402">
        <v>8</v>
      </c>
      <c r="M1402">
        <v>5.8953574060427397E-3</v>
      </c>
      <c r="N1402" s="25">
        <f t="shared" si="75"/>
        <v>5.8953574060427449E-3</v>
      </c>
      <c r="O1402">
        <v>0.99410464259395703</v>
      </c>
      <c r="P1402" s="25">
        <f t="shared" si="77"/>
        <v>0.99410464259395726</v>
      </c>
      <c r="Q1402">
        <v>15</v>
      </c>
      <c r="R1402" t="s">
        <v>124</v>
      </c>
      <c r="S1402" t="s">
        <v>124</v>
      </c>
      <c r="T1402" t="s">
        <v>124</v>
      </c>
      <c r="U1402" t="s">
        <v>124</v>
      </c>
      <c r="X1402" s="19">
        <f t="shared" si="78"/>
        <v>0.89655172413793105</v>
      </c>
      <c r="Y1402" s="19">
        <f t="shared" si="79"/>
        <v>5.8953574060427449E-3</v>
      </c>
      <c r="Z1402" s="26"/>
    </row>
    <row r="1403" spans="1:26" x14ac:dyDescent="0.35">
      <c r="A1403" t="s">
        <v>122</v>
      </c>
      <c r="B1403" t="s">
        <v>122</v>
      </c>
      <c r="C1403" t="s">
        <v>123</v>
      </c>
      <c r="D1403" t="s">
        <v>101</v>
      </c>
      <c r="E1403" t="s">
        <v>99</v>
      </c>
      <c r="F1403" t="s">
        <v>12</v>
      </c>
      <c r="G1403">
        <v>1</v>
      </c>
      <c r="H1403">
        <v>130</v>
      </c>
      <c r="I1403">
        <v>0.89655172413793105</v>
      </c>
      <c r="J1403" s="25">
        <f t="shared" si="76"/>
        <v>0.89655172413793105</v>
      </c>
      <c r="K1403">
        <v>1349</v>
      </c>
      <c r="L1403">
        <v>8</v>
      </c>
      <c r="M1403">
        <v>5.8953574060427397E-3</v>
      </c>
      <c r="N1403" s="25">
        <f t="shared" si="75"/>
        <v>5.8953574060427449E-3</v>
      </c>
      <c r="O1403">
        <v>0.99410464259395703</v>
      </c>
      <c r="P1403" s="25">
        <f t="shared" si="77"/>
        <v>0.99410464259395726</v>
      </c>
      <c r="Q1403">
        <v>15</v>
      </c>
      <c r="R1403" t="s">
        <v>124</v>
      </c>
      <c r="S1403" t="s">
        <v>124</v>
      </c>
      <c r="T1403" t="s">
        <v>124</v>
      </c>
      <c r="U1403" t="s">
        <v>124</v>
      </c>
      <c r="X1403" s="19">
        <f t="shared" si="78"/>
        <v>0.89655172413793105</v>
      </c>
      <c r="Y1403" s="19">
        <f t="shared" si="79"/>
        <v>5.8953574060427449E-3</v>
      </c>
      <c r="Z1403" s="26"/>
    </row>
    <row r="1404" spans="1:26" x14ac:dyDescent="0.35">
      <c r="A1404" t="s">
        <v>122</v>
      </c>
      <c r="B1404" t="s">
        <v>122</v>
      </c>
      <c r="C1404" t="s">
        <v>123</v>
      </c>
      <c r="D1404" t="s">
        <v>101</v>
      </c>
      <c r="E1404" t="s">
        <v>99</v>
      </c>
      <c r="F1404" t="s">
        <v>12</v>
      </c>
      <c r="G1404">
        <v>1</v>
      </c>
      <c r="H1404">
        <v>130</v>
      </c>
      <c r="I1404">
        <v>0.89655172413793105</v>
      </c>
      <c r="J1404" s="25">
        <f t="shared" si="76"/>
        <v>0.89655172413793105</v>
      </c>
      <c r="K1404">
        <v>1349</v>
      </c>
      <c r="L1404">
        <v>8</v>
      </c>
      <c r="M1404">
        <v>5.8953574060427397E-3</v>
      </c>
      <c r="N1404" s="25">
        <f t="shared" si="75"/>
        <v>5.8953574060427449E-3</v>
      </c>
      <c r="O1404">
        <v>0.99410464259395703</v>
      </c>
      <c r="P1404" s="25">
        <f t="shared" si="77"/>
        <v>0.99410464259395726</v>
      </c>
      <c r="Q1404">
        <v>15</v>
      </c>
      <c r="R1404" t="s">
        <v>124</v>
      </c>
      <c r="S1404" t="s">
        <v>124</v>
      </c>
      <c r="T1404" t="s">
        <v>124</v>
      </c>
      <c r="U1404" t="s">
        <v>124</v>
      </c>
      <c r="X1404" s="19">
        <f t="shared" si="78"/>
        <v>0.89655172413793105</v>
      </c>
      <c r="Y1404" s="19">
        <f t="shared" si="79"/>
        <v>5.8953574060427449E-3</v>
      </c>
      <c r="Z1404" s="26"/>
    </row>
    <row r="1405" spans="1:26" x14ac:dyDescent="0.35">
      <c r="A1405" t="s">
        <v>122</v>
      </c>
      <c r="B1405" t="s">
        <v>122</v>
      </c>
      <c r="C1405" t="s">
        <v>123</v>
      </c>
      <c r="D1405" t="s">
        <v>101</v>
      </c>
      <c r="E1405" t="s">
        <v>99</v>
      </c>
      <c r="F1405" t="s">
        <v>12</v>
      </c>
      <c r="G1405">
        <v>1</v>
      </c>
      <c r="H1405">
        <v>130</v>
      </c>
      <c r="I1405">
        <v>0.89655172413793105</v>
      </c>
      <c r="J1405" s="25">
        <f t="shared" si="76"/>
        <v>0.89655172413793105</v>
      </c>
      <c r="K1405">
        <v>1349</v>
      </c>
      <c r="L1405">
        <v>8</v>
      </c>
      <c r="M1405">
        <v>5.8953574060427397E-3</v>
      </c>
      <c r="N1405" s="25">
        <f t="shared" si="75"/>
        <v>5.8953574060427449E-3</v>
      </c>
      <c r="O1405">
        <v>0.99410464259395703</v>
      </c>
      <c r="P1405" s="25">
        <f t="shared" si="77"/>
        <v>0.99410464259395726</v>
      </c>
      <c r="Q1405">
        <v>15</v>
      </c>
      <c r="R1405" t="s">
        <v>124</v>
      </c>
      <c r="S1405" t="s">
        <v>124</v>
      </c>
      <c r="T1405" t="s">
        <v>124</v>
      </c>
      <c r="U1405" t="s">
        <v>124</v>
      </c>
      <c r="X1405" s="19">
        <f t="shared" si="78"/>
        <v>0.89655172413793105</v>
      </c>
      <c r="Y1405" s="19">
        <f t="shared" si="79"/>
        <v>5.8953574060427449E-3</v>
      </c>
      <c r="Z1405" s="26"/>
    </row>
    <row r="1406" spans="1:26" x14ac:dyDescent="0.35">
      <c r="A1406" t="s">
        <v>122</v>
      </c>
      <c r="B1406" t="s">
        <v>122</v>
      </c>
      <c r="C1406" t="s">
        <v>123</v>
      </c>
      <c r="D1406" t="s">
        <v>101</v>
      </c>
      <c r="E1406" t="s">
        <v>99</v>
      </c>
      <c r="F1406" t="s">
        <v>12</v>
      </c>
      <c r="G1406">
        <v>1</v>
      </c>
      <c r="H1406">
        <v>130</v>
      </c>
      <c r="I1406">
        <v>0.89655172413793105</v>
      </c>
      <c r="J1406" s="25">
        <f t="shared" si="76"/>
        <v>0.89655172413793105</v>
      </c>
      <c r="K1406">
        <v>1349</v>
      </c>
      <c r="L1406">
        <v>8</v>
      </c>
      <c r="M1406">
        <v>5.8953574060427397E-3</v>
      </c>
      <c r="N1406" s="25">
        <f t="shared" si="75"/>
        <v>5.8953574060427449E-3</v>
      </c>
      <c r="O1406">
        <v>0.99410464259395703</v>
      </c>
      <c r="P1406" s="25">
        <f t="shared" si="77"/>
        <v>0.99410464259395726</v>
      </c>
      <c r="Q1406">
        <v>15</v>
      </c>
      <c r="R1406" t="s">
        <v>124</v>
      </c>
      <c r="S1406" t="s">
        <v>124</v>
      </c>
      <c r="T1406" t="s">
        <v>124</v>
      </c>
      <c r="U1406" t="s">
        <v>124</v>
      </c>
      <c r="X1406" s="19">
        <f t="shared" si="78"/>
        <v>0.89655172413793105</v>
      </c>
      <c r="Y1406" s="19">
        <f t="shared" si="79"/>
        <v>5.8953574060427449E-3</v>
      </c>
      <c r="Z1406" s="26"/>
    </row>
    <row r="1407" spans="1:26" x14ac:dyDescent="0.35">
      <c r="A1407" t="s">
        <v>122</v>
      </c>
      <c r="B1407" t="s">
        <v>122</v>
      </c>
      <c r="C1407" t="s">
        <v>123</v>
      </c>
      <c r="D1407" t="s">
        <v>101</v>
      </c>
      <c r="E1407" t="s">
        <v>99</v>
      </c>
      <c r="F1407" t="s">
        <v>12</v>
      </c>
      <c r="G1407">
        <v>1</v>
      </c>
      <c r="H1407">
        <v>130</v>
      </c>
      <c r="I1407">
        <v>0.89655172413793105</v>
      </c>
      <c r="J1407" s="25">
        <f t="shared" si="76"/>
        <v>0.89655172413793105</v>
      </c>
      <c r="K1407">
        <v>1349</v>
      </c>
      <c r="L1407">
        <v>8</v>
      </c>
      <c r="M1407">
        <v>5.8953574060427397E-3</v>
      </c>
      <c r="N1407" s="25">
        <f t="shared" si="75"/>
        <v>5.8953574060427449E-3</v>
      </c>
      <c r="O1407">
        <v>0.99410464259395703</v>
      </c>
      <c r="P1407" s="25">
        <f t="shared" si="77"/>
        <v>0.99410464259395726</v>
      </c>
      <c r="Q1407">
        <v>15</v>
      </c>
      <c r="R1407" t="s">
        <v>124</v>
      </c>
      <c r="S1407" t="s">
        <v>124</v>
      </c>
      <c r="T1407" t="s">
        <v>124</v>
      </c>
      <c r="U1407" t="s">
        <v>124</v>
      </c>
      <c r="X1407" s="19">
        <f t="shared" si="78"/>
        <v>0.89655172413793105</v>
      </c>
      <c r="Y1407" s="19">
        <f t="shared" si="79"/>
        <v>5.8953574060427449E-3</v>
      </c>
      <c r="Z1407" s="26"/>
    </row>
    <row r="1408" spans="1:26" x14ac:dyDescent="0.35">
      <c r="A1408" t="s">
        <v>122</v>
      </c>
      <c r="B1408" t="s">
        <v>122</v>
      </c>
      <c r="C1408" t="s">
        <v>123</v>
      </c>
      <c r="D1408" t="s">
        <v>101</v>
      </c>
      <c r="E1408" t="s">
        <v>99</v>
      </c>
      <c r="F1408" t="s">
        <v>12</v>
      </c>
      <c r="G1408">
        <v>1</v>
      </c>
      <c r="H1408">
        <v>130</v>
      </c>
      <c r="I1408">
        <v>0.89655172413793105</v>
      </c>
      <c r="J1408" s="25">
        <f t="shared" si="76"/>
        <v>0.89655172413793105</v>
      </c>
      <c r="K1408">
        <v>1349</v>
      </c>
      <c r="L1408">
        <v>8</v>
      </c>
      <c r="M1408">
        <v>5.8953574060427397E-3</v>
      </c>
      <c r="N1408" s="25">
        <f t="shared" si="75"/>
        <v>5.8953574060427449E-3</v>
      </c>
      <c r="O1408">
        <v>0.99410464259395703</v>
      </c>
      <c r="P1408" s="25">
        <f t="shared" si="77"/>
        <v>0.99410464259395726</v>
      </c>
      <c r="Q1408">
        <v>15</v>
      </c>
      <c r="R1408" t="s">
        <v>124</v>
      </c>
      <c r="S1408" t="s">
        <v>124</v>
      </c>
      <c r="T1408" t="s">
        <v>124</v>
      </c>
      <c r="U1408" t="s">
        <v>124</v>
      </c>
      <c r="X1408" s="19">
        <f t="shared" si="78"/>
        <v>0.89655172413793105</v>
      </c>
      <c r="Y1408" s="19">
        <f t="shared" si="79"/>
        <v>5.8953574060427449E-3</v>
      </c>
      <c r="Z1408" s="26"/>
    </row>
    <row r="1409" spans="1:26" x14ac:dyDescent="0.35">
      <c r="A1409" t="s">
        <v>122</v>
      </c>
      <c r="B1409" t="s">
        <v>122</v>
      </c>
      <c r="C1409" t="s">
        <v>123</v>
      </c>
      <c r="D1409" t="s">
        <v>101</v>
      </c>
      <c r="E1409" t="s">
        <v>99</v>
      </c>
      <c r="F1409" t="s">
        <v>12</v>
      </c>
      <c r="G1409">
        <v>1</v>
      </c>
      <c r="H1409">
        <v>130</v>
      </c>
      <c r="I1409">
        <v>0.89655172413793105</v>
      </c>
      <c r="J1409" s="25">
        <f t="shared" si="76"/>
        <v>0.89655172413793105</v>
      </c>
      <c r="K1409">
        <v>1349</v>
      </c>
      <c r="L1409">
        <v>8</v>
      </c>
      <c r="M1409">
        <v>5.8953574060427397E-3</v>
      </c>
      <c r="N1409" s="25">
        <f t="shared" si="75"/>
        <v>5.8953574060427449E-3</v>
      </c>
      <c r="O1409">
        <v>0.99410464259395703</v>
      </c>
      <c r="P1409" s="25">
        <f t="shared" si="77"/>
        <v>0.99410464259395726</v>
      </c>
      <c r="Q1409">
        <v>15</v>
      </c>
      <c r="R1409" t="s">
        <v>124</v>
      </c>
      <c r="S1409" t="s">
        <v>124</v>
      </c>
      <c r="T1409" t="s">
        <v>124</v>
      </c>
      <c r="U1409" t="s">
        <v>124</v>
      </c>
      <c r="X1409" s="19">
        <f t="shared" si="78"/>
        <v>0.89655172413793105</v>
      </c>
      <c r="Y1409" s="19">
        <f t="shared" si="79"/>
        <v>5.8953574060427449E-3</v>
      </c>
      <c r="Z1409" s="26"/>
    </row>
    <row r="1410" spans="1:26" x14ac:dyDescent="0.35">
      <c r="A1410" t="s">
        <v>122</v>
      </c>
      <c r="B1410" t="s">
        <v>122</v>
      </c>
      <c r="C1410" t="s">
        <v>123</v>
      </c>
      <c r="D1410" t="s">
        <v>101</v>
      </c>
      <c r="E1410" t="s">
        <v>99</v>
      </c>
      <c r="F1410" t="s">
        <v>12</v>
      </c>
      <c r="G1410">
        <v>1</v>
      </c>
      <c r="H1410">
        <v>130</v>
      </c>
      <c r="I1410">
        <v>0.89655172413793105</v>
      </c>
      <c r="J1410" s="25">
        <f t="shared" si="76"/>
        <v>0.89655172413793105</v>
      </c>
      <c r="K1410">
        <v>1349</v>
      </c>
      <c r="L1410">
        <v>8</v>
      </c>
      <c r="M1410">
        <v>5.8953574060427397E-3</v>
      </c>
      <c r="N1410" s="25">
        <f t="shared" ref="N1410:N1473" si="80">1-P1410</f>
        <v>5.8953574060427449E-3</v>
      </c>
      <c r="O1410">
        <v>0.99410464259395703</v>
      </c>
      <c r="P1410" s="25">
        <f t="shared" si="77"/>
        <v>0.99410464259395726</v>
      </c>
      <c r="Q1410">
        <v>15</v>
      </c>
      <c r="R1410" t="s">
        <v>124</v>
      </c>
      <c r="S1410" t="s">
        <v>124</v>
      </c>
      <c r="T1410" t="s">
        <v>124</v>
      </c>
      <c r="U1410" t="s">
        <v>124</v>
      </c>
      <c r="X1410" s="19">
        <f t="shared" si="78"/>
        <v>0.89655172413793105</v>
      </c>
      <c r="Y1410" s="19">
        <f t="shared" si="79"/>
        <v>5.8953574060427449E-3</v>
      </c>
      <c r="Z1410" s="26"/>
    </row>
    <row r="1411" spans="1:26" x14ac:dyDescent="0.35">
      <c r="A1411" t="s">
        <v>122</v>
      </c>
      <c r="B1411" t="s">
        <v>122</v>
      </c>
      <c r="C1411" t="s">
        <v>123</v>
      </c>
      <c r="D1411" t="s">
        <v>101</v>
      </c>
      <c r="E1411" t="s">
        <v>99</v>
      </c>
      <c r="F1411" t="s">
        <v>12</v>
      </c>
      <c r="G1411">
        <v>1</v>
      </c>
      <c r="H1411">
        <v>130</v>
      </c>
      <c r="I1411">
        <v>0.89655172413793105</v>
      </c>
      <c r="J1411" s="25">
        <f t="shared" ref="J1411:J1474" si="81">H1411/(H1411+Q1411)</f>
        <v>0.89655172413793105</v>
      </c>
      <c r="K1411">
        <v>1349</v>
      </c>
      <c r="L1411">
        <v>8</v>
      </c>
      <c r="M1411">
        <v>5.8953574060427397E-3</v>
      </c>
      <c r="N1411" s="25">
        <f t="shared" si="80"/>
        <v>5.8953574060427449E-3</v>
      </c>
      <c r="O1411">
        <v>0.99410464259395703</v>
      </c>
      <c r="P1411" s="25">
        <f t="shared" ref="P1411:P1474" si="82">K1411/(K1411+L1411)</f>
        <v>0.99410464259395726</v>
      </c>
      <c r="Q1411">
        <v>15</v>
      </c>
      <c r="R1411" t="s">
        <v>124</v>
      </c>
      <c r="S1411" t="s">
        <v>124</v>
      </c>
      <c r="T1411" t="s">
        <v>124</v>
      </c>
      <c r="U1411" t="s">
        <v>124</v>
      </c>
      <c r="X1411" s="19">
        <f t="shared" si="78"/>
        <v>0.89655172413793105</v>
      </c>
      <c r="Y1411" s="19">
        <f t="shared" si="79"/>
        <v>5.8953574060427449E-3</v>
      </c>
      <c r="Z1411" s="26"/>
    </row>
    <row r="1412" spans="1:26" x14ac:dyDescent="0.35">
      <c r="A1412" t="s">
        <v>122</v>
      </c>
      <c r="B1412" t="s">
        <v>122</v>
      </c>
      <c r="C1412" t="s">
        <v>123</v>
      </c>
      <c r="D1412" t="s">
        <v>101</v>
      </c>
      <c r="E1412" t="s">
        <v>99</v>
      </c>
      <c r="F1412" t="s">
        <v>12</v>
      </c>
      <c r="G1412">
        <v>1</v>
      </c>
      <c r="H1412">
        <v>130</v>
      </c>
      <c r="I1412">
        <v>0.89655172413793105</v>
      </c>
      <c r="J1412" s="25">
        <f t="shared" si="81"/>
        <v>0.89655172413793105</v>
      </c>
      <c r="K1412">
        <v>1349</v>
      </c>
      <c r="L1412">
        <v>8</v>
      </c>
      <c r="M1412">
        <v>5.8953574060427397E-3</v>
      </c>
      <c r="N1412" s="25">
        <f t="shared" si="80"/>
        <v>5.8953574060427449E-3</v>
      </c>
      <c r="O1412">
        <v>0.99410464259395703</v>
      </c>
      <c r="P1412" s="25">
        <f t="shared" si="82"/>
        <v>0.99410464259395726</v>
      </c>
      <c r="Q1412">
        <v>15</v>
      </c>
      <c r="R1412" t="s">
        <v>124</v>
      </c>
      <c r="S1412" t="s">
        <v>124</v>
      </c>
      <c r="T1412" t="s">
        <v>124</v>
      </c>
      <c r="U1412" t="s">
        <v>124</v>
      </c>
      <c r="X1412" s="19">
        <f t="shared" si="78"/>
        <v>0.89655172413793105</v>
      </c>
      <c r="Y1412" s="19">
        <f t="shared" si="79"/>
        <v>5.8953574060427449E-3</v>
      </c>
      <c r="Z1412" s="26"/>
    </row>
    <row r="1413" spans="1:26" x14ac:dyDescent="0.35">
      <c r="A1413" t="s">
        <v>122</v>
      </c>
      <c r="B1413" t="s">
        <v>122</v>
      </c>
      <c r="C1413" t="s">
        <v>123</v>
      </c>
      <c r="D1413" t="s">
        <v>101</v>
      </c>
      <c r="E1413" t="s">
        <v>99</v>
      </c>
      <c r="F1413" t="s">
        <v>12</v>
      </c>
      <c r="G1413">
        <v>1</v>
      </c>
      <c r="H1413">
        <v>130</v>
      </c>
      <c r="I1413">
        <v>0.89655172413793105</v>
      </c>
      <c r="J1413" s="25">
        <f t="shared" si="81"/>
        <v>0.89655172413793105</v>
      </c>
      <c r="K1413">
        <v>1349</v>
      </c>
      <c r="L1413">
        <v>8</v>
      </c>
      <c r="M1413">
        <v>5.8953574060427397E-3</v>
      </c>
      <c r="N1413" s="25">
        <f t="shared" si="80"/>
        <v>5.8953574060427449E-3</v>
      </c>
      <c r="O1413">
        <v>0.99410464259395703</v>
      </c>
      <c r="P1413" s="25">
        <f t="shared" si="82"/>
        <v>0.99410464259395726</v>
      </c>
      <c r="Q1413">
        <v>15</v>
      </c>
      <c r="R1413" t="s">
        <v>124</v>
      </c>
      <c r="S1413" t="s">
        <v>124</v>
      </c>
      <c r="T1413" t="s">
        <v>124</v>
      </c>
      <c r="U1413" t="s">
        <v>124</v>
      </c>
      <c r="X1413" s="19">
        <f t="shared" si="78"/>
        <v>0.89655172413793105</v>
      </c>
      <c r="Y1413" s="19">
        <f t="shared" si="79"/>
        <v>5.8953574060427449E-3</v>
      </c>
      <c r="Z1413" s="26"/>
    </row>
    <row r="1414" spans="1:26" x14ac:dyDescent="0.35">
      <c r="A1414" t="s">
        <v>122</v>
      </c>
      <c r="B1414" t="s">
        <v>122</v>
      </c>
      <c r="C1414" t="s">
        <v>123</v>
      </c>
      <c r="D1414" t="s">
        <v>101</v>
      </c>
      <c r="E1414" t="s">
        <v>99</v>
      </c>
      <c r="F1414" t="s">
        <v>12</v>
      </c>
      <c r="G1414">
        <v>1</v>
      </c>
      <c r="H1414">
        <v>130</v>
      </c>
      <c r="I1414">
        <v>0.89655172413793105</v>
      </c>
      <c r="J1414" s="25">
        <f t="shared" si="81"/>
        <v>0.89655172413793105</v>
      </c>
      <c r="K1414">
        <v>1349</v>
      </c>
      <c r="L1414">
        <v>8</v>
      </c>
      <c r="M1414">
        <v>5.8953574060427397E-3</v>
      </c>
      <c r="N1414" s="25">
        <f t="shared" si="80"/>
        <v>5.8953574060427449E-3</v>
      </c>
      <c r="O1414">
        <v>0.99410464259395703</v>
      </c>
      <c r="P1414" s="25">
        <f t="shared" si="82"/>
        <v>0.99410464259395726</v>
      </c>
      <c r="Q1414">
        <v>15</v>
      </c>
      <c r="R1414" t="s">
        <v>124</v>
      </c>
      <c r="S1414" t="s">
        <v>124</v>
      </c>
      <c r="T1414" t="s">
        <v>124</v>
      </c>
      <c r="U1414" t="s">
        <v>124</v>
      </c>
      <c r="X1414" s="19">
        <f t="shared" si="78"/>
        <v>0.89655172413793105</v>
      </c>
      <c r="Y1414" s="19">
        <f t="shared" si="79"/>
        <v>5.8953574060427449E-3</v>
      </c>
      <c r="Z1414" s="26"/>
    </row>
    <row r="1415" spans="1:26" x14ac:dyDescent="0.35">
      <c r="A1415" t="s">
        <v>122</v>
      </c>
      <c r="B1415" t="s">
        <v>122</v>
      </c>
      <c r="C1415" t="s">
        <v>123</v>
      </c>
      <c r="D1415" t="s">
        <v>101</v>
      </c>
      <c r="E1415" t="s">
        <v>99</v>
      </c>
      <c r="F1415" t="s">
        <v>12</v>
      </c>
      <c r="G1415">
        <v>1</v>
      </c>
      <c r="H1415">
        <v>130</v>
      </c>
      <c r="I1415">
        <v>0.89655172413793105</v>
      </c>
      <c r="J1415" s="25">
        <f t="shared" si="81"/>
        <v>0.89655172413793105</v>
      </c>
      <c r="K1415">
        <v>1349</v>
      </c>
      <c r="L1415">
        <v>8</v>
      </c>
      <c r="M1415">
        <v>5.8953574060427397E-3</v>
      </c>
      <c r="N1415" s="25">
        <f t="shared" si="80"/>
        <v>5.8953574060427449E-3</v>
      </c>
      <c r="O1415">
        <v>0.99410464259395703</v>
      </c>
      <c r="P1415" s="25">
        <f t="shared" si="82"/>
        <v>0.99410464259395726</v>
      </c>
      <c r="Q1415">
        <v>15</v>
      </c>
      <c r="R1415" t="s">
        <v>124</v>
      </c>
      <c r="S1415" t="s">
        <v>124</v>
      </c>
      <c r="T1415" t="s">
        <v>124</v>
      </c>
      <c r="U1415" t="s">
        <v>124</v>
      </c>
      <c r="X1415" s="19">
        <f t="shared" si="78"/>
        <v>0.89655172413793105</v>
      </c>
      <c r="Y1415" s="19">
        <f t="shared" si="79"/>
        <v>5.8953574060427449E-3</v>
      </c>
      <c r="Z1415" s="26"/>
    </row>
    <row r="1416" spans="1:26" x14ac:dyDescent="0.35">
      <c r="A1416" t="s">
        <v>122</v>
      </c>
      <c r="B1416" t="s">
        <v>122</v>
      </c>
      <c r="C1416" t="s">
        <v>123</v>
      </c>
      <c r="D1416" t="s">
        <v>101</v>
      </c>
      <c r="E1416" t="s">
        <v>99</v>
      </c>
      <c r="F1416" t="s">
        <v>12</v>
      </c>
      <c r="G1416">
        <v>1</v>
      </c>
      <c r="H1416">
        <v>130</v>
      </c>
      <c r="I1416">
        <v>0.89655172413793105</v>
      </c>
      <c r="J1416" s="25">
        <f t="shared" si="81"/>
        <v>0.89655172413793105</v>
      </c>
      <c r="K1416">
        <v>1349</v>
      </c>
      <c r="L1416">
        <v>8</v>
      </c>
      <c r="M1416">
        <v>5.8953574060427397E-3</v>
      </c>
      <c r="N1416" s="25">
        <f t="shared" si="80"/>
        <v>5.8953574060427449E-3</v>
      </c>
      <c r="O1416">
        <v>0.99410464259395703</v>
      </c>
      <c r="P1416" s="25">
        <f t="shared" si="82"/>
        <v>0.99410464259395726</v>
      </c>
      <c r="Q1416">
        <v>15</v>
      </c>
      <c r="R1416" t="s">
        <v>124</v>
      </c>
      <c r="S1416" t="s">
        <v>124</v>
      </c>
      <c r="T1416" t="s">
        <v>124</v>
      </c>
      <c r="U1416" t="s">
        <v>124</v>
      </c>
      <c r="X1416" s="19">
        <f t="shared" si="78"/>
        <v>0.89655172413793105</v>
      </c>
      <c r="Y1416" s="19">
        <f t="shared" si="79"/>
        <v>5.8953574060427449E-3</v>
      </c>
      <c r="Z1416" s="26"/>
    </row>
    <row r="1417" spans="1:26" x14ac:dyDescent="0.35">
      <c r="A1417" t="s">
        <v>122</v>
      </c>
      <c r="B1417" t="s">
        <v>122</v>
      </c>
      <c r="C1417" t="s">
        <v>123</v>
      </c>
      <c r="D1417" t="s">
        <v>101</v>
      </c>
      <c r="E1417" t="s">
        <v>99</v>
      </c>
      <c r="F1417" t="s">
        <v>12</v>
      </c>
      <c r="G1417">
        <v>1</v>
      </c>
      <c r="H1417">
        <v>130</v>
      </c>
      <c r="I1417">
        <v>0.89655172413793105</v>
      </c>
      <c r="J1417" s="25">
        <f t="shared" si="81"/>
        <v>0.89655172413793105</v>
      </c>
      <c r="K1417">
        <v>1349</v>
      </c>
      <c r="L1417">
        <v>8</v>
      </c>
      <c r="M1417">
        <v>5.8953574060427397E-3</v>
      </c>
      <c r="N1417" s="25">
        <f t="shared" si="80"/>
        <v>5.8953574060427449E-3</v>
      </c>
      <c r="O1417">
        <v>0.99410464259395703</v>
      </c>
      <c r="P1417" s="25">
        <f t="shared" si="82"/>
        <v>0.99410464259395726</v>
      </c>
      <c r="Q1417">
        <v>15</v>
      </c>
      <c r="R1417" t="s">
        <v>124</v>
      </c>
      <c r="S1417" t="s">
        <v>124</v>
      </c>
      <c r="T1417" t="s">
        <v>124</v>
      </c>
      <c r="U1417" t="s">
        <v>124</v>
      </c>
      <c r="X1417" s="19">
        <f t="shared" si="78"/>
        <v>0.89655172413793105</v>
      </c>
      <c r="Y1417" s="19">
        <f t="shared" si="79"/>
        <v>5.8953574060427449E-3</v>
      </c>
      <c r="Z1417" s="26"/>
    </row>
    <row r="1418" spans="1:26" x14ac:dyDescent="0.35">
      <c r="A1418" t="s">
        <v>122</v>
      </c>
      <c r="B1418" t="s">
        <v>122</v>
      </c>
      <c r="C1418" t="s">
        <v>123</v>
      </c>
      <c r="D1418" t="s">
        <v>101</v>
      </c>
      <c r="E1418" t="s">
        <v>99</v>
      </c>
      <c r="F1418" t="s">
        <v>12</v>
      </c>
      <c r="G1418">
        <v>1</v>
      </c>
      <c r="H1418">
        <v>130</v>
      </c>
      <c r="I1418">
        <v>0.89655172413793105</v>
      </c>
      <c r="J1418" s="25">
        <f t="shared" si="81"/>
        <v>0.89655172413793105</v>
      </c>
      <c r="K1418">
        <v>1349</v>
      </c>
      <c r="L1418">
        <v>8</v>
      </c>
      <c r="M1418">
        <v>5.8953574060427397E-3</v>
      </c>
      <c r="N1418" s="25">
        <f t="shared" si="80"/>
        <v>5.8953574060427449E-3</v>
      </c>
      <c r="O1418">
        <v>0.99410464259395703</v>
      </c>
      <c r="P1418" s="25">
        <f t="shared" si="82"/>
        <v>0.99410464259395726</v>
      </c>
      <c r="Q1418">
        <v>15</v>
      </c>
      <c r="R1418" t="s">
        <v>124</v>
      </c>
      <c r="S1418" t="s">
        <v>124</v>
      </c>
      <c r="T1418" t="s">
        <v>124</v>
      </c>
      <c r="U1418" t="s">
        <v>124</v>
      </c>
      <c r="X1418" s="19">
        <f t="shared" si="78"/>
        <v>0.89655172413793105</v>
      </c>
      <c r="Y1418" s="19">
        <f t="shared" si="79"/>
        <v>5.8953574060427449E-3</v>
      </c>
      <c r="Z1418" s="26"/>
    </row>
    <row r="1419" spans="1:26" x14ac:dyDescent="0.35">
      <c r="A1419" t="s">
        <v>122</v>
      </c>
      <c r="B1419" t="s">
        <v>122</v>
      </c>
      <c r="C1419" t="s">
        <v>123</v>
      </c>
      <c r="D1419" t="s">
        <v>101</v>
      </c>
      <c r="E1419" t="s">
        <v>99</v>
      </c>
      <c r="F1419" t="s">
        <v>12</v>
      </c>
      <c r="G1419">
        <v>1</v>
      </c>
      <c r="H1419">
        <v>130</v>
      </c>
      <c r="I1419">
        <v>0.89655172413793105</v>
      </c>
      <c r="J1419" s="25">
        <f t="shared" si="81"/>
        <v>0.89655172413793105</v>
      </c>
      <c r="K1419">
        <v>1349</v>
      </c>
      <c r="L1419">
        <v>8</v>
      </c>
      <c r="M1419">
        <v>5.8953574060427397E-3</v>
      </c>
      <c r="N1419" s="25">
        <f t="shared" si="80"/>
        <v>5.8953574060427449E-3</v>
      </c>
      <c r="O1419">
        <v>0.99410464259395703</v>
      </c>
      <c r="P1419" s="25">
        <f t="shared" si="82"/>
        <v>0.99410464259395726</v>
      </c>
      <c r="Q1419">
        <v>15</v>
      </c>
      <c r="R1419" t="s">
        <v>124</v>
      </c>
      <c r="S1419" t="s">
        <v>124</v>
      </c>
      <c r="T1419" t="s">
        <v>124</v>
      </c>
      <c r="U1419" t="s">
        <v>124</v>
      </c>
      <c r="X1419" s="19">
        <f t="shared" si="78"/>
        <v>0.89655172413793105</v>
      </c>
      <c r="Y1419" s="19">
        <f t="shared" si="79"/>
        <v>5.8953574060427449E-3</v>
      </c>
      <c r="Z1419" s="26"/>
    </row>
    <row r="1420" spans="1:26" x14ac:dyDescent="0.35">
      <c r="A1420" t="s">
        <v>122</v>
      </c>
      <c r="B1420" t="s">
        <v>122</v>
      </c>
      <c r="C1420" t="s">
        <v>123</v>
      </c>
      <c r="D1420" t="s">
        <v>101</v>
      </c>
      <c r="E1420" t="s">
        <v>99</v>
      </c>
      <c r="F1420" t="s">
        <v>12</v>
      </c>
      <c r="G1420">
        <v>1</v>
      </c>
      <c r="H1420">
        <v>130</v>
      </c>
      <c r="I1420">
        <v>0.89655172413793105</v>
      </c>
      <c r="J1420" s="25">
        <f t="shared" si="81"/>
        <v>0.89655172413793105</v>
      </c>
      <c r="K1420">
        <v>1349</v>
      </c>
      <c r="L1420">
        <v>8</v>
      </c>
      <c r="M1420">
        <v>5.8953574060427397E-3</v>
      </c>
      <c r="N1420" s="25">
        <f t="shared" si="80"/>
        <v>5.8953574060427449E-3</v>
      </c>
      <c r="O1420">
        <v>0.99410464259395703</v>
      </c>
      <c r="P1420" s="25">
        <f t="shared" si="82"/>
        <v>0.99410464259395726</v>
      </c>
      <c r="Q1420">
        <v>15</v>
      </c>
      <c r="R1420" t="s">
        <v>124</v>
      </c>
      <c r="S1420" t="s">
        <v>124</v>
      </c>
      <c r="T1420" t="s">
        <v>124</v>
      </c>
      <c r="U1420" t="s">
        <v>124</v>
      </c>
      <c r="X1420" s="19">
        <f t="shared" si="78"/>
        <v>0.89655172413793105</v>
      </c>
      <c r="Y1420" s="19">
        <f t="shared" si="79"/>
        <v>5.8953574060427449E-3</v>
      </c>
      <c r="Z1420" s="26"/>
    </row>
    <row r="1421" spans="1:26" x14ac:dyDescent="0.35">
      <c r="A1421" t="s">
        <v>122</v>
      </c>
      <c r="B1421" t="s">
        <v>122</v>
      </c>
      <c r="C1421" t="s">
        <v>123</v>
      </c>
      <c r="D1421" t="s">
        <v>101</v>
      </c>
      <c r="E1421" t="s">
        <v>99</v>
      </c>
      <c r="F1421" t="s">
        <v>12</v>
      </c>
      <c r="G1421">
        <v>1</v>
      </c>
      <c r="H1421">
        <v>130</v>
      </c>
      <c r="I1421">
        <v>0.89655172413793105</v>
      </c>
      <c r="J1421" s="25">
        <f t="shared" si="81"/>
        <v>0.89655172413793105</v>
      </c>
      <c r="K1421">
        <v>1349</v>
      </c>
      <c r="L1421">
        <v>8</v>
      </c>
      <c r="M1421">
        <v>5.8953574060427397E-3</v>
      </c>
      <c r="N1421" s="25">
        <f t="shared" si="80"/>
        <v>5.8953574060427449E-3</v>
      </c>
      <c r="O1421">
        <v>0.99410464259395703</v>
      </c>
      <c r="P1421" s="25">
        <f t="shared" si="82"/>
        <v>0.99410464259395726</v>
      </c>
      <c r="Q1421">
        <v>15</v>
      </c>
      <c r="R1421" t="s">
        <v>124</v>
      </c>
      <c r="S1421" t="s">
        <v>124</v>
      </c>
      <c r="T1421" t="s">
        <v>124</v>
      </c>
      <c r="U1421" t="s">
        <v>124</v>
      </c>
      <c r="X1421" s="19">
        <f t="shared" si="78"/>
        <v>0.89655172413793105</v>
      </c>
      <c r="Y1421" s="19">
        <f t="shared" si="79"/>
        <v>5.8953574060427449E-3</v>
      </c>
      <c r="Z1421" s="26"/>
    </row>
    <row r="1422" spans="1:26" x14ac:dyDescent="0.35">
      <c r="A1422" t="s">
        <v>122</v>
      </c>
      <c r="B1422" t="s">
        <v>122</v>
      </c>
      <c r="C1422" t="s">
        <v>123</v>
      </c>
      <c r="D1422" t="s">
        <v>101</v>
      </c>
      <c r="E1422" t="s">
        <v>99</v>
      </c>
      <c r="F1422" t="s">
        <v>12</v>
      </c>
      <c r="G1422">
        <v>1</v>
      </c>
      <c r="H1422">
        <v>130</v>
      </c>
      <c r="I1422">
        <v>0.89655172413793105</v>
      </c>
      <c r="J1422" s="25">
        <f t="shared" si="81"/>
        <v>0.89655172413793105</v>
      </c>
      <c r="K1422">
        <v>1349</v>
      </c>
      <c r="L1422">
        <v>8</v>
      </c>
      <c r="M1422">
        <v>5.8953574060427397E-3</v>
      </c>
      <c r="N1422" s="25">
        <f t="shared" si="80"/>
        <v>5.8953574060427449E-3</v>
      </c>
      <c r="O1422">
        <v>0.99410464259395703</v>
      </c>
      <c r="P1422" s="25">
        <f t="shared" si="82"/>
        <v>0.99410464259395726</v>
      </c>
      <c r="Q1422">
        <v>15</v>
      </c>
      <c r="R1422" t="s">
        <v>124</v>
      </c>
      <c r="S1422" t="s">
        <v>124</v>
      </c>
      <c r="T1422" t="s">
        <v>124</v>
      </c>
      <c r="U1422" t="s">
        <v>124</v>
      </c>
      <c r="X1422" s="19">
        <f t="shared" si="78"/>
        <v>0.89655172413793105</v>
      </c>
      <c r="Y1422" s="19">
        <f t="shared" si="79"/>
        <v>5.8953574060427449E-3</v>
      </c>
      <c r="Z1422" s="26"/>
    </row>
    <row r="1423" spans="1:26" x14ac:dyDescent="0.35">
      <c r="A1423" t="s">
        <v>122</v>
      </c>
      <c r="B1423" t="s">
        <v>122</v>
      </c>
      <c r="C1423" t="s">
        <v>123</v>
      </c>
      <c r="D1423" t="s">
        <v>101</v>
      </c>
      <c r="E1423" t="s">
        <v>99</v>
      </c>
      <c r="F1423" t="s">
        <v>12</v>
      </c>
      <c r="G1423">
        <v>1</v>
      </c>
      <c r="H1423">
        <v>130</v>
      </c>
      <c r="I1423">
        <v>0.89655172413793105</v>
      </c>
      <c r="J1423" s="25">
        <f t="shared" si="81"/>
        <v>0.89655172413793105</v>
      </c>
      <c r="K1423">
        <v>1349</v>
      </c>
      <c r="L1423">
        <v>8</v>
      </c>
      <c r="M1423">
        <v>5.8953574060427397E-3</v>
      </c>
      <c r="N1423" s="25">
        <f t="shared" si="80"/>
        <v>5.8953574060427449E-3</v>
      </c>
      <c r="O1423">
        <v>0.99410464259395703</v>
      </c>
      <c r="P1423" s="25">
        <f t="shared" si="82"/>
        <v>0.99410464259395726</v>
      </c>
      <c r="Q1423">
        <v>15</v>
      </c>
      <c r="R1423" t="s">
        <v>124</v>
      </c>
      <c r="S1423" t="s">
        <v>124</v>
      </c>
      <c r="T1423" t="s">
        <v>124</v>
      </c>
      <c r="U1423" t="s">
        <v>124</v>
      </c>
      <c r="X1423" s="19">
        <f t="shared" si="78"/>
        <v>0.89655172413793105</v>
      </c>
      <c r="Y1423" s="19">
        <f t="shared" si="79"/>
        <v>5.8953574060427449E-3</v>
      </c>
      <c r="Z1423" s="26"/>
    </row>
    <row r="1424" spans="1:26" x14ac:dyDescent="0.35">
      <c r="A1424" t="s">
        <v>122</v>
      </c>
      <c r="B1424" t="s">
        <v>122</v>
      </c>
      <c r="C1424" t="s">
        <v>123</v>
      </c>
      <c r="D1424" t="s">
        <v>101</v>
      </c>
      <c r="E1424" t="s">
        <v>99</v>
      </c>
      <c r="F1424" t="s">
        <v>12</v>
      </c>
      <c r="G1424">
        <v>1</v>
      </c>
      <c r="H1424">
        <v>130</v>
      </c>
      <c r="I1424">
        <v>0.89655172413793105</v>
      </c>
      <c r="J1424" s="25">
        <f t="shared" si="81"/>
        <v>0.89655172413793105</v>
      </c>
      <c r="K1424">
        <v>1349</v>
      </c>
      <c r="L1424">
        <v>8</v>
      </c>
      <c r="M1424">
        <v>5.8953574060427397E-3</v>
      </c>
      <c r="N1424" s="25">
        <f t="shared" si="80"/>
        <v>5.8953574060427449E-3</v>
      </c>
      <c r="O1424">
        <v>0.99410464259395703</v>
      </c>
      <c r="P1424" s="25">
        <f t="shared" si="82"/>
        <v>0.99410464259395726</v>
      </c>
      <c r="Q1424">
        <v>15</v>
      </c>
      <c r="R1424" t="s">
        <v>124</v>
      </c>
      <c r="S1424" t="s">
        <v>124</v>
      </c>
      <c r="T1424" t="s">
        <v>124</v>
      </c>
      <c r="U1424" t="s">
        <v>124</v>
      </c>
      <c r="X1424" s="19">
        <f t="shared" si="78"/>
        <v>0.89655172413793105</v>
      </c>
      <c r="Y1424" s="19">
        <f t="shared" si="79"/>
        <v>5.8953574060427449E-3</v>
      </c>
      <c r="Z1424" s="26"/>
    </row>
    <row r="1425" spans="1:26" x14ac:dyDescent="0.35">
      <c r="A1425" t="s">
        <v>122</v>
      </c>
      <c r="B1425" t="s">
        <v>122</v>
      </c>
      <c r="C1425" t="s">
        <v>123</v>
      </c>
      <c r="D1425" t="s">
        <v>101</v>
      </c>
      <c r="E1425" t="s">
        <v>99</v>
      </c>
      <c r="F1425" t="s">
        <v>12</v>
      </c>
      <c r="G1425">
        <v>1</v>
      </c>
      <c r="H1425">
        <v>130</v>
      </c>
      <c r="I1425">
        <v>0.89655172413793105</v>
      </c>
      <c r="J1425" s="25">
        <f t="shared" si="81"/>
        <v>0.89655172413793105</v>
      </c>
      <c r="K1425">
        <v>1349</v>
      </c>
      <c r="L1425">
        <v>8</v>
      </c>
      <c r="M1425">
        <v>5.8953574060427397E-3</v>
      </c>
      <c r="N1425" s="25">
        <f t="shared" si="80"/>
        <v>5.8953574060427449E-3</v>
      </c>
      <c r="O1425">
        <v>0.99410464259395703</v>
      </c>
      <c r="P1425" s="25">
        <f t="shared" si="82"/>
        <v>0.99410464259395726</v>
      </c>
      <c r="Q1425">
        <v>15</v>
      </c>
      <c r="R1425" t="s">
        <v>124</v>
      </c>
      <c r="S1425" t="s">
        <v>124</v>
      </c>
      <c r="T1425" t="s">
        <v>124</v>
      </c>
      <c r="U1425" t="s">
        <v>124</v>
      </c>
      <c r="X1425" s="19">
        <f t="shared" si="78"/>
        <v>0.89655172413793105</v>
      </c>
      <c r="Y1425" s="19">
        <f t="shared" si="79"/>
        <v>5.8953574060427449E-3</v>
      </c>
      <c r="Z1425" s="26"/>
    </row>
    <row r="1426" spans="1:26" x14ac:dyDescent="0.35">
      <c r="A1426" t="s">
        <v>122</v>
      </c>
      <c r="B1426" t="s">
        <v>122</v>
      </c>
      <c r="C1426" t="s">
        <v>123</v>
      </c>
      <c r="D1426" t="s">
        <v>101</v>
      </c>
      <c r="E1426" t="s">
        <v>99</v>
      </c>
      <c r="F1426" t="s">
        <v>12</v>
      </c>
      <c r="G1426">
        <v>1</v>
      </c>
      <c r="H1426">
        <v>130</v>
      </c>
      <c r="I1426">
        <v>0.89655172413793105</v>
      </c>
      <c r="J1426" s="25">
        <f t="shared" si="81"/>
        <v>0.89655172413793105</v>
      </c>
      <c r="K1426">
        <v>1349</v>
      </c>
      <c r="L1426">
        <v>8</v>
      </c>
      <c r="M1426">
        <v>5.8953574060427397E-3</v>
      </c>
      <c r="N1426" s="25">
        <f t="shared" si="80"/>
        <v>5.8953574060427449E-3</v>
      </c>
      <c r="O1426">
        <v>0.99410464259395703</v>
      </c>
      <c r="P1426" s="25">
        <f t="shared" si="82"/>
        <v>0.99410464259395726</v>
      </c>
      <c r="Q1426">
        <v>15</v>
      </c>
      <c r="R1426" t="s">
        <v>124</v>
      </c>
      <c r="S1426" t="s">
        <v>124</v>
      </c>
      <c r="T1426" t="s">
        <v>124</v>
      </c>
      <c r="U1426" t="s">
        <v>124</v>
      </c>
      <c r="X1426" s="19">
        <f t="shared" si="78"/>
        <v>0.89655172413793105</v>
      </c>
      <c r="Y1426" s="19">
        <f t="shared" si="79"/>
        <v>5.8953574060427449E-3</v>
      </c>
      <c r="Z1426" s="26"/>
    </row>
    <row r="1427" spans="1:26" x14ac:dyDescent="0.35">
      <c r="A1427" t="s">
        <v>122</v>
      </c>
      <c r="B1427" t="s">
        <v>122</v>
      </c>
      <c r="C1427" t="s">
        <v>123</v>
      </c>
      <c r="D1427" t="s">
        <v>101</v>
      </c>
      <c r="E1427" t="s">
        <v>99</v>
      </c>
      <c r="F1427" t="s">
        <v>12</v>
      </c>
      <c r="G1427">
        <v>1</v>
      </c>
      <c r="H1427">
        <v>130</v>
      </c>
      <c r="I1427">
        <v>0.89655172413793105</v>
      </c>
      <c r="J1427" s="25">
        <f t="shared" si="81"/>
        <v>0.89655172413793105</v>
      </c>
      <c r="K1427">
        <v>1349</v>
      </c>
      <c r="L1427">
        <v>8</v>
      </c>
      <c r="M1427">
        <v>5.8953574060427397E-3</v>
      </c>
      <c r="N1427" s="25">
        <f t="shared" si="80"/>
        <v>5.8953574060427449E-3</v>
      </c>
      <c r="O1427">
        <v>0.99410464259395703</v>
      </c>
      <c r="P1427" s="25">
        <f t="shared" si="82"/>
        <v>0.99410464259395726</v>
      </c>
      <c r="Q1427">
        <v>15</v>
      </c>
      <c r="R1427" t="s">
        <v>124</v>
      </c>
      <c r="S1427" t="s">
        <v>124</v>
      </c>
      <c r="T1427" t="s">
        <v>124</v>
      </c>
      <c r="U1427" t="s">
        <v>124</v>
      </c>
      <c r="X1427" s="19">
        <f t="shared" si="78"/>
        <v>0.89655172413793105</v>
      </c>
      <c r="Y1427" s="19">
        <f t="shared" si="79"/>
        <v>5.8953574060427449E-3</v>
      </c>
      <c r="Z1427" s="26"/>
    </row>
    <row r="1428" spans="1:26" x14ac:dyDescent="0.35">
      <c r="A1428" t="s">
        <v>122</v>
      </c>
      <c r="B1428" t="s">
        <v>122</v>
      </c>
      <c r="C1428" t="s">
        <v>123</v>
      </c>
      <c r="D1428" t="s">
        <v>101</v>
      </c>
      <c r="E1428" t="s">
        <v>99</v>
      </c>
      <c r="F1428" t="s">
        <v>12</v>
      </c>
      <c r="G1428">
        <v>1</v>
      </c>
      <c r="H1428">
        <v>130</v>
      </c>
      <c r="I1428">
        <v>0.89655172413793105</v>
      </c>
      <c r="J1428" s="25">
        <f t="shared" si="81"/>
        <v>0.89655172413793105</v>
      </c>
      <c r="K1428">
        <v>1349</v>
      </c>
      <c r="L1428">
        <v>8</v>
      </c>
      <c r="M1428">
        <v>5.8953574060427397E-3</v>
      </c>
      <c r="N1428" s="25">
        <f t="shared" si="80"/>
        <v>5.8953574060427449E-3</v>
      </c>
      <c r="O1428">
        <v>0.99410464259395703</v>
      </c>
      <c r="P1428" s="25">
        <f t="shared" si="82"/>
        <v>0.99410464259395726</v>
      </c>
      <c r="Q1428">
        <v>15</v>
      </c>
      <c r="R1428" t="s">
        <v>124</v>
      </c>
      <c r="S1428" t="s">
        <v>124</v>
      </c>
      <c r="T1428" t="s">
        <v>124</v>
      </c>
      <c r="U1428" t="s">
        <v>124</v>
      </c>
      <c r="X1428" s="19">
        <f t="shared" si="78"/>
        <v>0.89655172413793105</v>
      </c>
      <c r="Y1428" s="19">
        <f t="shared" si="79"/>
        <v>5.8953574060427449E-3</v>
      </c>
      <c r="Z1428" s="26"/>
    </row>
    <row r="1429" spans="1:26" x14ac:dyDescent="0.35">
      <c r="A1429" t="s">
        <v>122</v>
      </c>
      <c r="B1429" t="s">
        <v>122</v>
      </c>
      <c r="C1429" t="s">
        <v>123</v>
      </c>
      <c r="D1429" t="s">
        <v>101</v>
      </c>
      <c r="E1429" t="s">
        <v>99</v>
      </c>
      <c r="F1429" t="s">
        <v>12</v>
      </c>
      <c r="G1429">
        <v>1</v>
      </c>
      <c r="H1429">
        <v>130</v>
      </c>
      <c r="I1429">
        <v>0.89655172413793105</v>
      </c>
      <c r="J1429" s="25">
        <f t="shared" si="81"/>
        <v>0.89655172413793105</v>
      </c>
      <c r="K1429">
        <v>1349</v>
      </c>
      <c r="L1429">
        <v>8</v>
      </c>
      <c r="M1429">
        <v>5.8953574060427397E-3</v>
      </c>
      <c r="N1429" s="25">
        <f t="shared" si="80"/>
        <v>5.8953574060427449E-3</v>
      </c>
      <c r="O1429">
        <v>0.99410464259395703</v>
      </c>
      <c r="P1429" s="25">
        <f t="shared" si="82"/>
        <v>0.99410464259395726</v>
      </c>
      <c r="Q1429">
        <v>15</v>
      </c>
      <c r="R1429" t="s">
        <v>124</v>
      </c>
      <c r="S1429" t="s">
        <v>124</v>
      </c>
      <c r="T1429" t="s">
        <v>124</v>
      </c>
      <c r="U1429" t="s">
        <v>124</v>
      </c>
      <c r="X1429" s="19">
        <f t="shared" si="78"/>
        <v>0.89655172413793105</v>
      </c>
      <c r="Y1429" s="19">
        <f t="shared" si="79"/>
        <v>5.8953574060427449E-3</v>
      </c>
      <c r="Z1429" s="26"/>
    </row>
    <row r="1430" spans="1:26" x14ac:dyDescent="0.35">
      <c r="A1430" t="s">
        <v>122</v>
      </c>
      <c r="B1430" t="s">
        <v>122</v>
      </c>
      <c r="C1430" t="s">
        <v>123</v>
      </c>
      <c r="D1430" t="s">
        <v>101</v>
      </c>
      <c r="E1430" t="s">
        <v>99</v>
      </c>
      <c r="F1430" t="s">
        <v>12</v>
      </c>
      <c r="G1430">
        <v>1</v>
      </c>
      <c r="H1430">
        <v>130</v>
      </c>
      <c r="I1430">
        <v>0.89655172413793105</v>
      </c>
      <c r="J1430" s="25">
        <f t="shared" si="81"/>
        <v>0.89655172413793105</v>
      </c>
      <c r="K1430">
        <v>1349</v>
      </c>
      <c r="L1430">
        <v>8</v>
      </c>
      <c r="M1430">
        <v>5.8953574060427397E-3</v>
      </c>
      <c r="N1430" s="25">
        <f t="shared" si="80"/>
        <v>5.8953574060427449E-3</v>
      </c>
      <c r="O1430">
        <v>0.99410464259395703</v>
      </c>
      <c r="P1430" s="25">
        <f t="shared" si="82"/>
        <v>0.99410464259395726</v>
      </c>
      <c r="Q1430">
        <v>15</v>
      </c>
      <c r="R1430" t="s">
        <v>124</v>
      </c>
      <c r="S1430" t="s">
        <v>124</v>
      </c>
      <c r="T1430" t="s">
        <v>124</v>
      </c>
      <c r="U1430" t="s">
        <v>124</v>
      </c>
      <c r="X1430" s="19">
        <f t="shared" si="78"/>
        <v>0.89655172413793105</v>
      </c>
      <c r="Y1430" s="19">
        <f t="shared" si="79"/>
        <v>5.8953574060427449E-3</v>
      </c>
      <c r="Z1430" s="26"/>
    </row>
    <row r="1431" spans="1:26" x14ac:dyDescent="0.35">
      <c r="A1431" t="s">
        <v>122</v>
      </c>
      <c r="B1431" t="s">
        <v>122</v>
      </c>
      <c r="C1431" t="s">
        <v>123</v>
      </c>
      <c r="D1431" t="s">
        <v>101</v>
      </c>
      <c r="E1431" t="s">
        <v>99</v>
      </c>
      <c r="F1431" t="s">
        <v>12</v>
      </c>
      <c r="G1431">
        <v>1</v>
      </c>
      <c r="H1431">
        <v>130</v>
      </c>
      <c r="I1431">
        <v>0.89655172413793105</v>
      </c>
      <c r="J1431" s="25">
        <f t="shared" si="81"/>
        <v>0.89655172413793105</v>
      </c>
      <c r="K1431">
        <v>1349</v>
      </c>
      <c r="L1431">
        <v>8</v>
      </c>
      <c r="M1431">
        <v>5.8953574060427397E-3</v>
      </c>
      <c r="N1431" s="25">
        <f t="shared" si="80"/>
        <v>5.8953574060427449E-3</v>
      </c>
      <c r="O1431">
        <v>0.99410464259395703</v>
      </c>
      <c r="P1431" s="25">
        <f t="shared" si="82"/>
        <v>0.99410464259395726</v>
      </c>
      <c r="Q1431">
        <v>15</v>
      </c>
      <c r="R1431" t="s">
        <v>124</v>
      </c>
      <c r="S1431" t="s">
        <v>124</v>
      </c>
      <c r="T1431" t="s">
        <v>124</v>
      </c>
      <c r="U1431" t="s">
        <v>124</v>
      </c>
      <c r="X1431" s="19">
        <f t="shared" si="78"/>
        <v>0.89655172413793105</v>
      </c>
      <c r="Y1431" s="19">
        <f t="shared" si="79"/>
        <v>5.8953574060427449E-3</v>
      </c>
      <c r="Z1431" s="26"/>
    </row>
    <row r="1432" spans="1:26" x14ac:dyDescent="0.35">
      <c r="A1432" t="s">
        <v>122</v>
      </c>
      <c r="B1432" t="s">
        <v>122</v>
      </c>
      <c r="C1432" t="s">
        <v>123</v>
      </c>
      <c r="D1432" t="s">
        <v>101</v>
      </c>
      <c r="E1432" t="s">
        <v>99</v>
      </c>
      <c r="F1432" t="s">
        <v>12</v>
      </c>
      <c r="G1432">
        <v>1</v>
      </c>
      <c r="H1432">
        <v>130</v>
      </c>
      <c r="I1432">
        <v>0.89655172413793105</v>
      </c>
      <c r="J1432" s="25">
        <f t="shared" si="81"/>
        <v>0.89655172413793105</v>
      </c>
      <c r="K1432">
        <v>1349</v>
      </c>
      <c r="L1432">
        <v>8</v>
      </c>
      <c r="M1432">
        <v>5.8953574060427397E-3</v>
      </c>
      <c r="N1432" s="25">
        <f t="shared" si="80"/>
        <v>5.8953574060427449E-3</v>
      </c>
      <c r="O1432">
        <v>0.99410464259395703</v>
      </c>
      <c r="P1432" s="25">
        <f t="shared" si="82"/>
        <v>0.99410464259395726</v>
      </c>
      <c r="Q1432">
        <v>15</v>
      </c>
      <c r="R1432" t="s">
        <v>124</v>
      </c>
      <c r="S1432" t="s">
        <v>124</v>
      </c>
      <c r="T1432" t="s">
        <v>124</v>
      </c>
      <c r="U1432" t="s">
        <v>124</v>
      </c>
      <c r="X1432" s="19">
        <f t="shared" si="78"/>
        <v>0.89655172413793105</v>
      </c>
      <c r="Y1432" s="19">
        <f t="shared" si="79"/>
        <v>5.8953574060427449E-3</v>
      </c>
      <c r="Z1432" s="26"/>
    </row>
    <row r="1433" spans="1:26" x14ac:dyDescent="0.35">
      <c r="A1433" t="s">
        <v>122</v>
      </c>
      <c r="B1433" t="s">
        <v>122</v>
      </c>
      <c r="C1433" t="s">
        <v>123</v>
      </c>
      <c r="D1433" t="s">
        <v>101</v>
      </c>
      <c r="E1433" t="s">
        <v>99</v>
      </c>
      <c r="F1433" t="s">
        <v>12</v>
      </c>
      <c r="G1433">
        <v>1</v>
      </c>
      <c r="H1433">
        <v>130</v>
      </c>
      <c r="I1433">
        <v>0.89655172413793105</v>
      </c>
      <c r="J1433" s="25">
        <f t="shared" si="81"/>
        <v>0.89655172413793105</v>
      </c>
      <c r="K1433">
        <v>1349</v>
      </c>
      <c r="L1433">
        <v>8</v>
      </c>
      <c r="M1433">
        <v>5.8953574060427397E-3</v>
      </c>
      <c r="N1433" s="25">
        <f t="shared" si="80"/>
        <v>5.8953574060427449E-3</v>
      </c>
      <c r="O1433">
        <v>0.99410464259395703</v>
      </c>
      <c r="P1433" s="25">
        <f t="shared" si="82"/>
        <v>0.99410464259395726</v>
      </c>
      <c r="Q1433">
        <v>15</v>
      </c>
      <c r="R1433" t="s">
        <v>124</v>
      </c>
      <c r="S1433" t="s">
        <v>124</v>
      </c>
      <c r="T1433" t="s">
        <v>124</v>
      </c>
      <c r="U1433" t="s">
        <v>124</v>
      </c>
      <c r="X1433" s="19">
        <f t="shared" si="78"/>
        <v>0.89655172413793105</v>
      </c>
      <c r="Y1433" s="19">
        <f t="shared" si="79"/>
        <v>5.8953574060427449E-3</v>
      </c>
      <c r="Z1433" s="26"/>
    </row>
    <row r="1434" spans="1:26" x14ac:dyDescent="0.35">
      <c r="A1434" t="s">
        <v>122</v>
      </c>
      <c r="B1434" t="s">
        <v>122</v>
      </c>
      <c r="C1434" t="s">
        <v>123</v>
      </c>
      <c r="D1434" t="s">
        <v>101</v>
      </c>
      <c r="E1434" t="s">
        <v>99</v>
      </c>
      <c r="F1434" t="s">
        <v>12</v>
      </c>
      <c r="G1434">
        <v>1</v>
      </c>
      <c r="H1434">
        <v>130</v>
      </c>
      <c r="I1434">
        <v>0.89655172413793105</v>
      </c>
      <c r="J1434" s="25">
        <f t="shared" si="81"/>
        <v>0.89655172413793105</v>
      </c>
      <c r="K1434">
        <v>1349</v>
      </c>
      <c r="L1434">
        <v>8</v>
      </c>
      <c r="M1434">
        <v>5.8953574060427397E-3</v>
      </c>
      <c r="N1434" s="25">
        <f t="shared" si="80"/>
        <v>5.8953574060427449E-3</v>
      </c>
      <c r="O1434">
        <v>0.99410464259395703</v>
      </c>
      <c r="P1434" s="25">
        <f t="shared" si="82"/>
        <v>0.99410464259395726</v>
      </c>
      <c r="Q1434">
        <v>15</v>
      </c>
      <c r="R1434" t="s">
        <v>124</v>
      </c>
      <c r="S1434" t="s">
        <v>124</v>
      </c>
      <c r="T1434" t="s">
        <v>124</v>
      </c>
      <c r="U1434" t="s">
        <v>124</v>
      </c>
      <c r="X1434" s="19">
        <f t="shared" si="78"/>
        <v>0.89655172413793105</v>
      </c>
      <c r="Y1434" s="19">
        <f t="shared" si="79"/>
        <v>5.8953574060427449E-3</v>
      </c>
      <c r="Z1434" s="26"/>
    </row>
    <row r="1435" spans="1:26" x14ac:dyDescent="0.35">
      <c r="A1435" t="s">
        <v>122</v>
      </c>
      <c r="B1435" t="s">
        <v>122</v>
      </c>
      <c r="C1435" t="s">
        <v>123</v>
      </c>
      <c r="D1435" t="s">
        <v>101</v>
      </c>
      <c r="E1435" t="s">
        <v>99</v>
      </c>
      <c r="F1435" t="s">
        <v>12</v>
      </c>
      <c r="G1435">
        <v>1</v>
      </c>
      <c r="H1435">
        <v>130</v>
      </c>
      <c r="I1435">
        <v>0.89655172413793105</v>
      </c>
      <c r="J1435" s="25">
        <f t="shared" si="81"/>
        <v>0.89655172413793105</v>
      </c>
      <c r="K1435">
        <v>1349</v>
      </c>
      <c r="L1435">
        <v>8</v>
      </c>
      <c r="M1435">
        <v>5.8953574060427397E-3</v>
      </c>
      <c r="N1435" s="25">
        <f t="shared" si="80"/>
        <v>5.8953574060427449E-3</v>
      </c>
      <c r="O1435">
        <v>0.99410464259395703</v>
      </c>
      <c r="P1435" s="25">
        <f t="shared" si="82"/>
        <v>0.99410464259395726</v>
      </c>
      <c r="Q1435">
        <v>15</v>
      </c>
      <c r="R1435" t="s">
        <v>124</v>
      </c>
      <c r="S1435" t="s">
        <v>124</v>
      </c>
      <c r="T1435" t="s">
        <v>124</v>
      </c>
      <c r="U1435" t="s">
        <v>124</v>
      </c>
      <c r="X1435" s="19">
        <f t="shared" si="78"/>
        <v>0.89655172413793105</v>
      </c>
      <c r="Y1435" s="19">
        <f t="shared" si="79"/>
        <v>5.8953574060427449E-3</v>
      </c>
      <c r="Z1435" s="26"/>
    </row>
    <row r="1436" spans="1:26" x14ac:dyDescent="0.35">
      <c r="A1436" t="s">
        <v>122</v>
      </c>
      <c r="B1436" t="s">
        <v>122</v>
      </c>
      <c r="C1436" t="s">
        <v>123</v>
      </c>
      <c r="D1436" t="s">
        <v>101</v>
      </c>
      <c r="E1436" t="s">
        <v>99</v>
      </c>
      <c r="F1436" t="s">
        <v>12</v>
      </c>
      <c r="G1436">
        <v>1</v>
      </c>
      <c r="H1436">
        <v>130</v>
      </c>
      <c r="I1436">
        <v>0.89655172413793105</v>
      </c>
      <c r="J1436" s="25">
        <f t="shared" si="81"/>
        <v>0.89655172413793105</v>
      </c>
      <c r="K1436">
        <v>1349</v>
      </c>
      <c r="L1436">
        <v>8</v>
      </c>
      <c r="M1436">
        <v>5.8953574060427397E-3</v>
      </c>
      <c r="N1436" s="25">
        <f t="shared" si="80"/>
        <v>5.8953574060427449E-3</v>
      </c>
      <c r="O1436">
        <v>0.99410464259395703</v>
      </c>
      <c r="P1436" s="25">
        <f t="shared" si="82"/>
        <v>0.99410464259395726</v>
      </c>
      <c r="Q1436">
        <v>15</v>
      </c>
      <c r="R1436" t="s">
        <v>124</v>
      </c>
      <c r="S1436" t="s">
        <v>124</v>
      </c>
      <c r="T1436" t="s">
        <v>124</v>
      </c>
      <c r="U1436" t="s">
        <v>124</v>
      </c>
      <c r="X1436" s="19">
        <f t="shared" si="78"/>
        <v>0.89655172413793105</v>
      </c>
      <c r="Y1436" s="19">
        <f t="shared" si="79"/>
        <v>5.8953574060427449E-3</v>
      </c>
      <c r="Z1436" s="26"/>
    </row>
    <row r="1437" spans="1:26" x14ac:dyDescent="0.35">
      <c r="A1437" t="s">
        <v>122</v>
      </c>
      <c r="B1437" t="s">
        <v>122</v>
      </c>
      <c r="C1437" t="s">
        <v>123</v>
      </c>
      <c r="D1437" t="s">
        <v>101</v>
      </c>
      <c r="E1437" t="s">
        <v>99</v>
      </c>
      <c r="F1437" t="s">
        <v>12</v>
      </c>
      <c r="G1437">
        <v>1</v>
      </c>
      <c r="H1437">
        <v>130</v>
      </c>
      <c r="I1437">
        <v>0.89655172413793105</v>
      </c>
      <c r="J1437" s="25">
        <f t="shared" si="81"/>
        <v>0.89655172413793105</v>
      </c>
      <c r="K1437">
        <v>1349</v>
      </c>
      <c r="L1437">
        <v>8</v>
      </c>
      <c r="M1437">
        <v>5.8953574060427397E-3</v>
      </c>
      <c r="N1437" s="25">
        <f t="shared" si="80"/>
        <v>5.8953574060427449E-3</v>
      </c>
      <c r="O1437">
        <v>0.99410464259395703</v>
      </c>
      <c r="P1437" s="25">
        <f t="shared" si="82"/>
        <v>0.99410464259395726</v>
      </c>
      <c r="Q1437">
        <v>15</v>
      </c>
      <c r="R1437" t="s">
        <v>124</v>
      </c>
      <c r="S1437" t="s">
        <v>124</v>
      </c>
      <c r="T1437" t="s">
        <v>124</v>
      </c>
      <c r="U1437" t="s">
        <v>124</v>
      </c>
      <c r="X1437" s="19">
        <f t="shared" si="78"/>
        <v>0.89655172413793105</v>
      </c>
      <c r="Y1437" s="19">
        <f t="shared" si="79"/>
        <v>5.8953574060427449E-3</v>
      </c>
      <c r="Z1437" s="26"/>
    </row>
    <row r="1438" spans="1:26" x14ac:dyDescent="0.35">
      <c r="A1438" t="s">
        <v>122</v>
      </c>
      <c r="B1438" t="s">
        <v>122</v>
      </c>
      <c r="C1438" t="s">
        <v>123</v>
      </c>
      <c r="D1438" t="s">
        <v>101</v>
      </c>
      <c r="E1438" t="s">
        <v>99</v>
      </c>
      <c r="F1438" t="s">
        <v>12</v>
      </c>
      <c r="G1438">
        <v>1</v>
      </c>
      <c r="H1438">
        <v>130</v>
      </c>
      <c r="I1438">
        <v>0.89655172413793105</v>
      </c>
      <c r="J1438" s="25">
        <f t="shared" si="81"/>
        <v>0.89655172413793105</v>
      </c>
      <c r="K1438">
        <v>1349</v>
      </c>
      <c r="L1438">
        <v>8</v>
      </c>
      <c r="M1438">
        <v>5.8953574060427397E-3</v>
      </c>
      <c r="N1438" s="25">
        <f t="shared" si="80"/>
        <v>5.8953574060427449E-3</v>
      </c>
      <c r="O1438">
        <v>0.99410464259395703</v>
      </c>
      <c r="P1438" s="25">
        <f t="shared" si="82"/>
        <v>0.99410464259395726</v>
      </c>
      <c r="Q1438">
        <v>15</v>
      </c>
      <c r="R1438" t="s">
        <v>124</v>
      </c>
      <c r="S1438" t="s">
        <v>124</v>
      </c>
      <c r="T1438" t="s">
        <v>124</v>
      </c>
      <c r="U1438" t="s">
        <v>124</v>
      </c>
      <c r="X1438" s="19">
        <f t="shared" si="78"/>
        <v>0.89655172413793105</v>
      </c>
      <c r="Y1438" s="19">
        <f t="shared" si="79"/>
        <v>5.8953574060427449E-3</v>
      </c>
      <c r="Z1438" s="26"/>
    </row>
    <row r="1439" spans="1:26" x14ac:dyDescent="0.35">
      <c r="A1439" t="s">
        <v>122</v>
      </c>
      <c r="B1439" t="s">
        <v>122</v>
      </c>
      <c r="C1439" t="s">
        <v>123</v>
      </c>
      <c r="D1439" t="s">
        <v>101</v>
      </c>
      <c r="E1439" t="s">
        <v>99</v>
      </c>
      <c r="F1439" t="s">
        <v>12</v>
      </c>
      <c r="G1439">
        <v>1</v>
      </c>
      <c r="H1439">
        <v>130</v>
      </c>
      <c r="I1439">
        <v>0.89655172413793105</v>
      </c>
      <c r="J1439" s="25">
        <f t="shared" si="81"/>
        <v>0.89655172413793105</v>
      </c>
      <c r="K1439">
        <v>1349</v>
      </c>
      <c r="L1439">
        <v>8</v>
      </c>
      <c r="M1439">
        <v>5.8953574060427397E-3</v>
      </c>
      <c r="N1439" s="25">
        <f t="shared" si="80"/>
        <v>5.8953574060427449E-3</v>
      </c>
      <c r="O1439">
        <v>0.99410464259395703</v>
      </c>
      <c r="P1439" s="25">
        <f t="shared" si="82"/>
        <v>0.99410464259395726</v>
      </c>
      <c r="Q1439">
        <v>15</v>
      </c>
      <c r="R1439" t="s">
        <v>124</v>
      </c>
      <c r="S1439" t="s">
        <v>124</v>
      </c>
      <c r="T1439" t="s">
        <v>124</v>
      </c>
      <c r="U1439" t="s">
        <v>124</v>
      </c>
      <c r="X1439" s="19">
        <f t="shared" si="78"/>
        <v>0.89655172413793105</v>
      </c>
      <c r="Y1439" s="19">
        <f t="shared" si="79"/>
        <v>5.8953574060427449E-3</v>
      </c>
      <c r="Z1439" s="26"/>
    </row>
    <row r="1440" spans="1:26" x14ac:dyDescent="0.35">
      <c r="A1440" t="s">
        <v>122</v>
      </c>
      <c r="B1440" t="s">
        <v>122</v>
      </c>
      <c r="C1440" t="s">
        <v>123</v>
      </c>
      <c r="D1440" t="s">
        <v>101</v>
      </c>
      <c r="E1440" t="s">
        <v>99</v>
      </c>
      <c r="F1440" t="s">
        <v>12</v>
      </c>
      <c r="G1440">
        <v>1</v>
      </c>
      <c r="H1440">
        <v>130</v>
      </c>
      <c r="I1440">
        <v>0.89655172413793105</v>
      </c>
      <c r="J1440" s="25">
        <f t="shared" si="81"/>
        <v>0.89655172413793105</v>
      </c>
      <c r="K1440">
        <v>1349</v>
      </c>
      <c r="L1440">
        <v>8</v>
      </c>
      <c r="M1440">
        <v>5.8953574060427397E-3</v>
      </c>
      <c r="N1440" s="25">
        <f t="shared" si="80"/>
        <v>5.8953574060427449E-3</v>
      </c>
      <c r="O1440">
        <v>0.99410464259395703</v>
      </c>
      <c r="P1440" s="25">
        <f t="shared" si="82"/>
        <v>0.99410464259395726</v>
      </c>
      <c r="Q1440">
        <v>15</v>
      </c>
      <c r="R1440" t="s">
        <v>124</v>
      </c>
      <c r="S1440" t="s">
        <v>124</v>
      </c>
      <c r="T1440" t="s">
        <v>124</v>
      </c>
      <c r="U1440" t="s">
        <v>124</v>
      </c>
      <c r="X1440" s="19">
        <f t="shared" si="78"/>
        <v>0.89655172413793105</v>
      </c>
      <c r="Y1440" s="19">
        <f t="shared" si="79"/>
        <v>5.8953574060427449E-3</v>
      </c>
      <c r="Z1440" s="26"/>
    </row>
    <row r="1441" spans="1:26" x14ac:dyDescent="0.35">
      <c r="A1441" t="s">
        <v>122</v>
      </c>
      <c r="B1441" t="s">
        <v>122</v>
      </c>
      <c r="C1441" t="s">
        <v>123</v>
      </c>
      <c r="D1441" t="s">
        <v>101</v>
      </c>
      <c r="E1441" t="s">
        <v>99</v>
      </c>
      <c r="F1441" t="s">
        <v>12</v>
      </c>
      <c r="G1441">
        <v>1</v>
      </c>
      <c r="H1441">
        <v>130</v>
      </c>
      <c r="I1441">
        <v>0.89655172413793105</v>
      </c>
      <c r="J1441" s="25">
        <f t="shared" si="81"/>
        <v>0.89655172413793105</v>
      </c>
      <c r="K1441">
        <v>1349</v>
      </c>
      <c r="L1441">
        <v>8</v>
      </c>
      <c r="M1441">
        <v>5.8953574060427397E-3</v>
      </c>
      <c r="N1441" s="25">
        <f t="shared" si="80"/>
        <v>5.8953574060427449E-3</v>
      </c>
      <c r="O1441">
        <v>0.99410464259395703</v>
      </c>
      <c r="P1441" s="25">
        <f t="shared" si="82"/>
        <v>0.99410464259395726</v>
      </c>
      <c r="Q1441">
        <v>15</v>
      </c>
      <c r="R1441" t="s">
        <v>124</v>
      </c>
      <c r="S1441" t="s">
        <v>124</v>
      </c>
      <c r="T1441" t="s">
        <v>124</v>
      </c>
      <c r="U1441" t="s">
        <v>124</v>
      </c>
      <c r="X1441" s="19">
        <f t="shared" si="78"/>
        <v>0.89655172413793105</v>
      </c>
      <c r="Y1441" s="19">
        <f t="shared" si="79"/>
        <v>5.8953574060427449E-3</v>
      </c>
      <c r="Z1441" s="26"/>
    </row>
    <row r="1442" spans="1:26" x14ac:dyDescent="0.35">
      <c r="A1442" t="s">
        <v>122</v>
      </c>
      <c r="B1442" t="s">
        <v>122</v>
      </c>
      <c r="C1442" t="s">
        <v>123</v>
      </c>
      <c r="D1442" t="s">
        <v>101</v>
      </c>
      <c r="E1442" t="s">
        <v>99</v>
      </c>
      <c r="F1442" t="s">
        <v>12</v>
      </c>
      <c r="G1442">
        <v>1</v>
      </c>
      <c r="H1442">
        <v>130</v>
      </c>
      <c r="I1442">
        <v>0.89655172413793105</v>
      </c>
      <c r="J1442" s="25">
        <f t="shared" si="81"/>
        <v>0.89655172413793105</v>
      </c>
      <c r="K1442">
        <v>1349</v>
      </c>
      <c r="L1442">
        <v>8</v>
      </c>
      <c r="M1442">
        <v>5.8953574060427397E-3</v>
      </c>
      <c r="N1442" s="25">
        <f t="shared" si="80"/>
        <v>5.8953574060427449E-3</v>
      </c>
      <c r="O1442">
        <v>0.99410464259395703</v>
      </c>
      <c r="P1442" s="25">
        <f t="shared" si="82"/>
        <v>0.99410464259395726</v>
      </c>
      <c r="Q1442">
        <v>15</v>
      </c>
      <c r="R1442" t="s">
        <v>124</v>
      </c>
      <c r="S1442" t="s">
        <v>124</v>
      </c>
      <c r="T1442" t="s">
        <v>124</v>
      </c>
      <c r="U1442" t="s">
        <v>124</v>
      </c>
      <c r="X1442" s="19">
        <f t="shared" si="78"/>
        <v>0.89655172413793105</v>
      </c>
      <c r="Y1442" s="19">
        <f t="shared" si="79"/>
        <v>5.8953574060427449E-3</v>
      </c>
      <c r="Z1442" s="26"/>
    </row>
    <row r="1443" spans="1:26" x14ac:dyDescent="0.35">
      <c r="A1443" t="s">
        <v>122</v>
      </c>
      <c r="B1443" t="s">
        <v>122</v>
      </c>
      <c r="C1443" t="s">
        <v>123</v>
      </c>
      <c r="D1443" t="s">
        <v>101</v>
      </c>
      <c r="E1443" t="s">
        <v>99</v>
      </c>
      <c r="F1443" t="s">
        <v>12</v>
      </c>
      <c r="G1443">
        <v>1</v>
      </c>
      <c r="H1443">
        <v>130</v>
      </c>
      <c r="I1443">
        <v>0.89655172413793105</v>
      </c>
      <c r="J1443" s="25">
        <f t="shared" si="81"/>
        <v>0.89655172413793105</v>
      </c>
      <c r="K1443">
        <v>1349</v>
      </c>
      <c r="L1443">
        <v>8</v>
      </c>
      <c r="M1443">
        <v>5.8953574060427397E-3</v>
      </c>
      <c r="N1443" s="25">
        <f t="shared" si="80"/>
        <v>5.8953574060427449E-3</v>
      </c>
      <c r="O1443">
        <v>0.99410464259395703</v>
      </c>
      <c r="P1443" s="25">
        <f t="shared" si="82"/>
        <v>0.99410464259395726</v>
      </c>
      <c r="Q1443">
        <v>15</v>
      </c>
      <c r="R1443" t="s">
        <v>124</v>
      </c>
      <c r="S1443" t="s">
        <v>124</v>
      </c>
      <c r="T1443" t="s">
        <v>124</v>
      </c>
      <c r="U1443" t="s">
        <v>124</v>
      </c>
      <c r="X1443" s="19">
        <f t="shared" si="78"/>
        <v>0.89655172413793105</v>
      </c>
      <c r="Y1443" s="19">
        <f t="shared" si="79"/>
        <v>5.8953574060427449E-3</v>
      </c>
      <c r="Z1443" s="26"/>
    </row>
    <row r="1444" spans="1:26" x14ac:dyDescent="0.35">
      <c r="A1444" t="s">
        <v>122</v>
      </c>
      <c r="B1444" t="s">
        <v>122</v>
      </c>
      <c r="C1444" t="s">
        <v>123</v>
      </c>
      <c r="D1444" t="s">
        <v>101</v>
      </c>
      <c r="E1444" t="s">
        <v>99</v>
      </c>
      <c r="F1444" t="s">
        <v>12</v>
      </c>
      <c r="G1444">
        <v>1</v>
      </c>
      <c r="H1444">
        <v>130</v>
      </c>
      <c r="I1444">
        <v>0.89655172413793105</v>
      </c>
      <c r="J1444" s="25">
        <f t="shared" si="81"/>
        <v>0.89655172413793105</v>
      </c>
      <c r="K1444">
        <v>1349</v>
      </c>
      <c r="L1444">
        <v>8</v>
      </c>
      <c r="M1444">
        <v>5.8953574060427397E-3</v>
      </c>
      <c r="N1444" s="25">
        <f t="shared" si="80"/>
        <v>5.8953574060427449E-3</v>
      </c>
      <c r="O1444">
        <v>0.99410464259395703</v>
      </c>
      <c r="P1444" s="25">
        <f t="shared" si="82"/>
        <v>0.99410464259395726</v>
      </c>
      <c r="Q1444">
        <v>15</v>
      </c>
      <c r="R1444" t="s">
        <v>124</v>
      </c>
      <c r="S1444" t="s">
        <v>124</v>
      </c>
      <c r="T1444" t="s">
        <v>124</v>
      </c>
      <c r="U1444" t="s">
        <v>124</v>
      </c>
      <c r="X1444" s="19">
        <f t="shared" si="78"/>
        <v>0.89655172413793105</v>
      </c>
      <c r="Y1444" s="19">
        <f t="shared" si="79"/>
        <v>5.8953574060427449E-3</v>
      </c>
      <c r="Z1444" s="26"/>
    </row>
    <row r="1445" spans="1:26" x14ac:dyDescent="0.35">
      <c r="A1445" t="s">
        <v>122</v>
      </c>
      <c r="B1445" t="s">
        <v>122</v>
      </c>
      <c r="C1445" t="s">
        <v>123</v>
      </c>
      <c r="D1445" t="s">
        <v>101</v>
      </c>
      <c r="E1445" t="s">
        <v>99</v>
      </c>
      <c r="F1445" t="s">
        <v>12</v>
      </c>
      <c r="G1445">
        <v>1</v>
      </c>
      <c r="H1445">
        <v>130</v>
      </c>
      <c r="I1445">
        <v>0.89655172413793105</v>
      </c>
      <c r="J1445" s="25">
        <f t="shared" si="81"/>
        <v>0.89655172413793105</v>
      </c>
      <c r="K1445">
        <v>1349</v>
      </c>
      <c r="L1445">
        <v>8</v>
      </c>
      <c r="M1445">
        <v>5.8953574060427397E-3</v>
      </c>
      <c r="N1445" s="25">
        <f t="shared" si="80"/>
        <v>5.8953574060427449E-3</v>
      </c>
      <c r="O1445">
        <v>0.99410464259395703</v>
      </c>
      <c r="P1445" s="25">
        <f t="shared" si="82"/>
        <v>0.99410464259395726</v>
      </c>
      <c r="Q1445">
        <v>15</v>
      </c>
      <c r="R1445" t="s">
        <v>124</v>
      </c>
      <c r="S1445" t="s">
        <v>124</v>
      </c>
      <c r="T1445" t="s">
        <v>124</v>
      </c>
      <c r="U1445" t="s">
        <v>124</v>
      </c>
      <c r="X1445" s="19">
        <f t="shared" si="78"/>
        <v>0.89655172413793105</v>
      </c>
      <c r="Y1445" s="19">
        <f t="shared" si="79"/>
        <v>5.8953574060427449E-3</v>
      </c>
      <c r="Z1445" s="26"/>
    </row>
    <row r="1446" spans="1:26" x14ac:dyDescent="0.35">
      <c r="A1446" t="s">
        <v>122</v>
      </c>
      <c r="B1446" t="s">
        <v>122</v>
      </c>
      <c r="C1446" t="s">
        <v>123</v>
      </c>
      <c r="D1446" t="s">
        <v>101</v>
      </c>
      <c r="E1446" t="s">
        <v>99</v>
      </c>
      <c r="F1446" t="s">
        <v>12</v>
      </c>
      <c r="G1446">
        <v>1</v>
      </c>
      <c r="H1446">
        <v>130</v>
      </c>
      <c r="I1446">
        <v>0.89655172413793105</v>
      </c>
      <c r="J1446" s="25">
        <f t="shared" si="81"/>
        <v>0.89655172413793105</v>
      </c>
      <c r="K1446">
        <v>1349</v>
      </c>
      <c r="L1446">
        <v>8</v>
      </c>
      <c r="M1446">
        <v>5.8953574060427397E-3</v>
      </c>
      <c r="N1446" s="25">
        <f t="shared" si="80"/>
        <v>5.8953574060427449E-3</v>
      </c>
      <c r="O1446">
        <v>0.99410464259395703</v>
      </c>
      <c r="P1446" s="25">
        <f t="shared" si="82"/>
        <v>0.99410464259395726</v>
      </c>
      <c r="Q1446">
        <v>15</v>
      </c>
      <c r="R1446" t="s">
        <v>124</v>
      </c>
      <c r="S1446" t="s">
        <v>124</v>
      </c>
      <c r="T1446" t="s">
        <v>124</v>
      </c>
      <c r="U1446" t="s">
        <v>124</v>
      </c>
      <c r="X1446" s="19">
        <f t="shared" si="78"/>
        <v>0.89655172413793105</v>
      </c>
      <c r="Y1446" s="19">
        <f t="shared" si="79"/>
        <v>5.8953574060427449E-3</v>
      </c>
      <c r="Z1446" s="26"/>
    </row>
    <row r="1447" spans="1:26" x14ac:dyDescent="0.35">
      <c r="A1447" t="s">
        <v>122</v>
      </c>
      <c r="B1447" t="s">
        <v>122</v>
      </c>
      <c r="C1447" t="s">
        <v>123</v>
      </c>
      <c r="D1447" t="s">
        <v>101</v>
      </c>
      <c r="E1447" t="s">
        <v>99</v>
      </c>
      <c r="F1447" t="s">
        <v>12</v>
      </c>
      <c r="G1447">
        <v>1</v>
      </c>
      <c r="H1447">
        <v>130</v>
      </c>
      <c r="I1447">
        <v>0.89655172413793105</v>
      </c>
      <c r="J1447" s="25">
        <f t="shared" si="81"/>
        <v>0.89655172413793105</v>
      </c>
      <c r="K1447">
        <v>1349</v>
      </c>
      <c r="L1447">
        <v>8</v>
      </c>
      <c r="M1447">
        <v>5.8953574060427397E-3</v>
      </c>
      <c r="N1447" s="25">
        <f t="shared" si="80"/>
        <v>5.8953574060427449E-3</v>
      </c>
      <c r="O1447">
        <v>0.99410464259395703</v>
      </c>
      <c r="P1447" s="25">
        <f t="shared" si="82"/>
        <v>0.99410464259395726</v>
      </c>
      <c r="Q1447">
        <v>15</v>
      </c>
      <c r="R1447" t="s">
        <v>124</v>
      </c>
      <c r="S1447" t="s">
        <v>124</v>
      </c>
      <c r="T1447" t="s">
        <v>124</v>
      </c>
      <c r="U1447" t="s">
        <v>124</v>
      </c>
      <c r="X1447" s="19">
        <f t="shared" si="78"/>
        <v>0.89655172413793105</v>
      </c>
      <c r="Y1447" s="19">
        <f t="shared" si="79"/>
        <v>5.8953574060427449E-3</v>
      </c>
      <c r="Z1447" s="26"/>
    </row>
    <row r="1448" spans="1:26" x14ac:dyDescent="0.35">
      <c r="A1448" t="s">
        <v>122</v>
      </c>
      <c r="B1448" t="s">
        <v>122</v>
      </c>
      <c r="C1448" t="s">
        <v>123</v>
      </c>
      <c r="D1448" t="s">
        <v>101</v>
      </c>
      <c r="E1448" t="s">
        <v>99</v>
      </c>
      <c r="F1448" t="s">
        <v>12</v>
      </c>
      <c r="G1448">
        <v>1</v>
      </c>
      <c r="H1448">
        <v>130</v>
      </c>
      <c r="I1448">
        <v>0.89655172413793105</v>
      </c>
      <c r="J1448" s="25">
        <f t="shared" si="81"/>
        <v>0.89655172413793105</v>
      </c>
      <c r="K1448">
        <v>1349</v>
      </c>
      <c r="L1448">
        <v>8</v>
      </c>
      <c r="M1448">
        <v>5.8953574060427397E-3</v>
      </c>
      <c r="N1448" s="25">
        <f t="shared" si="80"/>
        <v>5.8953574060427449E-3</v>
      </c>
      <c r="O1448">
        <v>0.99410464259395703</v>
      </c>
      <c r="P1448" s="25">
        <f t="shared" si="82"/>
        <v>0.99410464259395726</v>
      </c>
      <c r="Q1448">
        <v>15</v>
      </c>
      <c r="R1448" t="s">
        <v>124</v>
      </c>
      <c r="S1448" t="s">
        <v>124</v>
      </c>
      <c r="T1448" t="s">
        <v>124</v>
      </c>
      <c r="U1448" t="s">
        <v>124</v>
      </c>
      <c r="X1448" s="19">
        <f t="shared" si="78"/>
        <v>0.89655172413793105</v>
      </c>
      <c r="Y1448" s="19">
        <f t="shared" si="79"/>
        <v>5.8953574060427449E-3</v>
      </c>
      <c r="Z1448" s="26"/>
    </row>
    <row r="1449" spans="1:26" x14ac:dyDescent="0.35">
      <c r="A1449" t="s">
        <v>122</v>
      </c>
      <c r="B1449" t="s">
        <v>122</v>
      </c>
      <c r="C1449" t="s">
        <v>123</v>
      </c>
      <c r="D1449" t="s">
        <v>101</v>
      </c>
      <c r="E1449" t="s">
        <v>99</v>
      </c>
      <c r="F1449" t="s">
        <v>12</v>
      </c>
      <c r="G1449">
        <v>1</v>
      </c>
      <c r="H1449">
        <v>130</v>
      </c>
      <c r="I1449">
        <v>0.89655172413793105</v>
      </c>
      <c r="J1449" s="25">
        <f t="shared" si="81"/>
        <v>0.89655172413793105</v>
      </c>
      <c r="K1449">
        <v>1349</v>
      </c>
      <c r="L1449">
        <v>8</v>
      </c>
      <c r="M1449">
        <v>5.8953574060427397E-3</v>
      </c>
      <c r="N1449" s="25">
        <f t="shared" si="80"/>
        <v>5.8953574060427449E-3</v>
      </c>
      <c r="O1449">
        <v>0.99410464259395703</v>
      </c>
      <c r="P1449" s="25">
        <f t="shared" si="82"/>
        <v>0.99410464259395726</v>
      </c>
      <c r="Q1449">
        <v>15</v>
      </c>
      <c r="R1449" t="s">
        <v>124</v>
      </c>
      <c r="S1449" t="s">
        <v>124</v>
      </c>
      <c r="T1449" t="s">
        <v>124</v>
      </c>
      <c r="U1449" t="s">
        <v>124</v>
      </c>
      <c r="X1449" s="19">
        <f t="shared" si="78"/>
        <v>0.89655172413793105</v>
      </c>
      <c r="Y1449" s="19">
        <f t="shared" si="79"/>
        <v>5.8953574060427449E-3</v>
      </c>
      <c r="Z1449" s="26"/>
    </row>
    <row r="1450" spans="1:26" x14ac:dyDescent="0.35">
      <c r="A1450" t="s">
        <v>122</v>
      </c>
      <c r="B1450" t="s">
        <v>122</v>
      </c>
      <c r="C1450" t="s">
        <v>123</v>
      </c>
      <c r="D1450" t="s">
        <v>101</v>
      </c>
      <c r="E1450" t="s">
        <v>99</v>
      </c>
      <c r="F1450" t="s">
        <v>12</v>
      </c>
      <c r="G1450">
        <v>1</v>
      </c>
      <c r="H1450">
        <v>130</v>
      </c>
      <c r="I1450">
        <v>0.89655172413793105</v>
      </c>
      <c r="J1450" s="25">
        <f t="shared" si="81"/>
        <v>0.89655172413793105</v>
      </c>
      <c r="K1450">
        <v>1349</v>
      </c>
      <c r="L1450">
        <v>8</v>
      </c>
      <c r="M1450">
        <v>5.8953574060427397E-3</v>
      </c>
      <c r="N1450" s="25">
        <f t="shared" si="80"/>
        <v>5.8953574060427449E-3</v>
      </c>
      <c r="O1450">
        <v>0.99410464259395703</v>
      </c>
      <c r="P1450" s="25">
        <f t="shared" si="82"/>
        <v>0.99410464259395726</v>
      </c>
      <c r="Q1450">
        <v>15</v>
      </c>
      <c r="R1450" t="s">
        <v>124</v>
      </c>
      <c r="S1450" t="s">
        <v>124</v>
      </c>
      <c r="T1450" t="s">
        <v>124</v>
      </c>
      <c r="U1450" t="s">
        <v>124</v>
      </c>
      <c r="X1450" s="19">
        <f t="shared" si="78"/>
        <v>0.89655172413793105</v>
      </c>
      <c r="Y1450" s="19">
        <f t="shared" si="79"/>
        <v>5.8953574060427449E-3</v>
      </c>
      <c r="Z1450" s="26"/>
    </row>
    <row r="1451" spans="1:26" x14ac:dyDescent="0.35">
      <c r="A1451" t="s">
        <v>122</v>
      </c>
      <c r="B1451" t="s">
        <v>122</v>
      </c>
      <c r="C1451" t="s">
        <v>123</v>
      </c>
      <c r="D1451" t="s">
        <v>101</v>
      </c>
      <c r="E1451" t="s">
        <v>99</v>
      </c>
      <c r="F1451" t="s">
        <v>12</v>
      </c>
      <c r="G1451">
        <v>1</v>
      </c>
      <c r="H1451">
        <v>130</v>
      </c>
      <c r="I1451">
        <v>0.89655172413793105</v>
      </c>
      <c r="J1451" s="25">
        <f t="shared" si="81"/>
        <v>0.89655172413793105</v>
      </c>
      <c r="K1451">
        <v>1349</v>
      </c>
      <c r="L1451">
        <v>8</v>
      </c>
      <c r="M1451">
        <v>5.8953574060427397E-3</v>
      </c>
      <c r="N1451" s="25">
        <f t="shared" si="80"/>
        <v>5.8953574060427449E-3</v>
      </c>
      <c r="O1451">
        <v>0.99410464259395703</v>
      </c>
      <c r="P1451" s="25">
        <f t="shared" si="82"/>
        <v>0.99410464259395726</v>
      </c>
      <c r="Q1451">
        <v>15</v>
      </c>
      <c r="R1451" t="s">
        <v>124</v>
      </c>
      <c r="S1451" t="s">
        <v>124</v>
      </c>
      <c r="T1451" t="s">
        <v>124</v>
      </c>
      <c r="U1451" t="s">
        <v>124</v>
      </c>
      <c r="X1451" s="19">
        <f t="shared" si="78"/>
        <v>0.89655172413793105</v>
      </c>
      <c r="Y1451" s="19">
        <f t="shared" si="79"/>
        <v>5.8953574060427449E-3</v>
      </c>
      <c r="Z1451" s="26"/>
    </row>
    <row r="1452" spans="1:26" x14ac:dyDescent="0.35">
      <c r="A1452" t="s">
        <v>122</v>
      </c>
      <c r="B1452" t="s">
        <v>122</v>
      </c>
      <c r="C1452" t="s">
        <v>123</v>
      </c>
      <c r="D1452" t="s">
        <v>101</v>
      </c>
      <c r="E1452" t="s">
        <v>99</v>
      </c>
      <c r="F1452" t="s">
        <v>12</v>
      </c>
      <c r="G1452">
        <v>1</v>
      </c>
      <c r="H1452">
        <v>130</v>
      </c>
      <c r="I1452">
        <v>0.89655172413793105</v>
      </c>
      <c r="J1452" s="25">
        <f t="shared" si="81"/>
        <v>0.89655172413793105</v>
      </c>
      <c r="K1452">
        <v>1349</v>
      </c>
      <c r="L1452">
        <v>8</v>
      </c>
      <c r="M1452">
        <v>5.8953574060427397E-3</v>
      </c>
      <c r="N1452" s="25">
        <f t="shared" si="80"/>
        <v>5.8953574060427449E-3</v>
      </c>
      <c r="O1452">
        <v>0.99410464259395703</v>
      </c>
      <c r="P1452" s="25">
        <f t="shared" si="82"/>
        <v>0.99410464259395726</v>
      </c>
      <c r="Q1452">
        <v>15</v>
      </c>
      <c r="R1452" t="s">
        <v>124</v>
      </c>
      <c r="S1452" t="s">
        <v>124</v>
      </c>
      <c r="T1452" t="s">
        <v>124</v>
      </c>
      <c r="U1452" t="s">
        <v>124</v>
      </c>
      <c r="X1452" s="19">
        <f t="shared" si="78"/>
        <v>0.89655172413793105</v>
      </c>
      <c r="Y1452" s="19">
        <f t="shared" si="79"/>
        <v>5.8953574060427449E-3</v>
      </c>
      <c r="Z1452" s="26"/>
    </row>
    <row r="1453" spans="1:26" x14ac:dyDescent="0.35">
      <c r="A1453" t="s">
        <v>122</v>
      </c>
      <c r="B1453" t="s">
        <v>122</v>
      </c>
      <c r="C1453" t="s">
        <v>123</v>
      </c>
      <c r="D1453" t="s">
        <v>101</v>
      </c>
      <c r="E1453" t="s">
        <v>99</v>
      </c>
      <c r="F1453" t="s">
        <v>12</v>
      </c>
      <c r="G1453">
        <v>1</v>
      </c>
      <c r="H1453">
        <v>130</v>
      </c>
      <c r="I1453">
        <v>0.89655172413793105</v>
      </c>
      <c r="J1453" s="25">
        <f t="shared" si="81"/>
        <v>0.89655172413793105</v>
      </c>
      <c r="K1453">
        <v>1349</v>
      </c>
      <c r="L1453">
        <v>8</v>
      </c>
      <c r="M1453">
        <v>5.8953574060427397E-3</v>
      </c>
      <c r="N1453" s="25">
        <f t="shared" si="80"/>
        <v>5.8953574060427449E-3</v>
      </c>
      <c r="O1453">
        <v>0.99410464259395703</v>
      </c>
      <c r="P1453" s="25">
        <f t="shared" si="82"/>
        <v>0.99410464259395726</v>
      </c>
      <c r="Q1453">
        <v>15</v>
      </c>
      <c r="R1453" t="s">
        <v>124</v>
      </c>
      <c r="S1453" t="s">
        <v>124</v>
      </c>
      <c r="T1453" t="s">
        <v>124</v>
      </c>
      <c r="U1453" t="s">
        <v>124</v>
      </c>
      <c r="X1453" s="19">
        <f t="shared" si="78"/>
        <v>0.89655172413793105</v>
      </c>
      <c r="Y1453" s="19">
        <f t="shared" si="79"/>
        <v>5.8953574060427449E-3</v>
      </c>
      <c r="Z1453" s="26"/>
    </row>
    <row r="1454" spans="1:26" x14ac:dyDescent="0.35">
      <c r="A1454" t="s">
        <v>122</v>
      </c>
      <c r="B1454" t="s">
        <v>122</v>
      </c>
      <c r="C1454" t="s">
        <v>123</v>
      </c>
      <c r="D1454" t="s">
        <v>101</v>
      </c>
      <c r="E1454" t="s">
        <v>99</v>
      </c>
      <c r="F1454" t="s">
        <v>12</v>
      </c>
      <c r="G1454">
        <v>1</v>
      </c>
      <c r="H1454">
        <v>130</v>
      </c>
      <c r="I1454">
        <v>0.89655172413793105</v>
      </c>
      <c r="J1454" s="25">
        <f t="shared" si="81"/>
        <v>0.89655172413793105</v>
      </c>
      <c r="K1454">
        <v>1349</v>
      </c>
      <c r="L1454">
        <v>8</v>
      </c>
      <c r="M1454">
        <v>5.8953574060427397E-3</v>
      </c>
      <c r="N1454" s="25">
        <f t="shared" si="80"/>
        <v>5.8953574060427449E-3</v>
      </c>
      <c r="O1454">
        <v>0.99410464259395703</v>
      </c>
      <c r="P1454" s="25">
        <f t="shared" si="82"/>
        <v>0.99410464259395726</v>
      </c>
      <c r="Q1454">
        <v>15</v>
      </c>
      <c r="R1454" t="s">
        <v>124</v>
      </c>
      <c r="S1454" t="s">
        <v>124</v>
      </c>
      <c r="T1454" t="s">
        <v>124</v>
      </c>
      <c r="U1454" t="s">
        <v>124</v>
      </c>
      <c r="X1454" s="19">
        <f t="shared" ref="X1454:X1517" si="83">J1454</f>
        <v>0.89655172413793105</v>
      </c>
      <c r="Y1454" s="19">
        <f t="shared" ref="Y1454:Y1517" si="84">N1454</f>
        <v>5.8953574060427449E-3</v>
      </c>
      <c r="Z1454" s="26"/>
    </row>
    <row r="1455" spans="1:26" x14ac:dyDescent="0.35">
      <c r="A1455" t="s">
        <v>122</v>
      </c>
      <c r="B1455" t="s">
        <v>122</v>
      </c>
      <c r="C1455" t="s">
        <v>123</v>
      </c>
      <c r="D1455" t="s">
        <v>101</v>
      </c>
      <c r="E1455" t="s">
        <v>99</v>
      </c>
      <c r="F1455" t="s">
        <v>12</v>
      </c>
      <c r="G1455">
        <v>1</v>
      </c>
      <c r="H1455">
        <v>130</v>
      </c>
      <c r="I1455">
        <v>0.89655172413793105</v>
      </c>
      <c r="J1455" s="25">
        <f t="shared" si="81"/>
        <v>0.89655172413793105</v>
      </c>
      <c r="K1455">
        <v>1349</v>
      </c>
      <c r="L1455">
        <v>8</v>
      </c>
      <c r="M1455">
        <v>5.8953574060427397E-3</v>
      </c>
      <c r="N1455" s="25">
        <f t="shared" si="80"/>
        <v>5.8953574060427449E-3</v>
      </c>
      <c r="O1455">
        <v>0.99410464259395703</v>
      </c>
      <c r="P1455" s="25">
        <f t="shared" si="82"/>
        <v>0.99410464259395726</v>
      </c>
      <c r="Q1455">
        <v>15</v>
      </c>
      <c r="R1455" t="s">
        <v>124</v>
      </c>
      <c r="S1455" t="s">
        <v>124</v>
      </c>
      <c r="T1455" t="s">
        <v>124</v>
      </c>
      <c r="U1455" t="s">
        <v>124</v>
      </c>
      <c r="X1455" s="19">
        <f t="shared" si="83"/>
        <v>0.89655172413793105</v>
      </c>
      <c r="Y1455" s="19">
        <f t="shared" si="84"/>
        <v>5.8953574060427449E-3</v>
      </c>
      <c r="Z1455" s="26"/>
    </row>
    <row r="1456" spans="1:26" x14ac:dyDescent="0.35">
      <c r="A1456" t="s">
        <v>122</v>
      </c>
      <c r="B1456" t="s">
        <v>122</v>
      </c>
      <c r="C1456" t="s">
        <v>123</v>
      </c>
      <c r="D1456" t="s">
        <v>101</v>
      </c>
      <c r="E1456" t="s">
        <v>99</v>
      </c>
      <c r="F1456" t="s">
        <v>12</v>
      </c>
      <c r="G1456">
        <v>1</v>
      </c>
      <c r="H1456">
        <v>130</v>
      </c>
      <c r="I1456">
        <v>0.89655172413793105</v>
      </c>
      <c r="J1456" s="25">
        <f t="shared" si="81"/>
        <v>0.89655172413793105</v>
      </c>
      <c r="K1456">
        <v>1349</v>
      </c>
      <c r="L1456">
        <v>8</v>
      </c>
      <c r="M1456">
        <v>5.8953574060427397E-3</v>
      </c>
      <c r="N1456" s="25">
        <f t="shared" si="80"/>
        <v>5.8953574060427449E-3</v>
      </c>
      <c r="O1456">
        <v>0.99410464259395703</v>
      </c>
      <c r="P1456" s="25">
        <f t="shared" si="82"/>
        <v>0.99410464259395726</v>
      </c>
      <c r="Q1456">
        <v>15</v>
      </c>
      <c r="R1456" t="s">
        <v>124</v>
      </c>
      <c r="S1456" t="s">
        <v>124</v>
      </c>
      <c r="T1456" t="s">
        <v>124</v>
      </c>
      <c r="U1456" t="s">
        <v>124</v>
      </c>
      <c r="X1456" s="19">
        <f t="shared" si="83"/>
        <v>0.89655172413793105</v>
      </c>
      <c r="Y1456" s="19">
        <f t="shared" si="84"/>
        <v>5.8953574060427449E-3</v>
      </c>
      <c r="Z1456" s="26"/>
    </row>
    <row r="1457" spans="1:26" x14ac:dyDescent="0.35">
      <c r="A1457" t="s">
        <v>122</v>
      </c>
      <c r="B1457" t="s">
        <v>122</v>
      </c>
      <c r="C1457" t="s">
        <v>123</v>
      </c>
      <c r="D1457" t="s">
        <v>101</v>
      </c>
      <c r="E1457" t="s">
        <v>99</v>
      </c>
      <c r="F1457" t="s">
        <v>12</v>
      </c>
      <c r="G1457">
        <v>1</v>
      </c>
      <c r="H1457">
        <v>130</v>
      </c>
      <c r="I1457">
        <v>0.89655172413793105</v>
      </c>
      <c r="J1457" s="25">
        <f t="shared" si="81"/>
        <v>0.89655172413793105</v>
      </c>
      <c r="K1457">
        <v>1349</v>
      </c>
      <c r="L1457">
        <v>8</v>
      </c>
      <c r="M1457">
        <v>5.8953574060427397E-3</v>
      </c>
      <c r="N1457" s="25">
        <f t="shared" si="80"/>
        <v>5.8953574060427449E-3</v>
      </c>
      <c r="O1457">
        <v>0.99410464259395703</v>
      </c>
      <c r="P1457" s="25">
        <f t="shared" si="82"/>
        <v>0.99410464259395726</v>
      </c>
      <c r="Q1457">
        <v>15</v>
      </c>
      <c r="R1457" t="s">
        <v>124</v>
      </c>
      <c r="S1457" t="s">
        <v>124</v>
      </c>
      <c r="T1457" t="s">
        <v>124</v>
      </c>
      <c r="U1457" t="s">
        <v>124</v>
      </c>
      <c r="X1457" s="19">
        <f t="shared" si="83"/>
        <v>0.89655172413793105</v>
      </c>
      <c r="Y1457" s="19">
        <f t="shared" si="84"/>
        <v>5.8953574060427449E-3</v>
      </c>
      <c r="Z1457" s="26"/>
    </row>
    <row r="1458" spans="1:26" x14ac:dyDescent="0.35">
      <c r="A1458" t="s">
        <v>122</v>
      </c>
      <c r="B1458" t="s">
        <v>122</v>
      </c>
      <c r="C1458" t="s">
        <v>123</v>
      </c>
      <c r="D1458" t="s">
        <v>101</v>
      </c>
      <c r="E1458" t="s">
        <v>99</v>
      </c>
      <c r="F1458" t="s">
        <v>12</v>
      </c>
      <c r="G1458">
        <v>1</v>
      </c>
      <c r="H1458">
        <v>130</v>
      </c>
      <c r="I1458">
        <v>0.89655172413793105</v>
      </c>
      <c r="J1458" s="25">
        <f t="shared" si="81"/>
        <v>0.89655172413793105</v>
      </c>
      <c r="K1458">
        <v>1349</v>
      </c>
      <c r="L1458">
        <v>8</v>
      </c>
      <c r="M1458">
        <v>5.8953574060427397E-3</v>
      </c>
      <c r="N1458" s="25">
        <f t="shared" si="80"/>
        <v>5.8953574060427449E-3</v>
      </c>
      <c r="O1458">
        <v>0.99410464259395703</v>
      </c>
      <c r="P1458" s="25">
        <f t="shared" si="82"/>
        <v>0.99410464259395726</v>
      </c>
      <c r="Q1458">
        <v>15</v>
      </c>
      <c r="R1458" t="s">
        <v>124</v>
      </c>
      <c r="S1458" t="s">
        <v>124</v>
      </c>
      <c r="T1458" t="s">
        <v>124</v>
      </c>
      <c r="U1458" t="s">
        <v>124</v>
      </c>
      <c r="X1458" s="19">
        <f t="shared" si="83"/>
        <v>0.89655172413793105</v>
      </c>
      <c r="Y1458" s="19">
        <f t="shared" si="84"/>
        <v>5.8953574060427449E-3</v>
      </c>
      <c r="Z1458" s="26"/>
    </row>
    <row r="1459" spans="1:26" x14ac:dyDescent="0.35">
      <c r="A1459" t="s">
        <v>122</v>
      </c>
      <c r="B1459" t="s">
        <v>122</v>
      </c>
      <c r="C1459" t="s">
        <v>123</v>
      </c>
      <c r="D1459" t="s">
        <v>101</v>
      </c>
      <c r="E1459" t="s">
        <v>99</v>
      </c>
      <c r="F1459" t="s">
        <v>12</v>
      </c>
      <c r="G1459">
        <v>1</v>
      </c>
      <c r="H1459">
        <v>130</v>
      </c>
      <c r="I1459">
        <v>0.89655172413793105</v>
      </c>
      <c r="J1459" s="25">
        <f t="shared" si="81"/>
        <v>0.89655172413793105</v>
      </c>
      <c r="K1459">
        <v>1349</v>
      </c>
      <c r="L1459">
        <v>8</v>
      </c>
      <c r="M1459">
        <v>5.8953574060427397E-3</v>
      </c>
      <c r="N1459" s="25">
        <f t="shared" si="80"/>
        <v>5.8953574060427449E-3</v>
      </c>
      <c r="O1459">
        <v>0.99410464259395703</v>
      </c>
      <c r="P1459" s="25">
        <f t="shared" si="82"/>
        <v>0.99410464259395726</v>
      </c>
      <c r="Q1459">
        <v>15</v>
      </c>
      <c r="R1459" t="s">
        <v>124</v>
      </c>
      <c r="S1459" t="s">
        <v>124</v>
      </c>
      <c r="T1459" t="s">
        <v>124</v>
      </c>
      <c r="U1459" t="s">
        <v>124</v>
      </c>
      <c r="X1459" s="19">
        <f t="shared" si="83"/>
        <v>0.89655172413793105</v>
      </c>
      <c r="Y1459" s="19">
        <f t="shared" si="84"/>
        <v>5.8953574060427449E-3</v>
      </c>
      <c r="Z1459" s="26"/>
    </row>
    <row r="1460" spans="1:26" x14ac:dyDescent="0.35">
      <c r="A1460" t="s">
        <v>122</v>
      </c>
      <c r="B1460" t="s">
        <v>122</v>
      </c>
      <c r="C1460" t="s">
        <v>123</v>
      </c>
      <c r="D1460" t="s">
        <v>101</v>
      </c>
      <c r="E1460" t="s">
        <v>99</v>
      </c>
      <c r="F1460" t="s">
        <v>12</v>
      </c>
      <c r="G1460">
        <v>1</v>
      </c>
      <c r="H1460">
        <v>130</v>
      </c>
      <c r="I1460">
        <v>0.89655172413793105</v>
      </c>
      <c r="J1460" s="25">
        <f t="shared" si="81"/>
        <v>0.89655172413793105</v>
      </c>
      <c r="K1460">
        <v>1349</v>
      </c>
      <c r="L1460">
        <v>8</v>
      </c>
      <c r="M1460">
        <v>5.8953574060427397E-3</v>
      </c>
      <c r="N1460" s="25">
        <f t="shared" si="80"/>
        <v>5.8953574060427449E-3</v>
      </c>
      <c r="O1460">
        <v>0.99410464259395703</v>
      </c>
      <c r="P1460" s="25">
        <f t="shared" si="82"/>
        <v>0.99410464259395726</v>
      </c>
      <c r="Q1460">
        <v>15</v>
      </c>
      <c r="R1460" t="s">
        <v>124</v>
      </c>
      <c r="S1460" t="s">
        <v>124</v>
      </c>
      <c r="T1460" t="s">
        <v>124</v>
      </c>
      <c r="U1460" t="s">
        <v>124</v>
      </c>
      <c r="X1460" s="19">
        <f t="shared" si="83"/>
        <v>0.89655172413793105</v>
      </c>
      <c r="Y1460" s="19">
        <f t="shared" si="84"/>
        <v>5.8953574060427449E-3</v>
      </c>
      <c r="Z1460" s="26"/>
    </row>
    <row r="1461" spans="1:26" x14ac:dyDescent="0.35">
      <c r="A1461" t="s">
        <v>122</v>
      </c>
      <c r="B1461" t="s">
        <v>122</v>
      </c>
      <c r="C1461" t="s">
        <v>123</v>
      </c>
      <c r="D1461" t="s">
        <v>101</v>
      </c>
      <c r="E1461" t="s">
        <v>99</v>
      </c>
      <c r="F1461" t="s">
        <v>12</v>
      </c>
      <c r="G1461">
        <v>1</v>
      </c>
      <c r="H1461">
        <v>130</v>
      </c>
      <c r="I1461">
        <v>0.89655172413793105</v>
      </c>
      <c r="J1461" s="25">
        <f t="shared" si="81"/>
        <v>0.89655172413793105</v>
      </c>
      <c r="K1461">
        <v>1349</v>
      </c>
      <c r="L1461">
        <v>8</v>
      </c>
      <c r="M1461">
        <v>5.8953574060427397E-3</v>
      </c>
      <c r="N1461" s="25">
        <f t="shared" si="80"/>
        <v>5.8953574060427449E-3</v>
      </c>
      <c r="O1461">
        <v>0.99410464259395703</v>
      </c>
      <c r="P1461" s="25">
        <f t="shared" si="82"/>
        <v>0.99410464259395726</v>
      </c>
      <c r="Q1461">
        <v>15</v>
      </c>
      <c r="R1461" t="s">
        <v>124</v>
      </c>
      <c r="S1461" t="s">
        <v>124</v>
      </c>
      <c r="T1461" t="s">
        <v>124</v>
      </c>
      <c r="U1461" t="s">
        <v>124</v>
      </c>
      <c r="X1461" s="19">
        <f t="shared" si="83"/>
        <v>0.89655172413793105</v>
      </c>
      <c r="Y1461" s="19">
        <f t="shared" si="84"/>
        <v>5.8953574060427449E-3</v>
      </c>
      <c r="Z1461" s="26"/>
    </row>
    <row r="1462" spans="1:26" x14ac:dyDescent="0.35">
      <c r="A1462" t="s">
        <v>122</v>
      </c>
      <c r="B1462" t="s">
        <v>122</v>
      </c>
      <c r="C1462" t="s">
        <v>123</v>
      </c>
      <c r="D1462" t="s">
        <v>101</v>
      </c>
      <c r="E1462" t="s">
        <v>99</v>
      </c>
      <c r="F1462" t="s">
        <v>12</v>
      </c>
      <c r="G1462">
        <v>1</v>
      </c>
      <c r="H1462">
        <v>130</v>
      </c>
      <c r="I1462">
        <v>0.89655172413793105</v>
      </c>
      <c r="J1462" s="25">
        <f t="shared" si="81"/>
        <v>0.89655172413793105</v>
      </c>
      <c r="K1462">
        <v>1349</v>
      </c>
      <c r="L1462">
        <v>8</v>
      </c>
      <c r="M1462">
        <v>5.8953574060427397E-3</v>
      </c>
      <c r="N1462" s="25">
        <f t="shared" si="80"/>
        <v>5.8953574060427449E-3</v>
      </c>
      <c r="O1462">
        <v>0.99410464259395703</v>
      </c>
      <c r="P1462" s="25">
        <f t="shared" si="82"/>
        <v>0.99410464259395726</v>
      </c>
      <c r="Q1462">
        <v>15</v>
      </c>
      <c r="R1462" t="s">
        <v>124</v>
      </c>
      <c r="S1462" t="s">
        <v>124</v>
      </c>
      <c r="T1462" t="s">
        <v>124</v>
      </c>
      <c r="U1462" t="s">
        <v>124</v>
      </c>
      <c r="X1462" s="19">
        <f t="shared" si="83"/>
        <v>0.89655172413793105</v>
      </c>
      <c r="Y1462" s="19">
        <f t="shared" si="84"/>
        <v>5.8953574060427449E-3</v>
      </c>
      <c r="Z1462" s="26"/>
    </row>
    <row r="1463" spans="1:26" x14ac:dyDescent="0.35">
      <c r="A1463" t="s">
        <v>122</v>
      </c>
      <c r="B1463" t="s">
        <v>122</v>
      </c>
      <c r="C1463" t="s">
        <v>123</v>
      </c>
      <c r="D1463" t="s">
        <v>101</v>
      </c>
      <c r="E1463" t="s">
        <v>99</v>
      </c>
      <c r="F1463" t="s">
        <v>12</v>
      </c>
      <c r="G1463">
        <v>1</v>
      </c>
      <c r="H1463">
        <v>130</v>
      </c>
      <c r="I1463">
        <v>0.89655172413793105</v>
      </c>
      <c r="J1463" s="25">
        <f t="shared" si="81"/>
        <v>0.89655172413793105</v>
      </c>
      <c r="K1463">
        <v>1349</v>
      </c>
      <c r="L1463">
        <v>8</v>
      </c>
      <c r="M1463">
        <v>5.8953574060427397E-3</v>
      </c>
      <c r="N1463" s="25">
        <f t="shared" si="80"/>
        <v>5.8953574060427449E-3</v>
      </c>
      <c r="O1463">
        <v>0.99410464259395703</v>
      </c>
      <c r="P1463" s="25">
        <f t="shared" si="82"/>
        <v>0.99410464259395726</v>
      </c>
      <c r="Q1463">
        <v>15</v>
      </c>
      <c r="R1463" t="s">
        <v>124</v>
      </c>
      <c r="S1463" t="s">
        <v>124</v>
      </c>
      <c r="T1463" t="s">
        <v>124</v>
      </c>
      <c r="U1463" t="s">
        <v>124</v>
      </c>
      <c r="X1463" s="19">
        <f t="shared" si="83"/>
        <v>0.89655172413793105</v>
      </c>
      <c r="Y1463" s="19">
        <f t="shared" si="84"/>
        <v>5.8953574060427449E-3</v>
      </c>
      <c r="Z1463" s="26"/>
    </row>
    <row r="1464" spans="1:26" x14ac:dyDescent="0.35">
      <c r="A1464" t="s">
        <v>122</v>
      </c>
      <c r="B1464" t="s">
        <v>122</v>
      </c>
      <c r="C1464" t="s">
        <v>123</v>
      </c>
      <c r="D1464" t="s">
        <v>101</v>
      </c>
      <c r="E1464" t="s">
        <v>99</v>
      </c>
      <c r="F1464" t="s">
        <v>12</v>
      </c>
      <c r="G1464">
        <v>1</v>
      </c>
      <c r="H1464">
        <v>130</v>
      </c>
      <c r="I1464">
        <v>0.89655172413793105</v>
      </c>
      <c r="J1464" s="25">
        <f t="shared" si="81"/>
        <v>0.89655172413793105</v>
      </c>
      <c r="K1464">
        <v>1349</v>
      </c>
      <c r="L1464">
        <v>8</v>
      </c>
      <c r="M1464">
        <v>5.8953574060427397E-3</v>
      </c>
      <c r="N1464" s="25">
        <f t="shared" si="80"/>
        <v>5.8953574060427449E-3</v>
      </c>
      <c r="O1464">
        <v>0.99410464259395703</v>
      </c>
      <c r="P1464" s="25">
        <f t="shared" si="82"/>
        <v>0.99410464259395726</v>
      </c>
      <c r="Q1464">
        <v>15</v>
      </c>
      <c r="R1464" t="s">
        <v>124</v>
      </c>
      <c r="S1464" t="s">
        <v>124</v>
      </c>
      <c r="T1464" t="s">
        <v>124</v>
      </c>
      <c r="U1464" t="s">
        <v>124</v>
      </c>
      <c r="X1464" s="19">
        <f t="shared" si="83"/>
        <v>0.89655172413793105</v>
      </c>
      <c r="Y1464" s="19">
        <f t="shared" si="84"/>
        <v>5.8953574060427449E-3</v>
      </c>
      <c r="Z1464" s="26"/>
    </row>
    <row r="1465" spans="1:26" x14ac:dyDescent="0.35">
      <c r="A1465" t="s">
        <v>122</v>
      </c>
      <c r="B1465" t="s">
        <v>122</v>
      </c>
      <c r="C1465" t="s">
        <v>123</v>
      </c>
      <c r="D1465" t="s">
        <v>101</v>
      </c>
      <c r="E1465" t="s">
        <v>99</v>
      </c>
      <c r="F1465" t="s">
        <v>12</v>
      </c>
      <c r="G1465">
        <v>1</v>
      </c>
      <c r="H1465">
        <v>130</v>
      </c>
      <c r="I1465">
        <v>0.89655172413793105</v>
      </c>
      <c r="J1465" s="25">
        <f t="shared" si="81"/>
        <v>0.89655172413793105</v>
      </c>
      <c r="K1465">
        <v>1349</v>
      </c>
      <c r="L1465">
        <v>8</v>
      </c>
      <c r="M1465">
        <v>5.8953574060427397E-3</v>
      </c>
      <c r="N1465" s="25">
        <f t="shared" si="80"/>
        <v>5.8953574060427449E-3</v>
      </c>
      <c r="O1465">
        <v>0.99410464259395703</v>
      </c>
      <c r="P1465" s="25">
        <f t="shared" si="82"/>
        <v>0.99410464259395726</v>
      </c>
      <c r="Q1465">
        <v>15</v>
      </c>
      <c r="R1465" t="s">
        <v>124</v>
      </c>
      <c r="S1465" t="s">
        <v>124</v>
      </c>
      <c r="T1465" t="s">
        <v>124</v>
      </c>
      <c r="U1465" t="s">
        <v>124</v>
      </c>
      <c r="X1465" s="19">
        <f t="shared" si="83"/>
        <v>0.89655172413793105</v>
      </c>
      <c r="Y1465" s="19">
        <f t="shared" si="84"/>
        <v>5.8953574060427449E-3</v>
      </c>
      <c r="Z1465" s="26"/>
    </row>
    <row r="1466" spans="1:26" x14ac:dyDescent="0.35">
      <c r="A1466" t="s">
        <v>122</v>
      </c>
      <c r="B1466" t="s">
        <v>122</v>
      </c>
      <c r="C1466" t="s">
        <v>123</v>
      </c>
      <c r="D1466" t="s">
        <v>101</v>
      </c>
      <c r="E1466" t="s">
        <v>99</v>
      </c>
      <c r="F1466" t="s">
        <v>12</v>
      </c>
      <c r="G1466">
        <v>1</v>
      </c>
      <c r="H1466">
        <v>130</v>
      </c>
      <c r="I1466">
        <v>0.89655172413793105</v>
      </c>
      <c r="J1466" s="25">
        <f t="shared" si="81"/>
        <v>0.89655172413793105</v>
      </c>
      <c r="K1466">
        <v>1349</v>
      </c>
      <c r="L1466">
        <v>8</v>
      </c>
      <c r="M1466">
        <v>5.8953574060427397E-3</v>
      </c>
      <c r="N1466" s="25">
        <f t="shared" si="80"/>
        <v>5.8953574060427449E-3</v>
      </c>
      <c r="O1466">
        <v>0.99410464259395703</v>
      </c>
      <c r="P1466" s="25">
        <f t="shared" si="82"/>
        <v>0.99410464259395726</v>
      </c>
      <c r="Q1466">
        <v>15</v>
      </c>
      <c r="R1466" t="s">
        <v>124</v>
      </c>
      <c r="S1466" t="s">
        <v>124</v>
      </c>
      <c r="T1466" t="s">
        <v>124</v>
      </c>
      <c r="U1466" t="s">
        <v>124</v>
      </c>
      <c r="X1466" s="19">
        <f t="shared" si="83"/>
        <v>0.89655172413793105</v>
      </c>
      <c r="Y1466" s="19">
        <f t="shared" si="84"/>
        <v>5.8953574060427449E-3</v>
      </c>
      <c r="Z1466" s="26"/>
    </row>
    <row r="1467" spans="1:26" x14ac:dyDescent="0.35">
      <c r="A1467" t="s">
        <v>122</v>
      </c>
      <c r="B1467" t="s">
        <v>122</v>
      </c>
      <c r="C1467" t="s">
        <v>123</v>
      </c>
      <c r="D1467" t="s">
        <v>101</v>
      </c>
      <c r="E1467" t="s">
        <v>99</v>
      </c>
      <c r="F1467" t="s">
        <v>12</v>
      </c>
      <c r="G1467">
        <v>1</v>
      </c>
      <c r="H1467">
        <v>130</v>
      </c>
      <c r="I1467">
        <v>0.89655172413793105</v>
      </c>
      <c r="J1467" s="25">
        <f t="shared" si="81"/>
        <v>0.89655172413793105</v>
      </c>
      <c r="K1467">
        <v>1349</v>
      </c>
      <c r="L1467">
        <v>8</v>
      </c>
      <c r="M1467">
        <v>5.8953574060427397E-3</v>
      </c>
      <c r="N1467" s="25">
        <f t="shared" si="80"/>
        <v>5.8953574060427449E-3</v>
      </c>
      <c r="O1467">
        <v>0.99410464259395703</v>
      </c>
      <c r="P1467" s="25">
        <f t="shared" si="82"/>
        <v>0.99410464259395726</v>
      </c>
      <c r="Q1467">
        <v>15</v>
      </c>
      <c r="R1467" t="s">
        <v>124</v>
      </c>
      <c r="S1467" t="s">
        <v>124</v>
      </c>
      <c r="T1467" t="s">
        <v>124</v>
      </c>
      <c r="U1467" t="s">
        <v>124</v>
      </c>
      <c r="X1467" s="19">
        <f t="shared" si="83"/>
        <v>0.89655172413793105</v>
      </c>
      <c r="Y1467" s="19">
        <f t="shared" si="84"/>
        <v>5.8953574060427449E-3</v>
      </c>
      <c r="Z1467" s="26"/>
    </row>
    <row r="1468" spans="1:26" x14ac:dyDescent="0.35">
      <c r="A1468" t="s">
        <v>122</v>
      </c>
      <c r="B1468" t="s">
        <v>122</v>
      </c>
      <c r="C1468" t="s">
        <v>123</v>
      </c>
      <c r="D1468" t="s">
        <v>101</v>
      </c>
      <c r="E1468" t="s">
        <v>99</v>
      </c>
      <c r="F1468" t="s">
        <v>12</v>
      </c>
      <c r="G1468">
        <v>1</v>
      </c>
      <c r="H1468">
        <v>130</v>
      </c>
      <c r="I1468">
        <v>0.89655172413793105</v>
      </c>
      <c r="J1468" s="25">
        <f t="shared" si="81"/>
        <v>0.89655172413793105</v>
      </c>
      <c r="K1468">
        <v>1349</v>
      </c>
      <c r="L1468">
        <v>8</v>
      </c>
      <c r="M1468">
        <v>5.8953574060427397E-3</v>
      </c>
      <c r="N1468" s="25">
        <f t="shared" si="80"/>
        <v>5.8953574060427449E-3</v>
      </c>
      <c r="O1468">
        <v>0.99410464259395703</v>
      </c>
      <c r="P1468" s="25">
        <f t="shared" si="82"/>
        <v>0.99410464259395726</v>
      </c>
      <c r="Q1468">
        <v>15</v>
      </c>
      <c r="R1468" t="s">
        <v>124</v>
      </c>
      <c r="S1468" t="s">
        <v>124</v>
      </c>
      <c r="T1468" t="s">
        <v>124</v>
      </c>
      <c r="U1468" t="s">
        <v>124</v>
      </c>
      <c r="X1468" s="19">
        <f t="shared" si="83"/>
        <v>0.89655172413793105</v>
      </c>
      <c r="Y1468" s="19">
        <f t="shared" si="84"/>
        <v>5.8953574060427449E-3</v>
      </c>
      <c r="Z1468" s="26"/>
    </row>
    <row r="1469" spans="1:26" x14ac:dyDescent="0.35">
      <c r="A1469" t="s">
        <v>122</v>
      </c>
      <c r="B1469" t="s">
        <v>122</v>
      </c>
      <c r="C1469" t="s">
        <v>123</v>
      </c>
      <c r="D1469" t="s">
        <v>101</v>
      </c>
      <c r="E1469" t="s">
        <v>99</v>
      </c>
      <c r="F1469" t="s">
        <v>12</v>
      </c>
      <c r="G1469">
        <v>1</v>
      </c>
      <c r="H1469">
        <v>130</v>
      </c>
      <c r="I1469">
        <v>0.89655172413793105</v>
      </c>
      <c r="J1469" s="25">
        <f t="shared" si="81"/>
        <v>0.89655172413793105</v>
      </c>
      <c r="K1469">
        <v>1349</v>
      </c>
      <c r="L1469">
        <v>8</v>
      </c>
      <c r="M1469">
        <v>5.8953574060427397E-3</v>
      </c>
      <c r="N1469" s="25">
        <f t="shared" si="80"/>
        <v>5.8953574060427449E-3</v>
      </c>
      <c r="O1469">
        <v>0.99410464259395703</v>
      </c>
      <c r="P1469" s="25">
        <f t="shared" si="82"/>
        <v>0.99410464259395726</v>
      </c>
      <c r="Q1469">
        <v>15</v>
      </c>
      <c r="R1469" t="s">
        <v>124</v>
      </c>
      <c r="S1469" t="s">
        <v>124</v>
      </c>
      <c r="T1469" t="s">
        <v>124</v>
      </c>
      <c r="U1469" t="s">
        <v>124</v>
      </c>
      <c r="X1469" s="19">
        <f t="shared" si="83"/>
        <v>0.89655172413793105</v>
      </c>
      <c r="Y1469" s="19">
        <f t="shared" si="84"/>
        <v>5.8953574060427449E-3</v>
      </c>
      <c r="Z1469" s="26"/>
    </row>
    <row r="1470" spans="1:26" x14ac:dyDescent="0.35">
      <c r="A1470" t="s">
        <v>122</v>
      </c>
      <c r="B1470" t="s">
        <v>122</v>
      </c>
      <c r="C1470" t="s">
        <v>123</v>
      </c>
      <c r="D1470" t="s">
        <v>101</v>
      </c>
      <c r="E1470" t="s">
        <v>99</v>
      </c>
      <c r="F1470" t="s">
        <v>12</v>
      </c>
      <c r="G1470">
        <v>1</v>
      </c>
      <c r="H1470">
        <v>130</v>
      </c>
      <c r="I1470">
        <v>0.89655172413793105</v>
      </c>
      <c r="J1470" s="25">
        <f t="shared" si="81"/>
        <v>0.89655172413793105</v>
      </c>
      <c r="K1470">
        <v>1349</v>
      </c>
      <c r="L1470">
        <v>8</v>
      </c>
      <c r="M1470">
        <v>5.8953574060427397E-3</v>
      </c>
      <c r="N1470" s="25">
        <f t="shared" si="80"/>
        <v>5.8953574060427449E-3</v>
      </c>
      <c r="O1470">
        <v>0.99410464259395703</v>
      </c>
      <c r="P1470" s="25">
        <f t="shared" si="82"/>
        <v>0.99410464259395726</v>
      </c>
      <c r="Q1470">
        <v>15</v>
      </c>
      <c r="R1470" t="s">
        <v>124</v>
      </c>
      <c r="S1470" t="s">
        <v>124</v>
      </c>
      <c r="T1470" t="s">
        <v>124</v>
      </c>
      <c r="U1470" t="s">
        <v>124</v>
      </c>
      <c r="X1470" s="19">
        <f t="shared" si="83"/>
        <v>0.89655172413793105</v>
      </c>
      <c r="Y1470" s="19">
        <f t="shared" si="84"/>
        <v>5.8953574060427449E-3</v>
      </c>
      <c r="Z1470" s="26"/>
    </row>
    <row r="1471" spans="1:26" x14ac:dyDescent="0.35">
      <c r="A1471" t="s">
        <v>122</v>
      </c>
      <c r="B1471" t="s">
        <v>122</v>
      </c>
      <c r="C1471" t="s">
        <v>123</v>
      </c>
      <c r="D1471" t="s">
        <v>101</v>
      </c>
      <c r="E1471" t="s">
        <v>99</v>
      </c>
      <c r="F1471" t="s">
        <v>12</v>
      </c>
      <c r="G1471">
        <v>1</v>
      </c>
      <c r="H1471">
        <v>130</v>
      </c>
      <c r="I1471">
        <v>0.89655172413793105</v>
      </c>
      <c r="J1471" s="25">
        <f t="shared" si="81"/>
        <v>0.89655172413793105</v>
      </c>
      <c r="K1471">
        <v>1349</v>
      </c>
      <c r="L1471">
        <v>8</v>
      </c>
      <c r="M1471">
        <v>5.8953574060427397E-3</v>
      </c>
      <c r="N1471" s="25">
        <f t="shared" si="80"/>
        <v>5.8953574060427449E-3</v>
      </c>
      <c r="O1471">
        <v>0.99410464259395703</v>
      </c>
      <c r="P1471" s="25">
        <f t="shared" si="82"/>
        <v>0.99410464259395726</v>
      </c>
      <c r="Q1471">
        <v>15</v>
      </c>
      <c r="R1471" t="s">
        <v>124</v>
      </c>
      <c r="S1471" t="s">
        <v>124</v>
      </c>
      <c r="T1471" t="s">
        <v>124</v>
      </c>
      <c r="U1471" t="s">
        <v>124</v>
      </c>
      <c r="X1471" s="19">
        <f t="shared" si="83"/>
        <v>0.89655172413793105</v>
      </c>
      <c r="Y1471" s="19">
        <f t="shared" si="84"/>
        <v>5.8953574060427449E-3</v>
      </c>
      <c r="Z1471" s="26"/>
    </row>
    <row r="1472" spans="1:26" x14ac:dyDescent="0.35">
      <c r="A1472" t="s">
        <v>122</v>
      </c>
      <c r="B1472" t="s">
        <v>122</v>
      </c>
      <c r="C1472" t="s">
        <v>123</v>
      </c>
      <c r="D1472" t="s">
        <v>101</v>
      </c>
      <c r="E1472" t="s">
        <v>99</v>
      </c>
      <c r="F1472" t="s">
        <v>12</v>
      </c>
      <c r="G1472">
        <v>1</v>
      </c>
      <c r="H1472">
        <v>130</v>
      </c>
      <c r="I1472">
        <v>0.89655172413793105</v>
      </c>
      <c r="J1472" s="25">
        <f t="shared" si="81"/>
        <v>0.89655172413793105</v>
      </c>
      <c r="K1472">
        <v>1349</v>
      </c>
      <c r="L1472">
        <v>8</v>
      </c>
      <c r="M1472">
        <v>5.8953574060427397E-3</v>
      </c>
      <c r="N1472" s="25">
        <f t="shared" si="80"/>
        <v>5.8953574060427449E-3</v>
      </c>
      <c r="O1472">
        <v>0.99410464259395703</v>
      </c>
      <c r="P1472" s="25">
        <f t="shared" si="82"/>
        <v>0.99410464259395726</v>
      </c>
      <c r="Q1472">
        <v>15</v>
      </c>
      <c r="R1472" t="s">
        <v>124</v>
      </c>
      <c r="S1472" t="s">
        <v>124</v>
      </c>
      <c r="T1472" t="s">
        <v>124</v>
      </c>
      <c r="U1472" t="s">
        <v>124</v>
      </c>
      <c r="X1472" s="19">
        <f t="shared" si="83"/>
        <v>0.89655172413793105</v>
      </c>
      <c r="Y1472" s="19">
        <f t="shared" si="84"/>
        <v>5.8953574060427449E-3</v>
      </c>
      <c r="Z1472" s="26"/>
    </row>
    <row r="1473" spans="1:26" x14ac:dyDescent="0.35">
      <c r="A1473" t="s">
        <v>122</v>
      </c>
      <c r="B1473" t="s">
        <v>122</v>
      </c>
      <c r="C1473" t="s">
        <v>123</v>
      </c>
      <c r="D1473" t="s">
        <v>101</v>
      </c>
      <c r="E1473" t="s">
        <v>99</v>
      </c>
      <c r="F1473" t="s">
        <v>12</v>
      </c>
      <c r="G1473">
        <v>1</v>
      </c>
      <c r="H1473">
        <v>130</v>
      </c>
      <c r="I1473">
        <v>0.89655172413793105</v>
      </c>
      <c r="J1473" s="25">
        <f t="shared" si="81"/>
        <v>0.89655172413793105</v>
      </c>
      <c r="K1473">
        <v>1349</v>
      </c>
      <c r="L1473">
        <v>8</v>
      </c>
      <c r="M1473">
        <v>5.8953574060427397E-3</v>
      </c>
      <c r="N1473" s="25">
        <f t="shared" si="80"/>
        <v>5.8953574060427449E-3</v>
      </c>
      <c r="O1473">
        <v>0.99410464259395703</v>
      </c>
      <c r="P1473" s="25">
        <f t="shared" si="82"/>
        <v>0.99410464259395726</v>
      </c>
      <c r="Q1473">
        <v>15</v>
      </c>
      <c r="R1473" t="s">
        <v>124</v>
      </c>
      <c r="S1473" t="s">
        <v>124</v>
      </c>
      <c r="T1473" t="s">
        <v>124</v>
      </c>
      <c r="U1473" t="s">
        <v>124</v>
      </c>
      <c r="X1473" s="19">
        <f t="shared" si="83"/>
        <v>0.89655172413793105</v>
      </c>
      <c r="Y1473" s="19">
        <f t="shared" si="84"/>
        <v>5.8953574060427449E-3</v>
      </c>
      <c r="Z1473" s="26"/>
    </row>
    <row r="1474" spans="1:26" x14ac:dyDescent="0.35">
      <c r="A1474" t="s">
        <v>122</v>
      </c>
      <c r="B1474" t="s">
        <v>122</v>
      </c>
      <c r="C1474" t="s">
        <v>123</v>
      </c>
      <c r="D1474" t="s">
        <v>101</v>
      </c>
      <c r="E1474" t="s">
        <v>99</v>
      </c>
      <c r="F1474" t="s">
        <v>12</v>
      </c>
      <c r="G1474">
        <v>1</v>
      </c>
      <c r="H1474">
        <v>130</v>
      </c>
      <c r="I1474">
        <v>0.89655172413793105</v>
      </c>
      <c r="J1474" s="25">
        <f t="shared" si="81"/>
        <v>0.89655172413793105</v>
      </c>
      <c r="K1474">
        <v>1349</v>
      </c>
      <c r="L1474">
        <v>8</v>
      </c>
      <c r="M1474">
        <v>5.8953574060427397E-3</v>
      </c>
      <c r="N1474" s="25">
        <f t="shared" ref="N1474:N1537" si="85">1-P1474</f>
        <v>5.8953574060427449E-3</v>
      </c>
      <c r="O1474">
        <v>0.99410464259395703</v>
      </c>
      <c r="P1474" s="25">
        <f t="shared" si="82"/>
        <v>0.99410464259395726</v>
      </c>
      <c r="Q1474">
        <v>15</v>
      </c>
      <c r="R1474" t="s">
        <v>124</v>
      </c>
      <c r="S1474" t="s">
        <v>124</v>
      </c>
      <c r="T1474" t="s">
        <v>124</v>
      </c>
      <c r="U1474" t="s">
        <v>124</v>
      </c>
      <c r="X1474" s="19">
        <f t="shared" si="83"/>
        <v>0.89655172413793105</v>
      </c>
      <c r="Y1474" s="19">
        <f t="shared" si="84"/>
        <v>5.8953574060427449E-3</v>
      </c>
      <c r="Z1474" s="26"/>
    </row>
    <row r="1475" spans="1:26" x14ac:dyDescent="0.35">
      <c r="A1475" t="s">
        <v>122</v>
      </c>
      <c r="B1475" t="s">
        <v>122</v>
      </c>
      <c r="C1475" t="s">
        <v>123</v>
      </c>
      <c r="D1475" t="s">
        <v>101</v>
      </c>
      <c r="E1475" t="s">
        <v>99</v>
      </c>
      <c r="F1475" t="s">
        <v>12</v>
      </c>
      <c r="G1475">
        <v>1</v>
      </c>
      <c r="H1475">
        <v>130</v>
      </c>
      <c r="I1475">
        <v>0.89655172413793105</v>
      </c>
      <c r="J1475" s="25">
        <f t="shared" ref="J1475:J1538" si="86">H1475/(H1475+Q1475)</f>
        <v>0.89655172413793105</v>
      </c>
      <c r="K1475">
        <v>1349</v>
      </c>
      <c r="L1475">
        <v>8</v>
      </c>
      <c r="M1475">
        <v>5.8953574060427397E-3</v>
      </c>
      <c r="N1475" s="25">
        <f t="shared" si="85"/>
        <v>5.8953574060427449E-3</v>
      </c>
      <c r="O1475">
        <v>0.99410464259395703</v>
      </c>
      <c r="P1475" s="25">
        <f t="shared" ref="P1475:P1538" si="87">K1475/(K1475+L1475)</f>
        <v>0.99410464259395726</v>
      </c>
      <c r="Q1475">
        <v>15</v>
      </c>
      <c r="R1475" t="s">
        <v>124</v>
      </c>
      <c r="S1475" t="s">
        <v>124</v>
      </c>
      <c r="T1475" t="s">
        <v>124</v>
      </c>
      <c r="U1475" t="s">
        <v>124</v>
      </c>
      <c r="X1475" s="19">
        <f t="shared" si="83"/>
        <v>0.89655172413793105</v>
      </c>
      <c r="Y1475" s="19">
        <f t="shared" si="84"/>
        <v>5.8953574060427449E-3</v>
      </c>
      <c r="Z1475" s="26"/>
    </row>
    <row r="1476" spans="1:26" x14ac:dyDescent="0.35">
      <c r="A1476" t="s">
        <v>122</v>
      </c>
      <c r="B1476" t="s">
        <v>122</v>
      </c>
      <c r="C1476" t="s">
        <v>123</v>
      </c>
      <c r="D1476" t="s">
        <v>101</v>
      </c>
      <c r="E1476" t="s">
        <v>99</v>
      </c>
      <c r="F1476" t="s">
        <v>12</v>
      </c>
      <c r="G1476">
        <v>1</v>
      </c>
      <c r="H1476">
        <v>130</v>
      </c>
      <c r="I1476">
        <v>0.89655172413793105</v>
      </c>
      <c r="J1476" s="25">
        <f t="shared" si="86"/>
        <v>0.89655172413793105</v>
      </c>
      <c r="K1476">
        <v>1349</v>
      </c>
      <c r="L1476">
        <v>8</v>
      </c>
      <c r="M1476">
        <v>5.8953574060427397E-3</v>
      </c>
      <c r="N1476" s="25">
        <f t="shared" si="85"/>
        <v>5.8953574060427449E-3</v>
      </c>
      <c r="O1476">
        <v>0.99410464259395703</v>
      </c>
      <c r="P1476" s="25">
        <f t="shared" si="87"/>
        <v>0.99410464259395726</v>
      </c>
      <c r="Q1476">
        <v>15</v>
      </c>
      <c r="R1476" t="s">
        <v>124</v>
      </c>
      <c r="S1476" t="s">
        <v>124</v>
      </c>
      <c r="T1476" t="s">
        <v>124</v>
      </c>
      <c r="U1476" t="s">
        <v>124</v>
      </c>
      <c r="X1476" s="19">
        <f t="shared" si="83"/>
        <v>0.89655172413793105</v>
      </c>
      <c r="Y1476" s="19">
        <f t="shared" si="84"/>
        <v>5.8953574060427449E-3</v>
      </c>
      <c r="Z1476" s="26"/>
    </row>
    <row r="1477" spans="1:26" x14ac:dyDescent="0.35">
      <c r="A1477" t="s">
        <v>122</v>
      </c>
      <c r="B1477" t="s">
        <v>122</v>
      </c>
      <c r="C1477" t="s">
        <v>123</v>
      </c>
      <c r="D1477" t="s">
        <v>101</v>
      </c>
      <c r="E1477" t="s">
        <v>99</v>
      </c>
      <c r="F1477" t="s">
        <v>12</v>
      </c>
      <c r="G1477">
        <v>1</v>
      </c>
      <c r="H1477">
        <v>130</v>
      </c>
      <c r="I1477">
        <v>0.89655172413793105</v>
      </c>
      <c r="J1477" s="25">
        <f t="shared" si="86"/>
        <v>0.89655172413793105</v>
      </c>
      <c r="K1477">
        <v>1349</v>
      </c>
      <c r="L1477">
        <v>8</v>
      </c>
      <c r="M1477">
        <v>5.8953574060427397E-3</v>
      </c>
      <c r="N1477" s="25">
        <f t="shared" si="85"/>
        <v>5.8953574060427449E-3</v>
      </c>
      <c r="O1477">
        <v>0.99410464259395703</v>
      </c>
      <c r="P1477" s="25">
        <f t="shared" si="87"/>
        <v>0.99410464259395726</v>
      </c>
      <c r="Q1477">
        <v>15</v>
      </c>
      <c r="R1477" t="s">
        <v>124</v>
      </c>
      <c r="S1477" t="s">
        <v>124</v>
      </c>
      <c r="T1477" t="s">
        <v>124</v>
      </c>
      <c r="U1477" t="s">
        <v>124</v>
      </c>
      <c r="X1477" s="19">
        <f t="shared" si="83"/>
        <v>0.89655172413793105</v>
      </c>
      <c r="Y1477" s="19">
        <f t="shared" si="84"/>
        <v>5.8953574060427449E-3</v>
      </c>
      <c r="Z1477" s="26"/>
    </row>
    <row r="1478" spans="1:26" x14ac:dyDescent="0.35">
      <c r="A1478" t="s">
        <v>122</v>
      </c>
      <c r="B1478" t="s">
        <v>122</v>
      </c>
      <c r="C1478" t="s">
        <v>123</v>
      </c>
      <c r="D1478" t="s">
        <v>101</v>
      </c>
      <c r="E1478" t="s">
        <v>99</v>
      </c>
      <c r="F1478" t="s">
        <v>12</v>
      </c>
      <c r="G1478">
        <v>1</v>
      </c>
      <c r="H1478">
        <v>130</v>
      </c>
      <c r="I1478">
        <v>0.89655172413793105</v>
      </c>
      <c r="J1478" s="25">
        <f t="shared" si="86"/>
        <v>0.89655172413793105</v>
      </c>
      <c r="K1478">
        <v>1349</v>
      </c>
      <c r="L1478">
        <v>8</v>
      </c>
      <c r="M1478">
        <v>5.8953574060427397E-3</v>
      </c>
      <c r="N1478" s="25">
        <f t="shared" si="85"/>
        <v>5.8953574060427449E-3</v>
      </c>
      <c r="O1478">
        <v>0.99410464259395703</v>
      </c>
      <c r="P1478" s="25">
        <f t="shared" si="87"/>
        <v>0.99410464259395726</v>
      </c>
      <c r="Q1478">
        <v>15</v>
      </c>
      <c r="R1478" t="s">
        <v>124</v>
      </c>
      <c r="S1478" t="s">
        <v>124</v>
      </c>
      <c r="T1478" t="s">
        <v>124</v>
      </c>
      <c r="U1478" t="s">
        <v>124</v>
      </c>
      <c r="X1478" s="19">
        <f t="shared" si="83"/>
        <v>0.89655172413793105</v>
      </c>
      <c r="Y1478" s="19">
        <f t="shared" si="84"/>
        <v>5.8953574060427449E-3</v>
      </c>
      <c r="Z1478" s="26"/>
    </row>
    <row r="1479" spans="1:26" x14ac:dyDescent="0.35">
      <c r="A1479" t="s">
        <v>122</v>
      </c>
      <c r="B1479" t="s">
        <v>122</v>
      </c>
      <c r="C1479" t="s">
        <v>123</v>
      </c>
      <c r="D1479" t="s">
        <v>101</v>
      </c>
      <c r="E1479" t="s">
        <v>99</v>
      </c>
      <c r="F1479" t="s">
        <v>12</v>
      </c>
      <c r="G1479">
        <v>1</v>
      </c>
      <c r="H1479">
        <v>130</v>
      </c>
      <c r="I1479">
        <v>0.89655172413793105</v>
      </c>
      <c r="J1479" s="25">
        <f t="shared" si="86"/>
        <v>0.89655172413793105</v>
      </c>
      <c r="K1479">
        <v>1349</v>
      </c>
      <c r="L1479">
        <v>8</v>
      </c>
      <c r="M1479">
        <v>5.8953574060427397E-3</v>
      </c>
      <c r="N1479" s="25">
        <f t="shared" si="85"/>
        <v>5.8953574060427449E-3</v>
      </c>
      <c r="O1479">
        <v>0.99410464259395703</v>
      </c>
      <c r="P1479" s="25">
        <f t="shared" si="87"/>
        <v>0.99410464259395726</v>
      </c>
      <c r="Q1479">
        <v>15</v>
      </c>
      <c r="R1479" t="s">
        <v>124</v>
      </c>
      <c r="S1479" t="s">
        <v>124</v>
      </c>
      <c r="T1479" t="s">
        <v>124</v>
      </c>
      <c r="U1479" t="s">
        <v>124</v>
      </c>
      <c r="X1479" s="19">
        <f t="shared" si="83"/>
        <v>0.89655172413793105</v>
      </c>
      <c r="Y1479" s="19">
        <f t="shared" si="84"/>
        <v>5.8953574060427449E-3</v>
      </c>
      <c r="Z1479" s="26"/>
    </row>
    <row r="1480" spans="1:26" x14ac:dyDescent="0.35">
      <c r="A1480" t="s">
        <v>122</v>
      </c>
      <c r="B1480" t="s">
        <v>122</v>
      </c>
      <c r="C1480" t="s">
        <v>123</v>
      </c>
      <c r="D1480" t="s">
        <v>101</v>
      </c>
      <c r="E1480" t="s">
        <v>99</v>
      </c>
      <c r="F1480" t="s">
        <v>12</v>
      </c>
      <c r="G1480">
        <v>1</v>
      </c>
      <c r="H1480">
        <v>130</v>
      </c>
      <c r="I1480">
        <v>0.89655172413793105</v>
      </c>
      <c r="J1480" s="25">
        <f t="shared" si="86"/>
        <v>0.89655172413793105</v>
      </c>
      <c r="K1480">
        <v>1349</v>
      </c>
      <c r="L1480">
        <v>8</v>
      </c>
      <c r="M1480">
        <v>5.8953574060427397E-3</v>
      </c>
      <c r="N1480" s="25">
        <f t="shared" si="85"/>
        <v>5.8953574060427449E-3</v>
      </c>
      <c r="O1480">
        <v>0.99410464259395703</v>
      </c>
      <c r="P1480" s="25">
        <f t="shared" si="87"/>
        <v>0.99410464259395726</v>
      </c>
      <c r="Q1480">
        <v>15</v>
      </c>
      <c r="R1480" t="s">
        <v>124</v>
      </c>
      <c r="S1480" t="s">
        <v>124</v>
      </c>
      <c r="T1480" t="s">
        <v>124</v>
      </c>
      <c r="U1480" t="s">
        <v>124</v>
      </c>
      <c r="X1480" s="19">
        <f t="shared" si="83"/>
        <v>0.89655172413793105</v>
      </c>
      <c r="Y1480" s="19">
        <f t="shared" si="84"/>
        <v>5.8953574060427449E-3</v>
      </c>
      <c r="Z1480" s="26"/>
    </row>
    <row r="1481" spans="1:26" x14ac:dyDescent="0.35">
      <c r="A1481" t="s">
        <v>122</v>
      </c>
      <c r="B1481" t="s">
        <v>122</v>
      </c>
      <c r="C1481" t="s">
        <v>123</v>
      </c>
      <c r="D1481" t="s">
        <v>101</v>
      </c>
      <c r="E1481" t="s">
        <v>99</v>
      </c>
      <c r="F1481" t="s">
        <v>12</v>
      </c>
      <c r="G1481">
        <v>1</v>
      </c>
      <c r="H1481">
        <v>130</v>
      </c>
      <c r="I1481">
        <v>0.89655172413793105</v>
      </c>
      <c r="J1481" s="25">
        <f t="shared" si="86"/>
        <v>0.89655172413793105</v>
      </c>
      <c r="K1481">
        <v>1349</v>
      </c>
      <c r="L1481">
        <v>8</v>
      </c>
      <c r="M1481">
        <v>5.8953574060427397E-3</v>
      </c>
      <c r="N1481" s="25">
        <f t="shared" si="85"/>
        <v>5.8953574060427449E-3</v>
      </c>
      <c r="O1481">
        <v>0.99410464259395703</v>
      </c>
      <c r="P1481" s="25">
        <f t="shared" si="87"/>
        <v>0.99410464259395726</v>
      </c>
      <c r="Q1481">
        <v>15</v>
      </c>
      <c r="R1481" t="s">
        <v>124</v>
      </c>
      <c r="S1481" t="s">
        <v>124</v>
      </c>
      <c r="T1481" t="s">
        <v>124</v>
      </c>
      <c r="U1481" t="s">
        <v>124</v>
      </c>
      <c r="X1481" s="19">
        <f t="shared" si="83"/>
        <v>0.89655172413793105</v>
      </c>
      <c r="Y1481" s="19">
        <f t="shared" si="84"/>
        <v>5.8953574060427449E-3</v>
      </c>
      <c r="Z1481" s="26"/>
    </row>
    <row r="1482" spans="1:26" x14ac:dyDescent="0.35">
      <c r="A1482" t="s">
        <v>122</v>
      </c>
      <c r="B1482" t="s">
        <v>122</v>
      </c>
      <c r="C1482" t="s">
        <v>123</v>
      </c>
      <c r="D1482" t="s">
        <v>101</v>
      </c>
      <c r="E1482" t="s">
        <v>99</v>
      </c>
      <c r="F1482" t="s">
        <v>12</v>
      </c>
      <c r="G1482">
        <v>1</v>
      </c>
      <c r="H1482">
        <v>130</v>
      </c>
      <c r="I1482">
        <v>0.89655172413793105</v>
      </c>
      <c r="J1482" s="25">
        <f t="shared" si="86"/>
        <v>0.89655172413793105</v>
      </c>
      <c r="K1482">
        <v>1349</v>
      </c>
      <c r="L1482">
        <v>8</v>
      </c>
      <c r="M1482">
        <v>5.8953574060427397E-3</v>
      </c>
      <c r="N1482" s="25">
        <f t="shared" si="85"/>
        <v>5.8953574060427449E-3</v>
      </c>
      <c r="O1482">
        <v>0.99410464259395703</v>
      </c>
      <c r="P1482" s="25">
        <f t="shared" si="87"/>
        <v>0.99410464259395726</v>
      </c>
      <c r="Q1482">
        <v>15</v>
      </c>
      <c r="R1482" t="s">
        <v>124</v>
      </c>
      <c r="S1482" t="s">
        <v>124</v>
      </c>
      <c r="T1482" t="s">
        <v>124</v>
      </c>
      <c r="U1482" t="s">
        <v>124</v>
      </c>
      <c r="X1482" s="19">
        <f t="shared" si="83"/>
        <v>0.89655172413793105</v>
      </c>
      <c r="Y1482" s="19">
        <f t="shared" si="84"/>
        <v>5.8953574060427449E-3</v>
      </c>
      <c r="Z1482" s="26"/>
    </row>
    <row r="1483" spans="1:26" x14ac:dyDescent="0.35">
      <c r="A1483" t="s">
        <v>122</v>
      </c>
      <c r="B1483" t="s">
        <v>122</v>
      </c>
      <c r="C1483" t="s">
        <v>123</v>
      </c>
      <c r="D1483" t="s">
        <v>101</v>
      </c>
      <c r="E1483" t="s">
        <v>99</v>
      </c>
      <c r="F1483" t="s">
        <v>12</v>
      </c>
      <c r="G1483">
        <v>1</v>
      </c>
      <c r="H1483">
        <v>130</v>
      </c>
      <c r="I1483">
        <v>0.89655172413793105</v>
      </c>
      <c r="J1483" s="25">
        <f t="shared" si="86"/>
        <v>0.89655172413793105</v>
      </c>
      <c r="K1483">
        <v>1349</v>
      </c>
      <c r="L1483">
        <v>8</v>
      </c>
      <c r="M1483">
        <v>5.8953574060427397E-3</v>
      </c>
      <c r="N1483" s="25">
        <f t="shared" si="85"/>
        <v>5.8953574060427449E-3</v>
      </c>
      <c r="O1483">
        <v>0.99410464259395703</v>
      </c>
      <c r="P1483" s="25">
        <f t="shared" si="87"/>
        <v>0.99410464259395726</v>
      </c>
      <c r="Q1483">
        <v>15</v>
      </c>
      <c r="R1483" t="s">
        <v>124</v>
      </c>
      <c r="S1483" t="s">
        <v>124</v>
      </c>
      <c r="T1483" t="s">
        <v>124</v>
      </c>
      <c r="U1483" t="s">
        <v>124</v>
      </c>
      <c r="X1483" s="19">
        <f t="shared" si="83"/>
        <v>0.89655172413793105</v>
      </c>
      <c r="Y1483" s="19">
        <f t="shared" si="84"/>
        <v>5.8953574060427449E-3</v>
      </c>
      <c r="Z1483" s="26"/>
    </row>
    <row r="1484" spans="1:26" x14ac:dyDescent="0.35">
      <c r="A1484" t="s">
        <v>122</v>
      </c>
      <c r="B1484" t="s">
        <v>122</v>
      </c>
      <c r="C1484" t="s">
        <v>123</v>
      </c>
      <c r="D1484" t="s">
        <v>101</v>
      </c>
      <c r="E1484" t="s">
        <v>99</v>
      </c>
      <c r="F1484" t="s">
        <v>12</v>
      </c>
      <c r="G1484">
        <v>1</v>
      </c>
      <c r="H1484">
        <v>130</v>
      </c>
      <c r="I1484">
        <v>0.89655172413793105</v>
      </c>
      <c r="J1484" s="25">
        <f t="shared" si="86"/>
        <v>0.89655172413793105</v>
      </c>
      <c r="K1484">
        <v>1349</v>
      </c>
      <c r="L1484">
        <v>8</v>
      </c>
      <c r="M1484">
        <v>5.8953574060427397E-3</v>
      </c>
      <c r="N1484" s="25">
        <f t="shared" si="85"/>
        <v>5.8953574060427449E-3</v>
      </c>
      <c r="O1484">
        <v>0.99410464259395703</v>
      </c>
      <c r="P1484" s="25">
        <f t="shared" si="87"/>
        <v>0.99410464259395726</v>
      </c>
      <c r="Q1484">
        <v>15</v>
      </c>
      <c r="R1484" t="s">
        <v>124</v>
      </c>
      <c r="S1484" t="s">
        <v>124</v>
      </c>
      <c r="T1484" t="s">
        <v>124</v>
      </c>
      <c r="U1484" t="s">
        <v>124</v>
      </c>
      <c r="X1484" s="19">
        <f t="shared" si="83"/>
        <v>0.89655172413793105</v>
      </c>
      <c r="Y1484" s="19">
        <f t="shared" si="84"/>
        <v>5.8953574060427449E-3</v>
      </c>
      <c r="Z1484" s="26"/>
    </row>
    <row r="1485" spans="1:26" x14ac:dyDescent="0.35">
      <c r="A1485" t="s">
        <v>122</v>
      </c>
      <c r="B1485" t="s">
        <v>122</v>
      </c>
      <c r="C1485" t="s">
        <v>123</v>
      </c>
      <c r="D1485" t="s">
        <v>101</v>
      </c>
      <c r="E1485" t="s">
        <v>99</v>
      </c>
      <c r="F1485" t="s">
        <v>12</v>
      </c>
      <c r="G1485">
        <v>1</v>
      </c>
      <c r="H1485">
        <v>130</v>
      </c>
      <c r="I1485">
        <v>0.89655172413793105</v>
      </c>
      <c r="J1485" s="25">
        <f t="shared" si="86"/>
        <v>0.89655172413793105</v>
      </c>
      <c r="K1485">
        <v>1349</v>
      </c>
      <c r="L1485">
        <v>8</v>
      </c>
      <c r="M1485">
        <v>5.8953574060427397E-3</v>
      </c>
      <c r="N1485" s="25">
        <f t="shared" si="85"/>
        <v>5.8953574060427449E-3</v>
      </c>
      <c r="O1485">
        <v>0.99410464259395703</v>
      </c>
      <c r="P1485" s="25">
        <f t="shared" si="87"/>
        <v>0.99410464259395726</v>
      </c>
      <c r="Q1485">
        <v>15</v>
      </c>
      <c r="R1485" t="s">
        <v>124</v>
      </c>
      <c r="S1485" t="s">
        <v>124</v>
      </c>
      <c r="T1485" t="s">
        <v>124</v>
      </c>
      <c r="U1485" t="s">
        <v>124</v>
      </c>
      <c r="X1485" s="19">
        <f t="shared" si="83"/>
        <v>0.89655172413793105</v>
      </c>
      <c r="Y1485" s="19">
        <f t="shared" si="84"/>
        <v>5.8953574060427449E-3</v>
      </c>
      <c r="Z1485" s="26"/>
    </row>
    <row r="1486" spans="1:26" x14ac:dyDescent="0.35">
      <c r="A1486" t="s">
        <v>122</v>
      </c>
      <c r="B1486" t="s">
        <v>122</v>
      </c>
      <c r="C1486" t="s">
        <v>123</v>
      </c>
      <c r="D1486" t="s">
        <v>101</v>
      </c>
      <c r="E1486" t="s">
        <v>99</v>
      </c>
      <c r="F1486" t="s">
        <v>12</v>
      </c>
      <c r="G1486">
        <v>1</v>
      </c>
      <c r="H1486">
        <v>130</v>
      </c>
      <c r="I1486">
        <v>0.89655172413793105</v>
      </c>
      <c r="J1486" s="25">
        <f t="shared" si="86"/>
        <v>0.89655172413793105</v>
      </c>
      <c r="K1486">
        <v>1349</v>
      </c>
      <c r="L1486">
        <v>8</v>
      </c>
      <c r="M1486">
        <v>5.8953574060427397E-3</v>
      </c>
      <c r="N1486" s="25">
        <f t="shared" si="85"/>
        <v>5.8953574060427449E-3</v>
      </c>
      <c r="O1486">
        <v>0.99410464259395703</v>
      </c>
      <c r="P1486" s="25">
        <f t="shared" si="87"/>
        <v>0.99410464259395726</v>
      </c>
      <c r="Q1486">
        <v>15</v>
      </c>
      <c r="R1486" t="s">
        <v>124</v>
      </c>
      <c r="S1486" t="s">
        <v>124</v>
      </c>
      <c r="T1486" t="s">
        <v>124</v>
      </c>
      <c r="U1486" t="s">
        <v>124</v>
      </c>
      <c r="X1486" s="19">
        <f t="shared" si="83"/>
        <v>0.89655172413793105</v>
      </c>
      <c r="Y1486" s="19">
        <f t="shared" si="84"/>
        <v>5.8953574060427449E-3</v>
      </c>
      <c r="Z1486" s="26"/>
    </row>
    <row r="1487" spans="1:26" x14ac:dyDescent="0.35">
      <c r="A1487" t="s">
        <v>122</v>
      </c>
      <c r="B1487" t="s">
        <v>122</v>
      </c>
      <c r="C1487" t="s">
        <v>123</v>
      </c>
      <c r="D1487" t="s">
        <v>101</v>
      </c>
      <c r="E1487" t="s">
        <v>99</v>
      </c>
      <c r="F1487" t="s">
        <v>12</v>
      </c>
      <c r="G1487">
        <v>1</v>
      </c>
      <c r="H1487">
        <v>130</v>
      </c>
      <c r="I1487">
        <v>0.89655172413793105</v>
      </c>
      <c r="J1487" s="25">
        <f t="shared" si="86"/>
        <v>0.89655172413793105</v>
      </c>
      <c r="K1487">
        <v>1349</v>
      </c>
      <c r="L1487">
        <v>8</v>
      </c>
      <c r="M1487">
        <v>5.8953574060427397E-3</v>
      </c>
      <c r="N1487" s="25">
        <f t="shared" si="85"/>
        <v>5.8953574060427449E-3</v>
      </c>
      <c r="O1487">
        <v>0.99410464259395703</v>
      </c>
      <c r="P1487" s="25">
        <f t="shared" si="87"/>
        <v>0.99410464259395726</v>
      </c>
      <c r="Q1487">
        <v>15</v>
      </c>
      <c r="R1487" t="s">
        <v>124</v>
      </c>
      <c r="S1487" t="s">
        <v>124</v>
      </c>
      <c r="T1487" t="s">
        <v>124</v>
      </c>
      <c r="U1487" t="s">
        <v>124</v>
      </c>
      <c r="X1487" s="19">
        <f t="shared" si="83"/>
        <v>0.89655172413793105</v>
      </c>
      <c r="Y1487" s="19">
        <f t="shared" si="84"/>
        <v>5.8953574060427449E-3</v>
      </c>
      <c r="Z1487" s="26"/>
    </row>
    <row r="1488" spans="1:26" x14ac:dyDescent="0.35">
      <c r="A1488" t="s">
        <v>122</v>
      </c>
      <c r="B1488" t="s">
        <v>122</v>
      </c>
      <c r="C1488" t="s">
        <v>123</v>
      </c>
      <c r="D1488" t="s">
        <v>101</v>
      </c>
      <c r="E1488" t="s">
        <v>99</v>
      </c>
      <c r="F1488" t="s">
        <v>12</v>
      </c>
      <c r="G1488">
        <v>1</v>
      </c>
      <c r="H1488">
        <v>130</v>
      </c>
      <c r="I1488">
        <v>0.89655172413793105</v>
      </c>
      <c r="J1488" s="25">
        <f t="shared" si="86"/>
        <v>0.89655172413793105</v>
      </c>
      <c r="K1488">
        <v>1349</v>
      </c>
      <c r="L1488">
        <v>8</v>
      </c>
      <c r="M1488">
        <v>5.8953574060427397E-3</v>
      </c>
      <c r="N1488" s="25">
        <f t="shared" si="85"/>
        <v>5.8953574060427449E-3</v>
      </c>
      <c r="O1488">
        <v>0.99410464259395703</v>
      </c>
      <c r="P1488" s="25">
        <f t="shared" si="87"/>
        <v>0.99410464259395726</v>
      </c>
      <c r="Q1488">
        <v>15</v>
      </c>
      <c r="R1488" t="s">
        <v>124</v>
      </c>
      <c r="S1488" t="s">
        <v>124</v>
      </c>
      <c r="T1488" t="s">
        <v>124</v>
      </c>
      <c r="U1488" t="s">
        <v>124</v>
      </c>
      <c r="X1488" s="19">
        <f t="shared" si="83"/>
        <v>0.89655172413793105</v>
      </c>
      <c r="Y1488" s="19">
        <f t="shared" si="84"/>
        <v>5.8953574060427449E-3</v>
      </c>
      <c r="Z1488" s="26"/>
    </row>
    <row r="1489" spans="1:26" x14ac:dyDescent="0.35">
      <c r="A1489" t="s">
        <v>122</v>
      </c>
      <c r="B1489" t="s">
        <v>122</v>
      </c>
      <c r="C1489" t="s">
        <v>123</v>
      </c>
      <c r="D1489" t="s">
        <v>101</v>
      </c>
      <c r="E1489" t="s">
        <v>99</v>
      </c>
      <c r="F1489" t="s">
        <v>12</v>
      </c>
      <c r="G1489">
        <v>1</v>
      </c>
      <c r="H1489">
        <v>130</v>
      </c>
      <c r="I1489">
        <v>0.89655172413793105</v>
      </c>
      <c r="J1489" s="25">
        <f t="shared" si="86"/>
        <v>0.89655172413793105</v>
      </c>
      <c r="K1489">
        <v>1349</v>
      </c>
      <c r="L1489">
        <v>8</v>
      </c>
      <c r="M1489">
        <v>5.8953574060427397E-3</v>
      </c>
      <c r="N1489" s="25">
        <f t="shared" si="85"/>
        <v>5.8953574060427449E-3</v>
      </c>
      <c r="O1489">
        <v>0.99410464259395703</v>
      </c>
      <c r="P1489" s="25">
        <f t="shared" si="87"/>
        <v>0.99410464259395726</v>
      </c>
      <c r="Q1489">
        <v>15</v>
      </c>
      <c r="R1489" t="s">
        <v>124</v>
      </c>
      <c r="S1489" t="s">
        <v>124</v>
      </c>
      <c r="T1489" t="s">
        <v>124</v>
      </c>
      <c r="U1489" t="s">
        <v>124</v>
      </c>
      <c r="X1489" s="19">
        <f t="shared" si="83"/>
        <v>0.89655172413793105</v>
      </c>
      <c r="Y1489" s="19">
        <f t="shared" si="84"/>
        <v>5.8953574060427449E-3</v>
      </c>
      <c r="Z1489" s="26"/>
    </row>
    <row r="1490" spans="1:26" x14ac:dyDescent="0.35">
      <c r="A1490" t="s">
        <v>122</v>
      </c>
      <c r="B1490" t="s">
        <v>122</v>
      </c>
      <c r="C1490" t="s">
        <v>123</v>
      </c>
      <c r="D1490" t="s">
        <v>101</v>
      </c>
      <c r="E1490" t="s">
        <v>99</v>
      </c>
      <c r="F1490" t="s">
        <v>12</v>
      </c>
      <c r="G1490">
        <v>1</v>
      </c>
      <c r="H1490">
        <v>130</v>
      </c>
      <c r="I1490">
        <v>0.89655172413793105</v>
      </c>
      <c r="J1490" s="25">
        <f t="shared" si="86"/>
        <v>0.89655172413793105</v>
      </c>
      <c r="K1490">
        <v>1349</v>
      </c>
      <c r="L1490">
        <v>8</v>
      </c>
      <c r="M1490">
        <v>5.8953574060427397E-3</v>
      </c>
      <c r="N1490" s="25">
        <f t="shared" si="85"/>
        <v>5.8953574060427449E-3</v>
      </c>
      <c r="O1490">
        <v>0.99410464259395703</v>
      </c>
      <c r="P1490" s="25">
        <f t="shared" si="87"/>
        <v>0.99410464259395726</v>
      </c>
      <c r="Q1490">
        <v>15</v>
      </c>
      <c r="R1490" t="s">
        <v>124</v>
      </c>
      <c r="S1490" t="s">
        <v>124</v>
      </c>
      <c r="T1490" t="s">
        <v>124</v>
      </c>
      <c r="U1490" t="s">
        <v>124</v>
      </c>
      <c r="X1490" s="19">
        <f t="shared" si="83"/>
        <v>0.89655172413793105</v>
      </c>
      <c r="Y1490" s="19">
        <f t="shared" si="84"/>
        <v>5.8953574060427449E-3</v>
      </c>
      <c r="Z1490" s="26"/>
    </row>
    <row r="1491" spans="1:26" x14ac:dyDescent="0.35">
      <c r="A1491" t="s">
        <v>122</v>
      </c>
      <c r="B1491" t="s">
        <v>122</v>
      </c>
      <c r="C1491" t="s">
        <v>123</v>
      </c>
      <c r="D1491" t="s">
        <v>101</v>
      </c>
      <c r="E1491" t="s">
        <v>99</v>
      </c>
      <c r="F1491" t="s">
        <v>12</v>
      </c>
      <c r="G1491">
        <v>1</v>
      </c>
      <c r="H1491">
        <v>130</v>
      </c>
      <c r="I1491">
        <v>0.89655172413793105</v>
      </c>
      <c r="J1491" s="25">
        <f t="shared" si="86"/>
        <v>0.89655172413793105</v>
      </c>
      <c r="K1491">
        <v>1349</v>
      </c>
      <c r="L1491">
        <v>8</v>
      </c>
      <c r="M1491">
        <v>5.8953574060427397E-3</v>
      </c>
      <c r="N1491" s="25">
        <f t="shared" si="85"/>
        <v>5.8953574060427449E-3</v>
      </c>
      <c r="O1491">
        <v>0.99410464259395703</v>
      </c>
      <c r="P1491" s="25">
        <f t="shared" si="87"/>
        <v>0.99410464259395726</v>
      </c>
      <c r="Q1491">
        <v>15</v>
      </c>
      <c r="R1491" t="s">
        <v>124</v>
      </c>
      <c r="S1491" t="s">
        <v>124</v>
      </c>
      <c r="T1491" t="s">
        <v>124</v>
      </c>
      <c r="U1491" t="s">
        <v>124</v>
      </c>
      <c r="X1491" s="19">
        <f t="shared" si="83"/>
        <v>0.89655172413793105</v>
      </c>
      <c r="Y1491" s="19">
        <f t="shared" si="84"/>
        <v>5.8953574060427449E-3</v>
      </c>
      <c r="Z1491" s="26"/>
    </row>
    <row r="1492" spans="1:26" x14ac:dyDescent="0.35">
      <c r="A1492" t="s">
        <v>122</v>
      </c>
      <c r="B1492" t="s">
        <v>122</v>
      </c>
      <c r="C1492" t="s">
        <v>123</v>
      </c>
      <c r="D1492" t="s">
        <v>101</v>
      </c>
      <c r="E1492" t="s">
        <v>99</v>
      </c>
      <c r="F1492" t="s">
        <v>12</v>
      </c>
      <c r="G1492">
        <v>1</v>
      </c>
      <c r="H1492">
        <v>130</v>
      </c>
      <c r="I1492">
        <v>0.89655172413793105</v>
      </c>
      <c r="J1492" s="25">
        <f t="shared" si="86"/>
        <v>0.89655172413793105</v>
      </c>
      <c r="K1492">
        <v>1349</v>
      </c>
      <c r="L1492">
        <v>8</v>
      </c>
      <c r="M1492">
        <v>5.8953574060427397E-3</v>
      </c>
      <c r="N1492" s="25">
        <f t="shared" si="85"/>
        <v>5.8953574060427449E-3</v>
      </c>
      <c r="O1492">
        <v>0.99410464259395703</v>
      </c>
      <c r="P1492" s="25">
        <f t="shared" si="87"/>
        <v>0.99410464259395726</v>
      </c>
      <c r="Q1492">
        <v>15</v>
      </c>
      <c r="R1492" t="s">
        <v>124</v>
      </c>
      <c r="S1492" t="s">
        <v>124</v>
      </c>
      <c r="T1492" t="s">
        <v>124</v>
      </c>
      <c r="U1492" t="s">
        <v>124</v>
      </c>
      <c r="X1492" s="19">
        <f t="shared" si="83"/>
        <v>0.89655172413793105</v>
      </c>
      <c r="Y1492" s="19">
        <f t="shared" si="84"/>
        <v>5.8953574060427449E-3</v>
      </c>
      <c r="Z1492" s="26"/>
    </row>
    <row r="1493" spans="1:26" x14ac:dyDescent="0.35">
      <c r="A1493" t="s">
        <v>122</v>
      </c>
      <c r="B1493" t="s">
        <v>122</v>
      </c>
      <c r="C1493" t="s">
        <v>123</v>
      </c>
      <c r="D1493" t="s">
        <v>101</v>
      </c>
      <c r="E1493" t="s">
        <v>99</v>
      </c>
      <c r="F1493" t="s">
        <v>12</v>
      </c>
      <c r="G1493">
        <v>1</v>
      </c>
      <c r="H1493">
        <v>130</v>
      </c>
      <c r="I1493">
        <v>0.89655172413793105</v>
      </c>
      <c r="J1493" s="25">
        <f t="shared" si="86"/>
        <v>0.89655172413793105</v>
      </c>
      <c r="K1493">
        <v>1349</v>
      </c>
      <c r="L1493">
        <v>8</v>
      </c>
      <c r="M1493">
        <v>5.8953574060427397E-3</v>
      </c>
      <c r="N1493" s="25">
        <f t="shared" si="85"/>
        <v>5.8953574060427449E-3</v>
      </c>
      <c r="O1493">
        <v>0.99410464259395703</v>
      </c>
      <c r="P1493" s="25">
        <f t="shared" si="87"/>
        <v>0.99410464259395726</v>
      </c>
      <c r="Q1493">
        <v>15</v>
      </c>
      <c r="R1493" t="s">
        <v>124</v>
      </c>
      <c r="S1493" t="s">
        <v>124</v>
      </c>
      <c r="T1493" t="s">
        <v>124</v>
      </c>
      <c r="U1493" t="s">
        <v>124</v>
      </c>
      <c r="X1493" s="19">
        <f t="shared" si="83"/>
        <v>0.89655172413793105</v>
      </c>
      <c r="Y1493" s="19">
        <f t="shared" si="84"/>
        <v>5.8953574060427449E-3</v>
      </c>
      <c r="Z1493" s="26"/>
    </row>
    <row r="1494" spans="1:26" x14ac:dyDescent="0.35">
      <c r="A1494" t="s">
        <v>122</v>
      </c>
      <c r="B1494" t="s">
        <v>122</v>
      </c>
      <c r="C1494" t="s">
        <v>123</v>
      </c>
      <c r="D1494" t="s">
        <v>101</v>
      </c>
      <c r="E1494" t="s">
        <v>99</v>
      </c>
      <c r="F1494" t="s">
        <v>12</v>
      </c>
      <c r="G1494">
        <v>1</v>
      </c>
      <c r="H1494">
        <v>130</v>
      </c>
      <c r="I1494">
        <v>0.89655172413793105</v>
      </c>
      <c r="J1494" s="25">
        <f t="shared" si="86"/>
        <v>0.89655172413793105</v>
      </c>
      <c r="K1494">
        <v>1349</v>
      </c>
      <c r="L1494">
        <v>8</v>
      </c>
      <c r="M1494">
        <v>5.8953574060427397E-3</v>
      </c>
      <c r="N1494" s="25">
        <f t="shared" si="85"/>
        <v>5.8953574060427449E-3</v>
      </c>
      <c r="O1494">
        <v>0.99410464259395703</v>
      </c>
      <c r="P1494" s="25">
        <f t="shared" si="87"/>
        <v>0.99410464259395726</v>
      </c>
      <c r="Q1494">
        <v>15</v>
      </c>
      <c r="R1494" t="s">
        <v>124</v>
      </c>
      <c r="S1494" t="s">
        <v>124</v>
      </c>
      <c r="T1494" t="s">
        <v>124</v>
      </c>
      <c r="U1494" t="s">
        <v>124</v>
      </c>
      <c r="X1494" s="19">
        <f t="shared" si="83"/>
        <v>0.89655172413793105</v>
      </c>
      <c r="Y1494" s="19">
        <f t="shared" si="84"/>
        <v>5.8953574060427449E-3</v>
      </c>
      <c r="Z1494" s="26"/>
    </row>
    <row r="1495" spans="1:26" x14ac:dyDescent="0.35">
      <c r="A1495" t="s">
        <v>122</v>
      </c>
      <c r="B1495" t="s">
        <v>122</v>
      </c>
      <c r="C1495" t="s">
        <v>123</v>
      </c>
      <c r="D1495" t="s">
        <v>101</v>
      </c>
      <c r="E1495" t="s">
        <v>99</v>
      </c>
      <c r="F1495" t="s">
        <v>12</v>
      </c>
      <c r="G1495">
        <v>1</v>
      </c>
      <c r="H1495">
        <v>130</v>
      </c>
      <c r="I1495">
        <v>0.89655172413793105</v>
      </c>
      <c r="J1495" s="25">
        <f t="shared" si="86"/>
        <v>0.89655172413793105</v>
      </c>
      <c r="K1495">
        <v>1349</v>
      </c>
      <c r="L1495">
        <v>8</v>
      </c>
      <c r="M1495">
        <v>5.8953574060427397E-3</v>
      </c>
      <c r="N1495" s="25">
        <f t="shared" si="85"/>
        <v>5.8953574060427449E-3</v>
      </c>
      <c r="O1495">
        <v>0.99410464259395703</v>
      </c>
      <c r="P1495" s="25">
        <f t="shared" si="87"/>
        <v>0.99410464259395726</v>
      </c>
      <c r="Q1495">
        <v>15</v>
      </c>
      <c r="R1495" t="s">
        <v>124</v>
      </c>
      <c r="S1495" t="s">
        <v>124</v>
      </c>
      <c r="T1495" t="s">
        <v>124</v>
      </c>
      <c r="U1495" t="s">
        <v>124</v>
      </c>
      <c r="X1495" s="19">
        <f t="shared" si="83"/>
        <v>0.89655172413793105</v>
      </c>
      <c r="Y1495" s="19">
        <f t="shared" si="84"/>
        <v>5.8953574060427449E-3</v>
      </c>
      <c r="Z1495" s="26"/>
    </row>
    <row r="1496" spans="1:26" x14ac:dyDescent="0.35">
      <c r="A1496" t="s">
        <v>122</v>
      </c>
      <c r="B1496" t="s">
        <v>122</v>
      </c>
      <c r="C1496" t="s">
        <v>123</v>
      </c>
      <c r="D1496" t="s">
        <v>101</v>
      </c>
      <c r="E1496" t="s">
        <v>99</v>
      </c>
      <c r="F1496" t="s">
        <v>12</v>
      </c>
      <c r="G1496">
        <v>1</v>
      </c>
      <c r="H1496">
        <v>130</v>
      </c>
      <c r="I1496">
        <v>0.89655172413793105</v>
      </c>
      <c r="J1496" s="25">
        <f t="shared" si="86"/>
        <v>0.89655172413793105</v>
      </c>
      <c r="K1496">
        <v>1349</v>
      </c>
      <c r="L1496">
        <v>8</v>
      </c>
      <c r="M1496">
        <v>5.8953574060427397E-3</v>
      </c>
      <c r="N1496" s="25">
        <f t="shared" si="85"/>
        <v>5.8953574060427449E-3</v>
      </c>
      <c r="O1496">
        <v>0.99410464259395703</v>
      </c>
      <c r="P1496" s="25">
        <f t="shared" si="87"/>
        <v>0.99410464259395726</v>
      </c>
      <c r="Q1496">
        <v>15</v>
      </c>
      <c r="R1496" t="s">
        <v>124</v>
      </c>
      <c r="S1496" t="s">
        <v>124</v>
      </c>
      <c r="T1496" t="s">
        <v>124</v>
      </c>
      <c r="U1496" t="s">
        <v>124</v>
      </c>
      <c r="X1496" s="19">
        <f t="shared" si="83"/>
        <v>0.89655172413793105</v>
      </c>
      <c r="Y1496" s="19">
        <f t="shared" si="84"/>
        <v>5.8953574060427449E-3</v>
      </c>
      <c r="Z1496" s="26"/>
    </row>
    <row r="1497" spans="1:26" x14ac:dyDescent="0.35">
      <c r="A1497" t="s">
        <v>122</v>
      </c>
      <c r="B1497" t="s">
        <v>122</v>
      </c>
      <c r="C1497" t="s">
        <v>123</v>
      </c>
      <c r="D1497" t="s">
        <v>101</v>
      </c>
      <c r="E1497" t="s">
        <v>99</v>
      </c>
      <c r="F1497" t="s">
        <v>12</v>
      </c>
      <c r="G1497">
        <v>1</v>
      </c>
      <c r="H1497">
        <v>130</v>
      </c>
      <c r="I1497">
        <v>0.89655172413793105</v>
      </c>
      <c r="J1497" s="25">
        <f t="shared" si="86"/>
        <v>0.89655172413793105</v>
      </c>
      <c r="K1497">
        <v>1349</v>
      </c>
      <c r="L1497">
        <v>8</v>
      </c>
      <c r="M1497">
        <v>5.8953574060427397E-3</v>
      </c>
      <c r="N1497" s="25">
        <f t="shared" si="85"/>
        <v>5.8953574060427449E-3</v>
      </c>
      <c r="O1497">
        <v>0.99410464259395703</v>
      </c>
      <c r="P1497" s="25">
        <f t="shared" si="87"/>
        <v>0.99410464259395726</v>
      </c>
      <c r="Q1497">
        <v>15</v>
      </c>
      <c r="R1497" t="s">
        <v>124</v>
      </c>
      <c r="S1497" t="s">
        <v>124</v>
      </c>
      <c r="T1497" t="s">
        <v>124</v>
      </c>
      <c r="U1497" t="s">
        <v>124</v>
      </c>
      <c r="X1497" s="19">
        <f t="shared" si="83"/>
        <v>0.89655172413793105</v>
      </c>
      <c r="Y1497" s="19">
        <f t="shared" si="84"/>
        <v>5.8953574060427449E-3</v>
      </c>
      <c r="Z1497" s="26"/>
    </row>
    <row r="1498" spans="1:26" x14ac:dyDescent="0.35">
      <c r="A1498" t="s">
        <v>122</v>
      </c>
      <c r="B1498" t="s">
        <v>122</v>
      </c>
      <c r="C1498" t="s">
        <v>123</v>
      </c>
      <c r="D1498" t="s">
        <v>101</v>
      </c>
      <c r="E1498" t="s">
        <v>99</v>
      </c>
      <c r="F1498" t="s">
        <v>12</v>
      </c>
      <c r="G1498">
        <v>1</v>
      </c>
      <c r="H1498">
        <v>130</v>
      </c>
      <c r="I1498">
        <v>0.89655172413793105</v>
      </c>
      <c r="J1498" s="25">
        <f t="shared" si="86"/>
        <v>0.89655172413793105</v>
      </c>
      <c r="K1498">
        <v>1349</v>
      </c>
      <c r="L1498">
        <v>8</v>
      </c>
      <c r="M1498">
        <v>5.8953574060427397E-3</v>
      </c>
      <c r="N1498" s="25">
        <f t="shared" si="85"/>
        <v>5.8953574060427449E-3</v>
      </c>
      <c r="O1498">
        <v>0.99410464259395703</v>
      </c>
      <c r="P1498" s="25">
        <f t="shared" si="87"/>
        <v>0.99410464259395726</v>
      </c>
      <c r="Q1498">
        <v>15</v>
      </c>
      <c r="R1498" t="s">
        <v>124</v>
      </c>
      <c r="S1498" t="s">
        <v>124</v>
      </c>
      <c r="T1498" t="s">
        <v>124</v>
      </c>
      <c r="U1498" t="s">
        <v>124</v>
      </c>
      <c r="X1498" s="19">
        <f t="shared" si="83"/>
        <v>0.89655172413793105</v>
      </c>
      <c r="Y1498" s="19">
        <f t="shared" si="84"/>
        <v>5.8953574060427449E-3</v>
      </c>
      <c r="Z1498" s="26"/>
    </row>
    <row r="1499" spans="1:26" x14ac:dyDescent="0.35">
      <c r="A1499" t="s">
        <v>122</v>
      </c>
      <c r="B1499" t="s">
        <v>122</v>
      </c>
      <c r="C1499" t="s">
        <v>123</v>
      </c>
      <c r="D1499" t="s">
        <v>101</v>
      </c>
      <c r="E1499" t="s">
        <v>99</v>
      </c>
      <c r="F1499" t="s">
        <v>12</v>
      </c>
      <c r="G1499">
        <v>1</v>
      </c>
      <c r="H1499">
        <v>130</v>
      </c>
      <c r="I1499">
        <v>0.89655172413793105</v>
      </c>
      <c r="J1499" s="25">
        <f t="shared" si="86"/>
        <v>0.89655172413793105</v>
      </c>
      <c r="K1499">
        <v>1349</v>
      </c>
      <c r="L1499">
        <v>8</v>
      </c>
      <c r="M1499">
        <v>5.8953574060427397E-3</v>
      </c>
      <c r="N1499" s="25">
        <f t="shared" si="85"/>
        <v>5.8953574060427449E-3</v>
      </c>
      <c r="O1499">
        <v>0.99410464259395703</v>
      </c>
      <c r="P1499" s="25">
        <f t="shared" si="87"/>
        <v>0.99410464259395726</v>
      </c>
      <c r="Q1499">
        <v>15</v>
      </c>
      <c r="R1499" t="s">
        <v>124</v>
      </c>
      <c r="S1499" t="s">
        <v>124</v>
      </c>
      <c r="T1499" t="s">
        <v>124</v>
      </c>
      <c r="U1499" t="s">
        <v>124</v>
      </c>
      <c r="X1499" s="19">
        <f t="shared" si="83"/>
        <v>0.89655172413793105</v>
      </c>
      <c r="Y1499" s="19">
        <f t="shared" si="84"/>
        <v>5.8953574060427449E-3</v>
      </c>
      <c r="Z1499" s="26"/>
    </row>
    <row r="1500" spans="1:26" x14ac:dyDescent="0.35">
      <c r="A1500" t="s">
        <v>122</v>
      </c>
      <c r="B1500" t="s">
        <v>122</v>
      </c>
      <c r="C1500" t="s">
        <v>123</v>
      </c>
      <c r="D1500" t="s">
        <v>101</v>
      </c>
      <c r="E1500" t="s">
        <v>99</v>
      </c>
      <c r="F1500" t="s">
        <v>12</v>
      </c>
      <c r="G1500">
        <v>1</v>
      </c>
      <c r="H1500">
        <v>130</v>
      </c>
      <c r="I1500">
        <v>0.89655172413793105</v>
      </c>
      <c r="J1500" s="25">
        <f t="shared" si="86"/>
        <v>0.89655172413793105</v>
      </c>
      <c r="K1500">
        <v>1349</v>
      </c>
      <c r="L1500">
        <v>8</v>
      </c>
      <c r="M1500">
        <v>5.8953574060427397E-3</v>
      </c>
      <c r="N1500" s="25">
        <f t="shared" si="85"/>
        <v>5.8953574060427449E-3</v>
      </c>
      <c r="O1500">
        <v>0.99410464259395703</v>
      </c>
      <c r="P1500" s="25">
        <f t="shared" si="87"/>
        <v>0.99410464259395726</v>
      </c>
      <c r="Q1500">
        <v>15</v>
      </c>
      <c r="R1500" t="s">
        <v>124</v>
      </c>
      <c r="S1500" t="s">
        <v>124</v>
      </c>
      <c r="T1500" t="s">
        <v>124</v>
      </c>
      <c r="U1500" t="s">
        <v>124</v>
      </c>
      <c r="X1500" s="19">
        <f t="shared" si="83"/>
        <v>0.89655172413793105</v>
      </c>
      <c r="Y1500" s="19">
        <f t="shared" si="84"/>
        <v>5.8953574060427449E-3</v>
      </c>
      <c r="Z1500" s="26"/>
    </row>
    <row r="1501" spans="1:26" x14ac:dyDescent="0.35">
      <c r="A1501" t="s">
        <v>122</v>
      </c>
      <c r="B1501" t="s">
        <v>122</v>
      </c>
      <c r="C1501" t="s">
        <v>123</v>
      </c>
      <c r="D1501" t="s">
        <v>101</v>
      </c>
      <c r="E1501" t="s">
        <v>99</v>
      </c>
      <c r="F1501" t="s">
        <v>12</v>
      </c>
      <c r="G1501">
        <v>1</v>
      </c>
      <c r="H1501">
        <v>130</v>
      </c>
      <c r="I1501">
        <v>0.89655172413793105</v>
      </c>
      <c r="J1501" s="25">
        <f t="shared" si="86"/>
        <v>0.89655172413793105</v>
      </c>
      <c r="K1501">
        <v>1349</v>
      </c>
      <c r="L1501">
        <v>8</v>
      </c>
      <c r="M1501">
        <v>5.8953574060427397E-3</v>
      </c>
      <c r="N1501" s="25">
        <f t="shared" si="85"/>
        <v>5.8953574060427449E-3</v>
      </c>
      <c r="O1501">
        <v>0.99410464259395703</v>
      </c>
      <c r="P1501" s="25">
        <f t="shared" si="87"/>
        <v>0.99410464259395726</v>
      </c>
      <c r="Q1501">
        <v>15</v>
      </c>
      <c r="R1501" t="s">
        <v>124</v>
      </c>
      <c r="S1501" t="s">
        <v>124</v>
      </c>
      <c r="T1501" t="s">
        <v>124</v>
      </c>
      <c r="U1501" t="s">
        <v>124</v>
      </c>
      <c r="X1501" s="19">
        <f t="shared" si="83"/>
        <v>0.89655172413793105</v>
      </c>
      <c r="Y1501" s="19">
        <f t="shared" si="84"/>
        <v>5.8953574060427449E-3</v>
      </c>
      <c r="Z1501" s="26"/>
    </row>
    <row r="1502" spans="1:26" x14ac:dyDescent="0.35">
      <c r="A1502" t="s">
        <v>122</v>
      </c>
      <c r="B1502" t="s">
        <v>122</v>
      </c>
      <c r="C1502" t="s">
        <v>123</v>
      </c>
      <c r="D1502" t="s">
        <v>101</v>
      </c>
      <c r="E1502" t="s">
        <v>99</v>
      </c>
      <c r="F1502" t="s">
        <v>12</v>
      </c>
      <c r="G1502">
        <v>1</v>
      </c>
      <c r="H1502">
        <v>130</v>
      </c>
      <c r="I1502">
        <v>0.89655172413793105</v>
      </c>
      <c r="J1502" s="25">
        <f t="shared" si="86"/>
        <v>0.89655172413793105</v>
      </c>
      <c r="K1502">
        <v>1349</v>
      </c>
      <c r="L1502">
        <v>8</v>
      </c>
      <c r="M1502">
        <v>5.8953574060427397E-3</v>
      </c>
      <c r="N1502" s="25">
        <f t="shared" si="85"/>
        <v>5.8953574060427449E-3</v>
      </c>
      <c r="O1502">
        <v>0.99410464259395703</v>
      </c>
      <c r="P1502" s="25">
        <f t="shared" si="87"/>
        <v>0.99410464259395726</v>
      </c>
      <c r="Q1502">
        <v>15</v>
      </c>
      <c r="R1502" t="s">
        <v>124</v>
      </c>
      <c r="S1502" t="s">
        <v>124</v>
      </c>
      <c r="T1502" t="s">
        <v>124</v>
      </c>
      <c r="U1502" t="s">
        <v>124</v>
      </c>
      <c r="X1502" s="19">
        <f t="shared" si="83"/>
        <v>0.89655172413793105</v>
      </c>
      <c r="Y1502" s="19">
        <f t="shared" si="84"/>
        <v>5.8953574060427449E-3</v>
      </c>
      <c r="Z1502" s="26"/>
    </row>
    <row r="1503" spans="1:26" x14ac:dyDescent="0.35">
      <c r="A1503" t="s">
        <v>122</v>
      </c>
      <c r="B1503" t="s">
        <v>122</v>
      </c>
      <c r="C1503" t="s">
        <v>123</v>
      </c>
      <c r="D1503" t="s">
        <v>101</v>
      </c>
      <c r="E1503" t="s">
        <v>99</v>
      </c>
      <c r="F1503" t="s">
        <v>12</v>
      </c>
      <c r="G1503">
        <v>1</v>
      </c>
      <c r="H1503">
        <v>130</v>
      </c>
      <c r="I1503">
        <v>0.89655172413793105</v>
      </c>
      <c r="J1503" s="25">
        <f t="shared" si="86"/>
        <v>0.89655172413793105</v>
      </c>
      <c r="K1503">
        <v>1349</v>
      </c>
      <c r="L1503">
        <v>8</v>
      </c>
      <c r="M1503">
        <v>5.8953574060427397E-3</v>
      </c>
      <c r="N1503" s="25">
        <f t="shared" si="85"/>
        <v>5.8953574060427449E-3</v>
      </c>
      <c r="O1503">
        <v>0.99410464259395703</v>
      </c>
      <c r="P1503" s="25">
        <f t="shared" si="87"/>
        <v>0.99410464259395726</v>
      </c>
      <c r="Q1503">
        <v>15</v>
      </c>
      <c r="R1503" t="s">
        <v>124</v>
      </c>
      <c r="S1503" t="s">
        <v>124</v>
      </c>
      <c r="T1503" t="s">
        <v>124</v>
      </c>
      <c r="U1503" t="s">
        <v>124</v>
      </c>
      <c r="X1503" s="19">
        <f t="shared" si="83"/>
        <v>0.89655172413793105</v>
      </c>
      <c r="Y1503" s="19">
        <f t="shared" si="84"/>
        <v>5.8953574060427449E-3</v>
      </c>
      <c r="Z1503" s="26"/>
    </row>
    <row r="1504" spans="1:26" x14ac:dyDescent="0.35">
      <c r="A1504" t="s">
        <v>122</v>
      </c>
      <c r="B1504" t="s">
        <v>122</v>
      </c>
      <c r="C1504" t="s">
        <v>123</v>
      </c>
      <c r="D1504" t="s">
        <v>101</v>
      </c>
      <c r="E1504" t="s">
        <v>99</v>
      </c>
      <c r="F1504" t="s">
        <v>12</v>
      </c>
      <c r="G1504">
        <v>1</v>
      </c>
      <c r="H1504">
        <v>130</v>
      </c>
      <c r="I1504">
        <v>0.89655172413793105</v>
      </c>
      <c r="J1504" s="25">
        <f t="shared" si="86"/>
        <v>0.89655172413793105</v>
      </c>
      <c r="K1504">
        <v>1349</v>
      </c>
      <c r="L1504">
        <v>8</v>
      </c>
      <c r="M1504">
        <v>5.8953574060427397E-3</v>
      </c>
      <c r="N1504" s="25">
        <f t="shared" si="85"/>
        <v>5.8953574060427449E-3</v>
      </c>
      <c r="O1504">
        <v>0.99410464259395703</v>
      </c>
      <c r="P1504" s="25">
        <f t="shared" si="87"/>
        <v>0.99410464259395726</v>
      </c>
      <c r="Q1504">
        <v>15</v>
      </c>
      <c r="R1504" t="s">
        <v>124</v>
      </c>
      <c r="S1504" t="s">
        <v>124</v>
      </c>
      <c r="T1504" t="s">
        <v>124</v>
      </c>
      <c r="U1504" t="s">
        <v>124</v>
      </c>
      <c r="X1504" s="19">
        <f t="shared" si="83"/>
        <v>0.89655172413793105</v>
      </c>
      <c r="Y1504" s="19">
        <f t="shared" si="84"/>
        <v>5.8953574060427449E-3</v>
      </c>
      <c r="Z1504" s="26"/>
    </row>
    <row r="1505" spans="1:26" x14ac:dyDescent="0.35">
      <c r="A1505" t="s">
        <v>122</v>
      </c>
      <c r="B1505" t="s">
        <v>122</v>
      </c>
      <c r="C1505" t="s">
        <v>123</v>
      </c>
      <c r="D1505" t="s">
        <v>101</v>
      </c>
      <c r="E1505" t="s">
        <v>99</v>
      </c>
      <c r="F1505" t="s">
        <v>12</v>
      </c>
      <c r="G1505">
        <v>1</v>
      </c>
      <c r="H1505">
        <v>130</v>
      </c>
      <c r="I1505">
        <v>0.89655172413793105</v>
      </c>
      <c r="J1505" s="25">
        <f t="shared" si="86"/>
        <v>0.89655172413793105</v>
      </c>
      <c r="K1505">
        <v>1347</v>
      </c>
      <c r="L1505">
        <v>10</v>
      </c>
      <c r="M1505">
        <v>7.3691967575534199E-3</v>
      </c>
      <c r="N1505" s="25">
        <f t="shared" si="85"/>
        <v>7.3691967575534312E-3</v>
      </c>
      <c r="O1505">
        <v>0.99263080324244601</v>
      </c>
      <c r="P1505" s="25">
        <f t="shared" si="87"/>
        <v>0.99263080324244657</v>
      </c>
      <c r="Q1505">
        <v>15</v>
      </c>
      <c r="R1505" t="s">
        <v>124</v>
      </c>
      <c r="S1505" t="s">
        <v>124</v>
      </c>
      <c r="T1505" t="s">
        <v>124</v>
      </c>
      <c r="U1505" t="s">
        <v>124</v>
      </c>
      <c r="X1505" s="19">
        <f t="shared" si="83"/>
        <v>0.89655172413793105</v>
      </c>
      <c r="Y1505" s="19">
        <f t="shared" si="84"/>
        <v>7.3691967575534312E-3</v>
      </c>
      <c r="Z1505" s="26"/>
    </row>
    <row r="1506" spans="1:26" x14ac:dyDescent="0.35">
      <c r="A1506" t="s">
        <v>122</v>
      </c>
      <c r="B1506" t="s">
        <v>122</v>
      </c>
      <c r="C1506" t="s">
        <v>123</v>
      </c>
      <c r="D1506" t="s">
        <v>101</v>
      </c>
      <c r="E1506" t="s">
        <v>99</v>
      </c>
      <c r="F1506" t="s">
        <v>12</v>
      </c>
      <c r="G1506">
        <v>1</v>
      </c>
      <c r="H1506">
        <v>130</v>
      </c>
      <c r="I1506">
        <v>0.89655172413793105</v>
      </c>
      <c r="J1506" s="25">
        <f t="shared" si="86"/>
        <v>0.89655172413793105</v>
      </c>
      <c r="K1506">
        <v>1347</v>
      </c>
      <c r="L1506">
        <v>10</v>
      </c>
      <c r="M1506">
        <v>7.3691967575534199E-3</v>
      </c>
      <c r="N1506" s="25">
        <f t="shared" si="85"/>
        <v>7.3691967575534312E-3</v>
      </c>
      <c r="O1506">
        <v>0.99263080324244601</v>
      </c>
      <c r="P1506" s="25">
        <f t="shared" si="87"/>
        <v>0.99263080324244657</v>
      </c>
      <c r="Q1506">
        <v>15</v>
      </c>
      <c r="R1506" t="s">
        <v>124</v>
      </c>
      <c r="S1506" t="s">
        <v>124</v>
      </c>
      <c r="T1506" t="s">
        <v>124</v>
      </c>
      <c r="U1506" t="s">
        <v>124</v>
      </c>
      <c r="X1506" s="19">
        <f t="shared" si="83"/>
        <v>0.89655172413793105</v>
      </c>
      <c r="Y1506" s="19">
        <f t="shared" si="84"/>
        <v>7.3691967575534312E-3</v>
      </c>
      <c r="Z1506" s="26"/>
    </row>
    <row r="1507" spans="1:26" x14ac:dyDescent="0.35">
      <c r="A1507" t="s">
        <v>122</v>
      </c>
      <c r="B1507" t="s">
        <v>122</v>
      </c>
      <c r="C1507" t="s">
        <v>123</v>
      </c>
      <c r="D1507" t="s">
        <v>101</v>
      </c>
      <c r="E1507" t="s">
        <v>99</v>
      </c>
      <c r="F1507" t="s">
        <v>12</v>
      </c>
      <c r="G1507">
        <v>1</v>
      </c>
      <c r="H1507">
        <v>130</v>
      </c>
      <c r="I1507">
        <v>0.89655172413793105</v>
      </c>
      <c r="J1507" s="25">
        <f t="shared" si="86"/>
        <v>0.89655172413793105</v>
      </c>
      <c r="K1507">
        <v>1347</v>
      </c>
      <c r="L1507">
        <v>10</v>
      </c>
      <c r="M1507">
        <v>7.3691967575534199E-3</v>
      </c>
      <c r="N1507" s="25">
        <f t="shared" si="85"/>
        <v>7.3691967575534312E-3</v>
      </c>
      <c r="O1507">
        <v>0.99263080324244601</v>
      </c>
      <c r="P1507" s="25">
        <f t="shared" si="87"/>
        <v>0.99263080324244657</v>
      </c>
      <c r="Q1507">
        <v>15</v>
      </c>
      <c r="R1507" t="s">
        <v>124</v>
      </c>
      <c r="S1507" t="s">
        <v>124</v>
      </c>
      <c r="T1507" t="s">
        <v>124</v>
      </c>
      <c r="U1507" t="s">
        <v>124</v>
      </c>
      <c r="X1507" s="19">
        <f t="shared" si="83"/>
        <v>0.89655172413793105</v>
      </c>
      <c r="Y1507" s="19">
        <f t="shared" si="84"/>
        <v>7.3691967575534312E-3</v>
      </c>
      <c r="Z1507" s="26"/>
    </row>
    <row r="1508" spans="1:26" x14ac:dyDescent="0.35">
      <c r="A1508" t="s">
        <v>122</v>
      </c>
      <c r="B1508" t="s">
        <v>122</v>
      </c>
      <c r="C1508" t="s">
        <v>123</v>
      </c>
      <c r="D1508" t="s">
        <v>101</v>
      </c>
      <c r="E1508" t="s">
        <v>99</v>
      </c>
      <c r="F1508" t="s">
        <v>12</v>
      </c>
      <c r="G1508">
        <v>1</v>
      </c>
      <c r="H1508">
        <v>130</v>
      </c>
      <c r="I1508">
        <v>0.89655172413793105</v>
      </c>
      <c r="J1508" s="25">
        <f t="shared" si="86"/>
        <v>0.89655172413793105</v>
      </c>
      <c r="K1508">
        <v>1347</v>
      </c>
      <c r="L1508">
        <v>10</v>
      </c>
      <c r="M1508">
        <v>7.3691967575534199E-3</v>
      </c>
      <c r="N1508" s="25">
        <f t="shared" si="85"/>
        <v>7.3691967575534312E-3</v>
      </c>
      <c r="O1508">
        <v>0.99263080324244601</v>
      </c>
      <c r="P1508" s="25">
        <f t="shared" si="87"/>
        <v>0.99263080324244657</v>
      </c>
      <c r="Q1508">
        <v>15</v>
      </c>
      <c r="R1508" t="s">
        <v>124</v>
      </c>
      <c r="S1508" t="s">
        <v>124</v>
      </c>
      <c r="T1508" t="s">
        <v>124</v>
      </c>
      <c r="U1508" t="s">
        <v>124</v>
      </c>
      <c r="X1508" s="19">
        <f t="shared" si="83"/>
        <v>0.89655172413793105</v>
      </c>
      <c r="Y1508" s="19">
        <f t="shared" si="84"/>
        <v>7.3691967575534312E-3</v>
      </c>
      <c r="Z1508" s="26"/>
    </row>
    <row r="1509" spans="1:26" x14ac:dyDescent="0.35">
      <c r="A1509" t="s">
        <v>122</v>
      </c>
      <c r="B1509" t="s">
        <v>122</v>
      </c>
      <c r="C1509" t="s">
        <v>123</v>
      </c>
      <c r="D1509" t="s">
        <v>101</v>
      </c>
      <c r="E1509" t="s">
        <v>99</v>
      </c>
      <c r="F1509" t="s">
        <v>12</v>
      </c>
      <c r="G1509">
        <v>1</v>
      </c>
      <c r="H1509">
        <v>130</v>
      </c>
      <c r="I1509">
        <v>0.89655172413793105</v>
      </c>
      <c r="J1509" s="25">
        <f t="shared" si="86"/>
        <v>0.89655172413793105</v>
      </c>
      <c r="K1509">
        <v>1347</v>
      </c>
      <c r="L1509">
        <v>10</v>
      </c>
      <c r="M1509">
        <v>7.3691967575534199E-3</v>
      </c>
      <c r="N1509" s="25">
        <f t="shared" si="85"/>
        <v>7.3691967575534312E-3</v>
      </c>
      <c r="O1509">
        <v>0.99263080324244601</v>
      </c>
      <c r="P1509" s="25">
        <f t="shared" si="87"/>
        <v>0.99263080324244657</v>
      </c>
      <c r="Q1509">
        <v>15</v>
      </c>
      <c r="R1509" t="s">
        <v>124</v>
      </c>
      <c r="S1509" t="s">
        <v>124</v>
      </c>
      <c r="T1509" t="s">
        <v>124</v>
      </c>
      <c r="U1509" t="s">
        <v>124</v>
      </c>
      <c r="X1509" s="19">
        <f t="shared" si="83"/>
        <v>0.89655172413793105</v>
      </c>
      <c r="Y1509" s="19">
        <f t="shared" si="84"/>
        <v>7.3691967575534312E-3</v>
      </c>
      <c r="Z1509" s="26"/>
    </row>
    <row r="1510" spans="1:26" x14ac:dyDescent="0.35">
      <c r="A1510" t="s">
        <v>122</v>
      </c>
      <c r="B1510" t="s">
        <v>122</v>
      </c>
      <c r="C1510" t="s">
        <v>123</v>
      </c>
      <c r="D1510" t="s">
        <v>101</v>
      </c>
      <c r="E1510" t="s">
        <v>99</v>
      </c>
      <c r="F1510" t="s">
        <v>12</v>
      </c>
      <c r="G1510">
        <v>1</v>
      </c>
      <c r="H1510">
        <v>130</v>
      </c>
      <c r="I1510">
        <v>0.89655172413793105</v>
      </c>
      <c r="J1510" s="25">
        <f t="shared" si="86"/>
        <v>0.89655172413793105</v>
      </c>
      <c r="K1510">
        <v>1347</v>
      </c>
      <c r="L1510">
        <v>10</v>
      </c>
      <c r="M1510">
        <v>7.3691967575534199E-3</v>
      </c>
      <c r="N1510" s="25">
        <f t="shared" si="85"/>
        <v>7.3691967575534312E-3</v>
      </c>
      <c r="O1510">
        <v>0.99263080324244601</v>
      </c>
      <c r="P1510" s="25">
        <f t="shared" si="87"/>
        <v>0.99263080324244657</v>
      </c>
      <c r="Q1510">
        <v>15</v>
      </c>
      <c r="R1510" t="s">
        <v>124</v>
      </c>
      <c r="S1510" t="s">
        <v>124</v>
      </c>
      <c r="T1510" t="s">
        <v>124</v>
      </c>
      <c r="U1510" t="s">
        <v>124</v>
      </c>
      <c r="X1510" s="19">
        <f t="shared" si="83"/>
        <v>0.89655172413793105</v>
      </c>
      <c r="Y1510" s="19">
        <f t="shared" si="84"/>
        <v>7.3691967575534312E-3</v>
      </c>
      <c r="Z1510" s="26"/>
    </row>
    <row r="1511" spans="1:26" x14ac:dyDescent="0.35">
      <c r="A1511" t="s">
        <v>122</v>
      </c>
      <c r="B1511" t="s">
        <v>122</v>
      </c>
      <c r="C1511" t="s">
        <v>123</v>
      </c>
      <c r="D1511" t="s">
        <v>101</v>
      </c>
      <c r="E1511" t="s">
        <v>99</v>
      </c>
      <c r="F1511" t="s">
        <v>12</v>
      </c>
      <c r="G1511">
        <v>1</v>
      </c>
      <c r="H1511">
        <v>130</v>
      </c>
      <c r="I1511">
        <v>0.89655172413793105</v>
      </c>
      <c r="J1511" s="25">
        <f t="shared" si="86"/>
        <v>0.89655172413793105</v>
      </c>
      <c r="K1511">
        <v>1347</v>
      </c>
      <c r="L1511">
        <v>10</v>
      </c>
      <c r="M1511">
        <v>7.3691967575534199E-3</v>
      </c>
      <c r="N1511" s="25">
        <f t="shared" si="85"/>
        <v>7.3691967575534312E-3</v>
      </c>
      <c r="O1511">
        <v>0.99263080324244601</v>
      </c>
      <c r="P1511" s="25">
        <f t="shared" si="87"/>
        <v>0.99263080324244657</v>
      </c>
      <c r="Q1511">
        <v>15</v>
      </c>
      <c r="R1511" t="s">
        <v>124</v>
      </c>
      <c r="S1511" t="s">
        <v>124</v>
      </c>
      <c r="T1511" t="s">
        <v>124</v>
      </c>
      <c r="U1511" t="s">
        <v>124</v>
      </c>
      <c r="X1511" s="19">
        <f t="shared" si="83"/>
        <v>0.89655172413793105</v>
      </c>
      <c r="Y1511" s="19">
        <f t="shared" si="84"/>
        <v>7.3691967575534312E-3</v>
      </c>
      <c r="Z1511" s="26"/>
    </row>
    <row r="1512" spans="1:26" x14ac:dyDescent="0.35">
      <c r="A1512" t="s">
        <v>122</v>
      </c>
      <c r="B1512" t="s">
        <v>122</v>
      </c>
      <c r="C1512" t="s">
        <v>123</v>
      </c>
      <c r="D1512" t="s">
        <v>101</v>
      </c>
      <c r="E1512" t="s">
        <v>99</v>
      </c>
      <c r="F1512" t="s">
        <v>12</v>
      </c>
      <c r="G1512">
        <v>1</v>
      </c>
      <c r="H1512">
        <v>130</v>
      </c>
      <c r="I1512">
        <v>0.89655172413793105</v>
      </c>
      <c r="J1512" s="25">
        <f t="shared" si="86"/>
        <v>0.89655172413793105</v>
      </c>
      <c r="K1512">
        <v>1347</v>
      </c>
      <c r="L1512">
        <v>10</v>
      </c>
      <c r="M1512">
        <v>7.3691967575534199E-3</v>
      </c>
      <c r="N1512" s="25">
        <f t="shared" si="85"/>
        <v>7.3691967575534312E-3</v>
      </c>
      <c r="O1512">
        <v>0.99263080324244601</v>
      </c>
      <c r="P1512" s="25">
        <f t="shared" si="87"/>
        <v>0.99263080324244657</v>
      </c>
      <c r="Q1512">
        <v>15</v>
      </c>
      <c r="R1512" t="s">
        <v>124</v>
      </c>
      <c r="S1512" t="s">
        <v>124</v>
      </c>
      <c r="T1512" t="s">
        <v>124</v>
      </c>
      <c r="U1512" t="s">
        <v>124</v>
      </c>
      <c r="X1512" s="19">
        <f t="shared" si="83"/>
        <v>0.89655172413793105</v>
      </c>
      <c r="Y1512" s="19">
        <f t="shared" si="84"/>
        <v>7.3691967575534312E-3</v>
      </c>
      <c r="Z1512" s="26"/>
    </row>
    <row r="1513" spans="1:26" x14ac:dyDescent="0.35">
      <c r="A1513" t="s">
        <v>122</v>
      </c>
      <c r="B1513" t="s">
        <v>122</v>
      </c>
      <c r="C1513" t="s">
        <v>123</v>
      </c>
      <c r="D1513" t="s">
        <v>101</v>
      </c>
      <c r="E1513" t="s">
        <v>99</v>
      </c>
      <c r="F1513" t="s">
        <v>12</v>
      </c>
      <c r="G1513">
        <v>1</v>
      </c>
      <c r="H1513">
        <v>130</v>
      </c>
      <c r="I1513">
        <v>0.89655172413793105</v>
      </c>
      <c r="J1513" s="25">
        <f t="shared" si="86"/>
        <v>0.89655172413793105</v>
      </c>
      <c r="K1513">
        <v>1347</v>
      </c>
      <c r="L1513">
        <v>10</v>
      </c>
      <c r="M1513">
        <v>7.3691967575534199E-3</v>
      </c>
      <c r="N1513" s="25">
        <f t="shared" si="85"/>
        <v>7.3691967575534312E-3</v>
      </c>
      <c r="O1513">
        <v>0.99263080324244601</v>
      </c>
      <c r="P1513" s="25">
        <f t="shared" si="87"/>
        <v>0.99263080324244657</v>
      </c>
      <c r="Q1513">
        <v>15</v>
      </c>
      <c r="R1513" t="s">
        <v>124</v>
      </c>
      <c r="S1513" t="s">
        <v>124</v>
      </c>
      <c r="T1513" t="s">
        <v>124</v>
      </c>
      <c r="U1513" t="s">
        <v>124</v>
      </c>
      <c r="X1513" s="19">
        <f t="shared" si="83"/>
        <v>0.89655172413793105</v>
      </c>
      <c r="Y1513" s="19">
        <f t="shared" si="84"/>
        <v>7.3691967575534312E-3</v>
      </c>
      <c r="Z1513" s="26"/>
    </row>
    <row r="1514" spans="1:26" x14ac:dyDescent="0.35">
      <c r="A1514" t="s">
        <v>122</v>
      </c>
      <c r="B1514" t="s">
        <v>122</v>
      </c>
      <c r="C1514" t="s">
        <v>123</v>
      </c>
      <c r="D1514" t="s">
        <v>101</v>
      </c>
      <c r="E1514" t="s">
        <v>99</v>
      </c>
      <c r="F1514" t="s">
        <v>12</v>
      </c>
      <c r="G1514">
        <v>1</v>
      </c>
      <c r="H1514">
        <v>130</v>
      </c>
      <c r="I1514">
        <v>0.89655172413793105</v>
      </c>
      <c r="J1514" s="25">
        <f t="shared" si="86"/>
        <v>0.89655172413793105</v>
      </c>
      <c r="K1514">
        <v>1347</v>
      </c>
      <c r="L1514">
        <v>10</v>
      </c>
      <c r="M1514">
        <v>7.3691967575534199E-3</v>
      </c>
      <c r="N1514" s="25">
        <f t="shared" si="85"/>
        <v>7.3691967575534312E-3</v>
      </c>
      <c r="O1514">
        <v>0.99263080324244601</v>
      </c>
      <c r="P1514" s="25">
        <f t="shared" si="87"/>
        <v>0.99263080324244657</v>
      </c>
      <c r="Q1514">
        <v>15</v>
      </c>
      <c r="R1514" t="s">
        <v>124</v>
      </c>
      <c r="S1514" t="s">
        <v>124</v>
      </c>
      <c r="T1514" t="s">
        <v>124</v>
      </c>
      <c r="U1514" t="s">
        <v>124</v>
      </c>
      <c r="X1514" s="19">
        <f t="shared" si="83"/>
        <v>0.89655172413793105</v>
      </c>
      <c r="Y1514" s="19">
        <f t="shared" si="84"/>
        <v>7.3691967575534312E-3</v>
      </c>
      <c r="Z1514" s="26"/>
    </row>
    <row r="1515" spans="1:26" x14ac:dyDescent="0.35">
      <c r="A1515" t="s">
        <v>122</v>
      </c>
      <c r="B1515" t="s">
        <v>122</v>
      </c>
      <c r="C1515" t="s">
        <v>123</v>
      </c>
      <c r="D1515" t="s">
        <v>101</v>
      </c>
      <c r="E1515" t="s">
        <v>99</v>
      </c>
      <c r="F1515" t="s">
        <v>12</v>
      </c>
      <c r="G1515">
        <v>1</v>
      </c>
      <c r="H1515">
        <v>130</v>
      </c>
      <c r="I1515">
        <v>0.89655172413793105</v>
      </c>
      <c r="J1515" s="25">
        <f t="shared" si="86"/>
        <v>0.89655172413793105</v>
      </c>
      <c r="K1515">
        <v>1347</v>
      </c>
      <c r="L1515">
        <v>10</v>
      </c>
      <c r="M1515">
        <v>7.3691967575534199E-3</v>
      </c>
      <c r="N1515" s="25">
        <f t="shared" si="85"/>
        <v>7.3691967575534312E-3</v>
      </c>
      <c r="O1515">
        <v>0.99263080324244601</v>
      </c>
      <c r="P1515" s="25">
        <f t="shared" si="87"/>
        <v>0.99263080324244657</v>
      </c>
      <c r="Q1515">
        <v>15</v>
      </c>
      <c r="R1515" t="s">
        <v>124</v>
      </c>
      <c r="S1515" t="s">
        <v>124</v>
      </c>
      <c r="T1515" t="s">
        <v>124</v>
      </c>
      <c r="U1515" t="s">
        <v>124</v>
      </c>
      <c r="X1515" s="19">
        <f t="shared" si="83"/>
        <v>0.89655172413793105</v>
      </c>
      <c r="Y1515" s="19">
        <f t="shared" si="84"/>
        <v>7.3691967575534312E-3</v>
      </c>
      <c r="Z1515" s="26"/>
    </row>
    <row r="1516" spans="1:26" x14ac:dyDescent="0.35">
      <c r="A1516" t="s">
        <v>122</v>
      </c>
      <c r="B1516" t="s">
        <v>122</v>
      </c>
      <c r="C1516" t="s">
        <v>123</v>
      </c>
      <c r="D1516" t="s">
        <v>101</v>
      </c>
      <c r="E1516" t="s">
        <v>99</v>
      </c>
      <c r="F1516" t="s">
        <v>12</v>
      </c>
      <c r="G1516">
        <v>1</v>
      </c>
      <c r="H1516">
        <v>130</v>
      </c>
      <c r="I1516">
        <v>0.89655172413793105</v>
      </c>
      <c r="J1516" s="25">
        <f t="shared" si="86"/>
        <v>0.89655172413793105</v>
      </c>
      <c r="K1516">
        <v>1347</v>
      </c>
      <c r="L1516">
        <v>10</v>
      </c>
      <c r="M1516">
        <v>7.3691967575534199E-3</v>
      </c>
      <c r="N1516" s="25">
        <f t="shared" si="85"/>
        <v>7.3691967575534312E-3</v>
      </c>
      <c r="O1516">
        <v>0.99263080324244601</v>
      </c>
      <c r="P1516" s="25">
        <f t="shared" si="87"/>
        <v>0.99263080324244657</v>
      </c>
      <c r="Q1516">
        <v>15</v>
      </c>
      <c r="R1516" t="s">
        <v>124</v>
      </c>
      <c r="S1516" t="s">
        <v>124</v>
      </c>
      <c r="T1516" t="s">
        <v>124</v>
      </c>
      <c r="U1516" t="s">
        <v>124</v>
      </c>
      <c r="X1516" s="19">
        <f t="shared" si="83"/>
        <v>0.89655172413793105</v>
      </c>
      <c r="Y1516" s="19">
        <f t="shared" si="84"/>
        <v>7.3691967575534312E-3</v>
      </c>
      <c r="Z1516" s="26"/>
    </row>
    <row r="1517" spans="1:26" x14ac:dyDescent="0.35">
      <c r="A1517" t="s">
        <v>122</v>
      </c>
      <c r="B1517" t="s">
        <v>122</v>
      </c>
      <c r="C1517" t="s">
        <v>123</v>
      </c>
      <c r="D1517" t="s">
        <v>101</v>
      </c>
      <c r="E1517" t="s">
        <v>99</v>
      </c>
      <c r="F1517" t="s">
        <v>12</v>
      </c>
      <c r="G1517">
        <v>1</v>
      </c>
      <c r="H1517">
        <v>130</v>
      </c>
      <c r="I1517">
        <v>0.89655172413793105</v>
      </c>
      <c r="J1517" s="25">
        <f t="shared" si="86"/>
        <v>0.89655172413793105</v>
      </c>
      <c r="K1517">
        <v>1347</v>
      </c>
      <c r="L1517">
        <v>10</v>
      </c>
      <c r="M1517">
        <v>7.3691967575534199E-3</v>
      </c>
      <c r="N1517" s="25">
        <f t="shared" si="85"/>
        <v>7.3691967575534312E-3</v>
      </c>
      <c r="O1517">
        <v>0.99263080324244601</v>
      </c>
      <c r="P1517" s="25">
        <f t="shared" si="87"/>
        <v>0.99263080324244657</v>
      </c>
      <c r="Q1517">
        <v>15</v>
      </c>
      <c r="R1517" t="s">
        <v>124</v>
      </c>
      <c r="S1517" t="s">
        <v>124</v>
      </c>
      <c r="T1517" t="s">
        <v>124</v>
      </c>
      <c r="U1517" t="s">
        <v>124</v>
      </c>
      <c r="X1517" s="19">
        <f t="shared" si="83"/>
        <v>0.89655172413793105</v>
      </c>
      <c r="Y1517" s="19">
        <f t="shared" si="84"/>
        <v>7.3691967575534312E-3</v>
      </c>
      <c r="Z1517" s="26"/>
    </row>
    <row r="1518" spans="1:26" x14ac:dyDescent="0.35">
      <c r="A1518" t="s">
        <v>122</v>
      </c>
      <c r="B1518" t="s">
        <v>122</v>
      </c>
      <c r="C1518" t="s">
        <v>123</v>
      </c>
      <c r="D1518" t="s">
        <v>101</v>
      </c>
      <c r="E1518" t="s">
        <v>99</v>
      </c>
      <c r="F1518" t="s">
        <v>12</v>
      </c>
      <c r="G1518">
        <v>1</v>
      </c>
      <c r="H1518">
        <v>130</v>
      </c>
      <c r="I1518">
        <v>0.89655172413793105</v>
      </c>
      <c r="J1518" s="25">
        <f t="shared" si="86"/>
        <v>0.89655172413793105</v>
      </c>
      <c r="K1518">
        <v>1347</v>
      </c>
      <c r="L1518">
        <v>10</v>
      </c>
      <c r="M1518">
        <v>7.3691967575534199E-3</v>
      </c>
      <c r="N1518" s="25">
        <f t="shared" si="85"/>
        <v>7.3691967575534312E-3</v>
      </c>
      <c r="O1518">
        <v>0.99263080324244601</v>
      </c>
      <c r="P1518" s="25">
        <f t="shared" si="87"/>
        <v>0.99263080324244657</v>
      </c>
      <c r="Q1518">
        <v>15</v>
      </c>
      <c r="R1518" t="s">
        <v>124</v>
      </c>
      <c r="S1518" t="s">
        <v>124</v>
      </c>
      <c r="T1518" t="s">
        <v>124</v>
      </c>
      <c r="U1518" t="s">
        <v>124</v>
      </c>
      <c r="X1518" s="19">
        <f t="shared" ref="X1518:X1581" si="88">J1518</f>
        <v>0.89655172413793105</v>
      </c>
      <c r="Y1518" s="19">
        <f t="shared" ref="Y1518:Y1581" si="89">N1518</f>
        <v>7.3691967575534312E-3</v>
      </c>
      <c r="Z1518" s="26"/>
    </row>
    <row r="1519" spans="1:26" x14ac:dyDescent="0.35">
      <c r="A1519" t="s">
        <v>122</v>
      </c>
      <c r="B1519" t="s">
        <v>122</v>
      </c>
      <c r="C1519" t="s">
        <v>123</v>
      </c>
      <c r="D1519" t="s">
        <v>101</v>
      </c>
      <c r="E1519" t="s">
        <v>99</v>
      </c>
      <c r="F1519" t="s">
        <v>12</v>
      </c>
      <c r="G1519">
        <v>1</v>
      </c>
      <c r="H1519">
        <v>130</v>
      </c>
      <c r="I1519">
        <v>0.89655172413793105</v>
      </c>
      <c r="J1519" s="25">
        <f t="shared" si="86"/>
        <v>0.89655172413793105</v>
      </c>
      <c r="K1519">
        <v>1347</v>
      </c>
      <c r="L1519">
        <v>10</v>
      </c>
      <c r="M1519">
        <v>7.3691967575534199E-3</v>
      </c>
      <c r="N1519" s="25">
        <f t="shared" si="85"/>
        <v>7.3691967575534312E-3</v>
      </c>
      <c r="O1519">
        <v>0.99263080324244601</v>
      </c>
      <c r="P1519" s="25">
        <f t="shared" si="87"/>
        <v>0.99263080324244657</v>
      </c>
      <c r="Q1519">
        <v>15</v>
      </c>
      <c r="R1519" t="s">
        <v>124</v>
      </c>
      <c r="S1519" t="s">
        <v>124</v>
      </c>
      <c r="T1519" t="s">
        <v>124</v>
      </c>
      <c r="U1519" t="s">
        <v>124</v>
      </c>
      <c r="X1519" s="19">
        <f t="shared" si="88"/>
        <v>0.89655172413793105</v>
      </c>
      <c r="Y1519" s="19">
        <f t="shared" si="89"/>
        <v>7.3691967575534312E-3</v>
      </c>
      <c r="Z1519" s="26"/>
    </row>
    <row r="1520" spans="1:26" x14ac:dyDescent="0.35">
      <c r="A1520" t="s">
        <v>122</v>
      </c>
      <c r="B1520" t="s">
        <v>122</v>
      </c>
      <c r="C1520" t="s">
        <v>123</v>
      </c>
      <c r="D1520" t="s">
        <v>101</v>
      </c>
      <c r="E1520" t="s">
        <v>99</v>
      </c>
      <c r="F1520" t="s">
        <v>12</v>
      </c>
      <c r="G1520">
        <v>1</v>
      </c>
      <c r="H1520">
        <v>130</v>
      </c>
      <c r="I1520">
        <v>0.89655172413793105</v>
      </c>
      <c r="J1520" s="25">
        <f t="shared" si="86"/>
        <v>0.89655172413793105</v>
      </c>
      <c r="K1520">
        <v>1347</v>
      </c>
      <c r="L1520">
        <v>10</v>
      </c>
      <c r="M1520">
        <v>7.3691967575534199E-3</v>
      </c>
      <c r="N1520" s="25">
        <f t="shared" si="85"/>
        <v>7.3691967575534312E-3</v>
      </c>
      <c r="O1520">
        <v>0.99263080324244601</v>
      </c>
      <c r="P1520" s="25">
        <f t="shared" si="87"/>
        <v>0.99263080324244657</v>
      </c>
      <c r="Q1520">
        <v>15</v>
      </c>
      <c r="R1520" t="s">
        <v>124</v>
      </c>
      <c r="S1520" t="s">
        <v>124</v>
      </c>
      <c r="T1520" t="s">
        <v>124</v>
      </c>
      <c r="U1520" t="s">
        <v>124</v>
      </c>
      <c r="X1520" s="19">
        <f t="shared" si="88"/>
        <v>0.89655172413793105</v>
      </c>
      <c r="Y1520" s="19">
        <f t="shared" si="89"/>
        <v>7.3691967575534312E-3</v>
      </c>
      <c r="Z1520" s="26"/>
    </row>
    <row r="1521" spans="1:26" x14ac:dyDescent="0.35">
      <c r="A1521" t="s">
        <v>122</v>
      </c>
      <c r="B1521" t="s">
        <v>122</v>
      </c>
      <c r="C1521" t="s">
        <v>123</v>
      </c>
      <c r="D1521" t="s">
        <v>101</v>
      </c>
      <c r="E1521" t="s">
        <v>99</v>
      </c>
      <c r="F1521" t="s">
        <v>12</v>
      </c>
      <c r="G1521">
        <v>1</v>
      </c>
      <c r="H1521">
        <v>130</v>
      </c>
      <c r="I1521">
        <v>0.89655172413793105</v>
      </c>
      <c r="J1521" s="25">
        <f t="shared" si="86"/>
        <v>0.89655172413793105</v>
      </c>
      <c r="K1521">
        <v>1347</v>
      </c>
      <c r="L1521">
        <v>10</v>
      </c>
      <c r="M1521">
        <v>7.3691967575534199E-3</v>
      </c>
      <c r="N1521" s="25">
        <f t="shared" si="85"/>
        <v>7.3691967575534312E-3</v>
      </c>
      <c r="O1521">
        <v>0.99263080324244601</v>
      </c>
      <c r="P1521" s="25">
        <f t="shared" si="87"/>
        <v>0.99263080324244657</v>
      </c>
      <c r="Q1521">
        <v>15</v>
      </c>
      <c r="R1521" t="s">
        <v>124</v>
      </c>
      <c r="S1521" t="s">
        <v>124</v>
      </c>
      <c r="T1521" t="s">
        <v>124</v>
      </c>
      <c r="U1521" t="s">
        <v>124</v>
      </c>
      <c r="X1521" s="19">
        <f t="shared" si="88"/>
        <v>0.89655172413793105</v>
      </c>
      <c r="Y1521" s="19">
        <f t="shared" si="89"/>
        <v>7.3691967575534312E-3</v>
      </c>
      <c r="Z1521" s="26"/>
    </row>
    <row r="1522" spans="1:26" x14ac:dyDescent="0.35">
      <c r="A1522" t="s">
        <v>122</v>
      </c>
      <c r="B1522" t="s">
        <v>122</v>
      </c>
      <c r="C1522" t="s">
        <v>123</v>
      </c>
      <c r="D1522" t="s">
        <v>101</v>
      </c>
      <c r="E1522" t="s">
        <v>99</v>
      </c>
      <c r="F1522" t="s">
        <v>12</v>
      </c>
      <c r="G1522">
        <v>1</v>
      </c>
      <c r="H1522">
        <v>130</v>
      </c>
      <c r="I1522">
        <v>0.89655172413793105</v>
      </c>
      <c r="J1522" s="25">
        <f t="shared" si="86"/>
        <v>0.89655172413793105</v>
      </c>
      <c r="K1522">
        <v>1347</v>
      </c>
      <c r="L1522">
        <v>10</v>
      </c>
      <c r="M1522">
        <v>7.3691967575534199E-3</v>
      </c>
      <c r="N1522" s="25">
        <f t="shared" si="85"/>
        <v>7.3691967575534312E-3</v>
      </c>
      <c r="O1522">
        <v>0.99263080324244601</v>
      </c>
      <c r="P1522" s="25">
        <f t="shared" si="87"/>
        <v>0.99263080324244657</v>
      </c>
      <c r="Q1522">
        <v>15</v>
      </c>
      <c r="R1522" t="s">
        <v>124</v>
      </c>
      <c r="S1522" t="s">
        <v>124</v>
      </c>
      <c r="T1522" t="s">
        <v>124</v>
      </c>
      <c r="U1522" t="s">
        <v>124</v>
      </c>
      <c r="X1522" s="19">
        <f t="shared" si="88"/>
        <v>0.89655172413793105</v>
      </c>
      <c r="Y1522" s="19">
        <f t="shared" si="89"/>
        <v>7.3691967575534312E-3</v>
      </c>
      <c r="Z1522" s="26"/>
    </row>
    <row r="1523" spans="1:26" x14ac:dyDescent="0.35">
      <c r="A1523" t="s">
        <v>122</v>
      </c>
      <c r="B1523" t="s">
        <v>122</v>
      </c>
      <c r="C1523" t="s">
        <v>123</v>
      </c>
      <c r="D1523" t="s">
        <v>101</v>
      </c>
      <c r="E1523" t="s">
        <v>99</v>
      </c>
      <c r="F1523" t="s">
        <v>12</v>
      </c>
      <c r="G1523">
        <v>1</v>
      </c>
      <c r="H1523">
        <v>130</v>
      </c>
      <c r="I1523">
        <v>0.89655172413793105</v>
      </c>
      <c r="J1523" s="25">
        <f t="shared" si="86"/>
        <v>0.89655172413793105</v>
      </c>
      <c r="K1523">
        <v>1347</v>
      </c>
      <c r="L1523">
        <v>10</v>
      </c>
      <c r="M1523">
        <v>7.3691967575534199E-3</v>
      </c>
      <c r="N1523" s="25">
        <f t="shared" si="85"/>
        <v>7.3691967575534312E-3</v>
      </c>
      <c r="O1523">
        <v>0.99263080324244601</v>
      </c>
      <c r="P1523" s="25">
        <f t="shared" si="87"/>
        <v>0.99263080324244657</v>
      </c>
      <c r="Q1523">
        <v>15</v>
      </c>
      <c r="R1523" t="s">
        <v>124</v>
      </c>
      <c r="S1523" t="s">
        <v>124</v>
      </c>
      <c r="T1523" t="s">
        <v>124</v>
      </c>
      <c r="U1523" t="s">
        <v>124</v>
      </c>
      <c r="X1523" s="19">
        <f t="shared" si="88"/>
        <v>0.89655172413793105</v>
      </c>
      <c r="Y1523" s="19">
        <f t="shared" si="89"/>
        <v>7.3691967575534312E-3</v>
      </c>
      <c r="Z1523" s="26"/>
    </row>
    <row r="1524" spans="1:26" x14ac:dyDescent="0.35">
      <c r="A1524" t="s">
        <v>122</v>
      </c>
      <c r="B1524" t="s">
        <v>122</v>
      </c>
      <c r="C1524" t="s">
        <v>123</v>
      </c>
      <c r="D1524" t="s">
        <v>101</v>
      </c>
      <c r="E1524" t="s">
        <v>99</v>
      </c>
      <c r="F1524" t="s">
        <v>12</v>
      </c>
      <c r="G1524">
        <v>1</v>
      </c>
      <c r="H1524">
        <v>130</v>
      </c>
      <c r="I1524">
        <v>0.89655172413793105</v>
      </c>
      <c r="J1524" s="25">
        <f t="shared" si="86"/>
        <v>0.89655172413793105</v>
      </c>
      <c r="K1524">
        <v>1347</v>
      </c>
      <c r="L1524">
        <v>10</v>
      </c>
      <c r="M1524">
        <v>7.3691967575534199E-3</v>
      </c>
      <c r="N1524" s="25">
        <f t="shared" si="85"/>
        <v>7.3691967575534312E-3</v>
      </c>
      <c r="O1524">
        <v>0.99263080324244601</v>
      </c>
      <c r="P1524" s="25">
        <f t="shared" si="87"/>
        <v>0.99263080324244657</v>
      </c>
      <c r="Q1524">
        <v>15</v>
      </c>
      <c r="R1524" t="s">
        <v>124</v>
      </c>
      <c r="S1524" t="s">
        <v>124</v>
      </c>
      <c r="T1524" t="s">
        <v>124</v>
      </c>
      <c r="U1524" t="s">
        <v>124</v>
      </c>
      <c r="X1524" s="19">
        <f t="shared" si="88"/>
        <v>0.89655172413793105</v>
      </c>
      <c r="Y1524" s="19">
        <f t="shared" si="89"/>
        <v>7.3691967575534312E-3</v>
      </c>
      <c r="Z1524" s="26"/>
    </row>
    <row r="1525" spans="1:26" x14ac:dyDescent="0.35">
      <c r="A1525" t="s">
        <v>122</v>
      </c>
      <c r="B1525" t="s">
        <v>122</v>
      </c>
      <c r="C1525" t="s">
        <v>123</v>
      </c>
      <c r="D1525" t="s">
        <v>101</v>
      </c>
      <c r="E1525" t="s">
        <v>99</v>
      </c>
      <c r="F1525" t="s">
        <v>12</v>
      </c>
      <c r="G1525">
        <v>1</v>
      </c>
      <c r="H1525">
        <v>130</v>
      </c>
      <c r="I1525">
        <v>0.89655172413793105</v>
      </c>
      <c r="J1525" s="25">
        <f t="shared" si="86"/>
        <v>0.89655172413793105</v>
      </c>
      <c r="K1525">
        <v>1347</v>
      </c>
      <c r="L1525">
        <v>10</v>
      </c>
      <c r="M1525">
        <v>7.3691967575534199E-3</v>
      </c>
      <c r="N1525" s="25">
        <f t="shared" si="85"/>
        <v>7.3691967575534312E-3</v>
      </c>
      <c r="O1525">
        <v>0.99263080324244601</v>
      </c>
      <c r="P1525" s="25">
        <f t="shared" si="87"/>
        <v>0.99263080324244657</v>
      </c>
      <c r="Q1525">
        <v>15</v>
      </c>
      <c r="R1525" t="s">
        <v>124</v>
      </c>
      <c r="S1525" t="s">
        <v>124</v>
      </c>
      <c r="T1525" t="s">
        <v>124</v>
      </c>
      <c r="U1525" t="s">
        <v>124</v>
      </c>
      <c r="X1525" s="19">
        <f t="shared" si="88"/>
        <v>0.89655172413793105</v>
      </c>
      <c r="Y1525" s="19">
        <f t="shared" si="89"/>
        <v>7.3691967575534312E-3</v>
      </c>
      <c r="Z1525" s="26"/>
    </row>
    <row r="1526" spans="1:26" x14ac:dyDescent="0.35">
      <c r="A1526" t="s">
        <v>122</v>
      </c>
      <c r="B1526" t="s">
        <v>122</v>
      </c>
      <c r="C1526" t="s">
        <v>123</v>
      </c>
      <c r="D1526" t="s">
        <v>101</v>
      </c>
      <c r="E1526" t="s">
        <v>99</v>
      </c>
      <c r="F1526" t="s">
        <v>12</v>
      </c>
      <c r="G1526">
        <v>1</v>
      </c>
      <c r="H1526">
        <v>130</v>
      </c>
      <c r="I1526">
        <v>0.89655172413793105</v>
      </c>
      <c r="J1526" s="25">
        <f t="shared" si="86"/>
        <v>0.89655172413793105</v>
      </c>
      <c r="K1526">
        <v>1347</v>
      </c>
      <c r="L1526">
        <v>10</v>
      </c>
      <c r="M1526">
        <v>7.3691967575534199E-3</v>
      </c>
      <c r="N1526" s="25">
        <f t="shared" si="85"/>
        <v>7.3691967575534312E-3</v>
      </c>
      <c r="O1526">
        <v>0.99263080324244601</v>
      </c>
      <c r="P1526" s="25">
        <f t="shared" si="87"/>
        <v>0.99263080324244657</v>
      </c>
      <c r="Q1526">
        <v>15</v>
      </c>
      <c r="R1526" t="s">
        <v>124</v>
      </c>
      <c r="S1526" t="s">
        <v>124</v>
      </c>
      <c r="T1526" t="s">
        <v>124</v>
      </c>
      <c r="U1526" t="s">
        <v>124</v>
      </c>
      <c r="X1526" s="19">
        <f t="shared" si="88"/>
        <v>0.89655172413793105</v>
      </c>
      <c r="Y1526" s="19">
        <f t="shared" si="89"/>
        <v>7.3691967575534312E-3</v>
      </c>
      <c r="Z1526" s="26"/>
    </row>
    <row r="1527" spans="1:26" x14ac:dyDescent="0.35">
      <c r="A1527" t="s">
        <v>122</v>
      </c>
      <c r="B1527" t="s">
        <v>122</v>
      </c>
      <c r="C1527" t="s">
        <v>123</v>
      </c>
      <c r="D1527" t="s">
        <v>101</v>
      </c>
      <c r="E1527" t="s">
        <v>99</v>
      </c>
      <c r="F1527" t="s">
        <v>12</v>
      </c>
      <c r="G1527">
        <v>1</v>
      </c>
      <c r="H1527">
        <v>130</v>
      </c>
      <c r="I1527">
        <v>0.89655172413793105</v>
      </c>
      <c r="J1527" s="25">
        <f t="shared" si="86"/>
        <v>0.89655172413793105</v>
      </c>
      <c r="K1527">
        <v>1347</v>
      </c>
      <c r="L1527">
        <v>10</v>
      </c>
      <c r="M1527">
        <v>7.3691967575534199E-3</v>
      </c>
      <c r="N1527" s="25">
        <f t="shared" si="85"/>
        <v>7.3691967575534312E-3</v>
      </c>
      <c r="O1527">
        <v>0.99263080324244601</v>
      </c>
      <c r="P1527" s="25">
        <f t="shared" si="87"/>
        <v>0.99263080324244657</v>
      </c>
      <c r="Q1527">
        <v>15</v>
      </c>
      <c r="R1527" t="s">
        <v>124</v>
      </c>
      <c r="S1527" t="s">
        <v>124</v>
      </c>
      <c r="T1527" t="s">
        <v>124</v>
      </c>
      <c r="U1527" t="s">
        <v>124</v>
      </c>
      <c r="X1527" s="19">
        <f t="shared" si="88"/>
        <v>0.89655172413793105</v>
      </c>
      <c r="Y1527" s="19">
        <f t="shared" si="89"/>
        <v>7.3691967575534312E-3</v>
      </c>
      <c r="Z1527" s="26"/>
    </row>
    <row r="1528" spans="1:26" x14ac:dyDescent="0.35">
      <c r="A1528" t="s">
        <v>122</v>
      </c>
      <c r="B1528" t="s">
        <v>122</v>
      </c>
      <c r="C1528" t="s">
        <v>123</v>
      </c>
      <c r="D1528" t="s">
        <v>101</v>
      </c>
      <c r="E1528" t="s">
        <v>99</v>
      </c>
      <c r="F1528" t="s">
        <v>12</v>
      </c>
      <c r="G1528">
        <v>1</v>
      </c>
      <c r="H1528">
        <v>130</v>
      </c>
      <c r="I1528">
        <v>0.89655172413793105</v>
      </c>
      <c r="J1528" s="25">
        <f t="shared" si="86"/>
        <v>0.89655172413793105</v>
      </c>
      <c r="K1528">
        <v>1347</v>
      </c>
      <c r="L1528">
        <v>10</v>
      </c>
      <c r="M1528">
        <v>7.3691967575534199E-3</v>
      </c>
      <c r="N1528" s="25">
        <f t="shared" si="85"/>
        <v>7.3691967575534312E-3</v>
      </c>
      <c r="O1528">
        <v>0.99263080324244601</v>
      </c>
      <c r="P1528" s="25">
        <f t="shared" si="87"/>
        <v>0.99263080324244657</v>
      </c>
      <c r="Q1528">
        <v>15</v>
      </c>
      <c r="R1528" t="s">
        <v>124</v>
      </c>
      <c r="S1528" t="s">
        <v>124</v>
      </c>
      <c r="T1528" t="s">
        <v>124</v>
      </c>
      <c r="U1528" t="s">
        <v>124</v>
      </c>
      <c r="X1528" s="19">
        <f t="shared" si="88"/>
        <v>0.89655172413793105</v>
      </c>
      <c r="Y1528" s="19">
        <f t="shared" si="89"/>
        <v>7.3691967575534312E-3</v>
      </c>
      <c r="Z1528" s="26"/>
    </row>
    <row r="1529" spans="1:26" x14ac:dyDescent="0.35">
      <c r="A1529" t="s">
        <v>122</v>
      </c>
      <c r="B1529" t="s">
        <v>122</v>
      </c>
      <c r="C1529" t="s">
        <v>123</v>
      </c>
      <c r="D1529" t="s">
        <v>101</v>
      </c>
      <c r="E1529" t="s">
        <v>99</v>
      </c>
      <c r="F1529" t="s">
        <v>12</v>
      </c>
      <c r="G1529">
        <v>1</v>
      </c>
      <c r="H1529">
        <v>130</v>
      </c>
      <c r="I1529">
        <v>0.89655172413793105</v>
      </c>
      <c r="J1529" s="25">
        <f t="shared" si="86"/>
        <v>0.89655172413793105</v>
      </c>
      <c r="K1529">
        <v>1347</v>
      </c>
      <c r="L1529">
        <v>10</v>
      </c>
      <c r="M1529">
        <v>7.3691967575534199E-3</v>
      </c>
      <c r="N1529" s="25">
        <f t="shared" si="85"/>
        <v>7.3691967575534312E-3</v>
      </c>
      <c r="O1529">
        <v>0.99263080324244601</v>
      </c>
      <c r="P1529" s="25">
        <f t="shared" si="87"/>
        <v>0.99263080324244657</v>
      </c>
      <c r="Q1529">
        <v>15</v>
      </c>
      <c r="R1529" t="s">
        <v>124</v>
      </c>
      <c r="S1529" t="s">
        <v>124</v>
      </c>
      <c r="T1529" t="s">
        <v>124</v>
      </c>
      <c r="U1529" t="s">
        <v>124</v>
      </c>
      <c r="X1529" s="19">
        <f t="shared" si="88"/>
        <v>0.89655172413793105</v>
      </c>
      <c r="Y1529" s="19">
        <f t="shared" si="89"/>
        <v>7.3691967575534312E-3</v>
      </c>
      <c r="Z1529" s="26"/>
    </row>
    <row r="1530" spans="1:26" x14ac:dyDescent="0.35">
      <c r="A1530" t="s">
        <v>122</v>
      </c>
      <c r="B1530" t="s">
        <v>122</v>
      </c>
      <c r="C1530" t="s">
        <v>123</v>
      </c>
      <c r="D1530" t="s">
        <v>101</v>
      </c>
      <c r="E1530" t="s">
        <v>99</v>
      </c>
      <c r="F1530" t="s">
        <v>12</v>
      </c>
      <c r="G1530">
        <v>1</v>
      </c>
      <c r="H1530">
        <v>130</v>
      </c>
      <c r="I1530">
        <v>0.89655172413793105</v>
      </c>
      <c r="J1530" s="25">
        <f t="shared" si="86"/>
        <v>0.89655172413793105</v>
      </c>
      <c r="K1530">
        <v>1347</v>
      </c>
      <c r="L1530">
        <v>10</v>
      </c>
      <c r="M1530">
        <v>7.3691967575534199E-3</v>
      </c>
      <c r="N1530" s="25">
        <f t="shared" si="85"/>
        <v>7.3691967575534312E-3</v>
      </c>
      <c r="O1530">
        <v>0.99263080324244601</v>
      </c>
      <c r="P1530" s="25">
        <f t="shared" si="87"/>
        <v>0.99263080324244657</v>
      </c>
      <c r="Q1530">
        <v>15</v>
      </c>
      <c r="R1530" t="s">
        <v>124</v>
      </c>
      <c r="S1530" t="s">
        <v>124</v>
      </c>
      <c r="T1530" t="s">
        <v>124</v>
      </c>
      <c r="U1530" t="s">
        <v>124</v>
      </c>
      <c r="X1530" s="19">
        <f t="shared" si="88"/>
        <v>0.89655172413793105</v>
      </c>
      <c r="Y1530" s="19">
        <f t="shared" si="89"/>
        <v>7.3691967575534312E-3</v>
      </c>
      <c r="Z1530" s="26"/>
    </row>
    <row r="1531" spans="1:26" x14ac:dyDescent="0.35">
      <c r="A1531" t="s">
        <v>122</v>
      </c>
      <c r="B1531" t="s">
        <v>122</v>
      </c>
      <c r="C1531" t="s">
        <v>123</v>
      </c>
      <c r="D1531" t="s">
        <v>101</v>
      </c>
      <c r="E1531" t="s">
        <v>99</v>
      </c>
      <c r="F1531" t="s">
        <v>12</v>
      </c>
      <c r="G1531">
        <v>1</v>
      </c>
      <c r="H1531">
        <v>130</v>
      </c>
      <c r="I1531">
        <v>0.89655172413793105</v>
      </c>
      <c r="J1531" s="25">
        <f t="shared" si="86"/>
        <v>0.89655172413793105</v>
      </c>
      <c r="K1531">
        <v>1347</v>
      </c>
      <c r="L1531">
        <v>10</v>
      </c>
      <c r="M1531">
        <v>7.3691967575534199E-3</v>
      </c>
      <c r="N1531" s="25">
        <f t="shared" si="85"/>
        <v>7.3691967575534312E-3</v>
      </c>
      <c r="O1531">
        <v>0.99263080324244601</v>
      </c>
      <c r="P1531" s="25">
        <f t="shared" si="87"/>
        <v>0.99263080324244657</v>
      </c>
      <c r="Q1531">
        <v>15</v>
      </c>
      <c r="R1531" t="s">
        <v>124</v>
      </c>
      <c r="S1531" t="s">
        <v>124</v>
      </c>
      <c r="T1531" t="s">
        <v>124</v>
      </c>
      <c r="U1531" t="s">
        <v>124</v>
      </c>
      <c r="X1531" s="19">
        <f t="shared" si="88"/>
        <v>0.89655172413793105</v>
      </c>
      <c r="Y1531" s="19">
        <f t="shared" si="89"/>
        <v>7.3691967575534312E-3</v>
      </c>
      <c r="Z1531" s="26"/>
    </row>
    <row r="1532" spans="1:26" x14ac:dyDescent="0.35">
      <c r="A1532" t="s">
        <v>122</v>
      </c>
      <c r="B1532" t="s">
        <v>122</v>
      </c>
      <c r="C1532" t="s">
        <v>123</v>
      </c>
      <c r="D1532" t="s">
        <v>101</v>
      </c>
      <c r="E1532" t="s">
        <v>99</v>
      </c>
      <c r="F1532" t="s">
        <v>12</v>
      </c>
      <c r="G1532">
        <v>1</v>
      </c>
      <c r="H1532">
        <v>130</v>
      </c>
      <c r="I1532">
        <v>0.89655172413793105</v>
      </c>
      <c r="J1532" s="25">
        <f t="shared" si="86"/>
        <v>0.89655172413793105</v>
      </c>
      <c r="K1532">
        <v>1347</v>
      </c>
      <c r="L1532">
        <v>10</v>
      </c>
      <c r="M1532">
        <v>7.3691967575534199E-3</v>
      </c>
      <c r="N1532" s="25">
        <f t="shared" si="85"/>
        <v>7.3691967575534312E-3</v>
      </c>
      <c r="O1532">
        <v>0.99263080324244601</v>
      </c>
      <c r="P1532" s="25">
        <f t="shared" si="87"/>
        <v>0.99263080324244657</v>
      </c>
      <c r="Q1532">
        <v>15</v>
      </c>
      <c r="R1532" t="s">
        <v>124</v>
      </c>
      <c r="S1532" t="s">
        <v>124</v>
      </c>
      <c r="T1532" t="s">
        <v>124</v>
      </c>
      <c r="U1532" t="s">
        <v>124</v>
      </c>
      <c r="X1532" s="19">
        <f t="shared" si="88"/>
        <v>0.89655172413793105</v>
      </c>
      <c r="Y1532" s="19">
        <f t="shared" si="89"/>
        <v>7.3691967575534312E-3</v>
      </c>
      <c r="Z1532" s="26"/>
    </row>
    <row r="1533" spans="1:26" x14ac:dyDescent="0.35">
      <c r="A1533" t="s">
        <v>122</v>
      </c>
      <c r="B1533" t="s">
        <v>122</v>
      </c>
      <c r="C1533" t="s">
        <v>123</v>
      </c>
      <c r="D1533" t="s">
        <v>101</v>
      </c>
      <c r="E1533" t="s">
        <v>99</v>
      </c>
      <c r="F1533" t="s">
        <v>12</v>
      </c>
      <c r="G1533">
        <v>1</v>
      </c>
      <c r="H1533">
        <v>130</v>
      </c>
      <c r="I1533">
        <v>0.89655172413793105</v>
      </c>
      <c r="J1533" s="25">
        <f t="shared" si="86"/>
        <v>0.89655172413793105</v>
      </c>
      <c r="K1533">
        <v>1347</v>
      </c>
      <c r="L1533">
        <v>10</v>
      </c>
      <c r="M1533">
        <v>7.3691967575534199E-3</v>
      </c>
      <c r="N1533" s="25">
        <f t="shared" si="85"/>
        <v>7.3691967575534312E-3</v>
      </c>
      <c r="O1533">
        <v>0.99263080324244601</v>
      </c>
      <c r="P1533" s="25">
        <f t="shared" si="87"/>
        <v>0.99263080324244657</v>
      </c>
      <c r="Q1533">
        <v>15</v>
      </c>
      <c r="R1533" t="s">
        <v>124</v>
      </c>
      <c r="S1533" t="s">
        <v>124</v>
      </c>
      <c r="T1533" t="s">
        <v>124</v>
      </c>
      <c r="U1533" t="s">
        <v>124</v>
      </c>
      <c r="X1533" s="19">
        <f t="shared" si="88"/>
        <v>0.89655172413793105</v>
      </c>
      <c r="Y1533" s="19">
        <f t="shared" si="89"/>
        <v>7.3691967575534312E-3</v>
      </c>
      <c r="Z1533" s="26"/>
    </row>
    <row r="1534" spans="1:26" x14ac:dyDescent="0.35">
      <c r="A1534" t="s">
        <v>122</v>
      </c>
      <c r="B1534" t="s">
        <v>122</v>
      </c>
      <c r="C1534" t="s">
        <v>123</v>
      </c>
      <c r="D1534" t="s">
        <v>101</v>
      </c>
      <c r="E1534" t="s">
        <v>99</v>
      </c>
      <c r="F1534" t="s">
        <v>12</v>
      </c>
      <c r="G1534">
        <v>1</v>
      </c>
      <c r="H1534">
        <v>130</v>
      </c>
      <c r="I1534">
        <v>0.89655172413793105</v>
      </c>
      <c r="J1534" s="25">
        <f t="shared" si="86"/>
        <v>0.89655172413793105</v>
      </c>
      <c r="K1534">
        <v>1347</v>
      </c>
      <c r="L1534">
        <v>10</v>
      </c>
      <c r="M1534">
        <v>7.3691967575534199E-3</v>
      </c>
      <c r="N1534" s="25">
        <f t="shared" si="85"/>
        <v>7.3691967575534312E-3</v>
      </c>
      <c r="O1534">
        <v>0.99263080324244601</v>
      </c>
      <c r="P1534" s="25">
        <f t="shared" si="87"/>
        <v>0.99263080324244657</v>
      </c>
      <c r="Q1534">
        <v>15</v>
      </c>
      <c r="R1534" t="s">
        <v>124</v>
      </c>
      <c r="S1534" t="s">
        <v>124</v>
      </c>
      <c r="T1534" t="s">
        <v>124</v>
      </c>
      <c r="U1534" t="s">
        <v>124</v>
      </c>
      <c r="X1534" s="19">
        <f t="shared" si="88"/>
        <v>0.89655172413793105</v>
      </c>
      <c r="Y1534" s="19">
        <f t="shared" si="89"/>
        <v>7.3691967575534312E-3</v>
      </c>
      <c r="Z1534" s="26"/>
    </row>
    <row r="1535" spans="1:26" x14ac:dyDescent="0.35">
      <c r="A1535" t="s">
        <v>122</v>
      </c>
      <c r="B1535" t="s">
        <v>122</v>
      </c>
      <c r="C1535" t="s">
        <v>123</v>
      </c>
      <c r="D1535" t="s">
        <v>101</v>
      </c>
      <c r="E1535" t="s">
        <v>99</v>
      </c>
      <c r="F1535" t="s">
        <v>12</v>
      </c>
      <c r="G1535">
        <v>1</v>
      </c>
      <c r="H1535">
        <v>130</v>
      </c>
      <c r="I1535">
        <v>0.89655172413793105</v>
      </c>
      <c r="J1535" s="25">
        <f t="shared" si="86"/>
        <v>0.89655172413793105</v>
      </c>
      <c r="K1535">
        <v>1347</v>
      </c>
      <c r="L1535">
        <v>10</v>
      </c>
      <c r="M1535">
        <v>7.3691967575534199E-3</v>
      </c>
      <c r="N1535" s="25">
        <f t="shared" si="85"/>
        <v>7.3691967575534312E-3</v>
      </c>
      <c r="O1535">
        <v>0.99263080324244601</v>
      </c>
      <c r="P1535" s="25">
        <f t="shared" si="87"/>
        <v>0.99263080324244657</v>
      </c>
      <c r="Q1535">
        <v>15</v>
      </c>
      <c r="R1535" t="s">
        <v>124</v>
      </c>
      <c r="S1535" t="s">
        <v>124</v>
      </c>
      <c r="T1535" t="s">
        <v>124</v>
      </c>
      <c r="U1535" t="s">
        <v>124</v>
      </c>
      <c r="X1535" s="19">
        <f t="shared" si="88"/>
        <v>0.89655172413793105</v>
      </c>
      <c r="Y1535" s="19">
        <f t="shared" si="89"/>
        <v>7.3691967575534312E-3</v>
      </c>
      <c r="Z1535" s="26"/>
    </row>
    <row r="1536" spans="1:26" x14ac:dyDescent="0.35">
      <c r="A1536" t="s">
        <v>122</v>
      </c>
      <c r="B1536" t="s">
        <v>122</v>
      </c>
      <c r="C1536" t="s">
        <v>123</v>
      </c>
      <c r="D1536" t="s">
        <v>101</v>
      </c>
      <c r="E1536" t="s">
        <v>99</v>
      </c>
      <c r="F1536" t="s">
        <v>12</v>
      </c>
      <c r="G1536">
        <v>1</v>
      </c>
      <c r="H1536">
        <v>130</v>
      </c>
      <c r="I1536">
        <v>0.89655172413793105</v>
      </c>
      <c r="J1536" s="25">
        <f t="shared" si="86"/>
        <v>0.89655172413793105</v>
      </c>
      <c r="K1536">
        <v>1347</v>
      </c>
      <c r="L1536">
        <v>10</v>
      </c>
      <c r="M1536">
        <v>7.3691967575534199E-3</v>
      </c>
      <c r="N1536" s="25">
        <f t="shared" si="85"/>
        <v>7.3691967575534312E-3</v>
      </c>
      <c r="O1536">
        <v>0.99263080324244601</v>
      </c>
      <c r="P1536" s="25">
        <f t="shared" si="87"/>
        <v>0.99263080324244657</v>
      </c>
      <c r="Q1536">
        <v>15</v>
      </c>
      <c r="R1536" t="s">
        <v>124</v>
      </c>
      <c r="S1536" t="s">
        <v>124</v>
      </c>
      <c r="T1536" t="s">
        <v>124</v>
      </c>
      <c r="U1536" t="s">
        <v>124</v>
      </c>
      <c r="X1536" s="19">
        <f t="shared" si="88"/>
        <v>0.89655172413793105</v>
      </c>
      <c r="Y1536" s="19">
        <f t="shared" si="89"/>
        <v>7.3691967575534312E-3</v>
      </c>
      <c r="Z1536" s="26"/>
    </row>
    <row r="1537" spans="1:26" x14ac:dyDescent="0.35">
      <c r="A1537" t="s">
        <v>122</v>
      </c>
      <c r="B1537" t="s">
        <v>122</v>
      </c>
      <c r="C1537" t="s">
        <v>123</v>
      </c>
      <c r="D1537" t="s">
        <v>101</v>
      </c>
      <c r="E1537" t="s">
        <v>99</v>
      </c>
      <c r="F1537" t="s">
        <v>12</v>
      </c>
      <c r="G1537">
        <v>1</v>
      </c>
      <c r="H1537">
        <v>130</v>
      </c>
      <c r="I1537">
        <v>0.89655172413793105</v>
      </c>
      <c r="J1537" s="25">
        <f t="shared" si="86"/>
        <v>0.89655172413793105</v>
      </c>
      <c r="K1537">
        <v>1347</v>
      </c>
      <c r="L1537">
        <v>10</v>
      </c>
      <c r="M1537">
        <v>7.3691967575534199E-3</v>
      </c>
      <c r="N1537" s="25">
        <f t="shared" si="85"/>
        <v>7.3691967575534312E-3</v>
      </c>
      <c r="O1537">
        <v>0.99263080324244601</v>
      </c>
      <c r="P1537" s="25">
        <f t="shared" si="87"/>
        <v>0.99263080324244657</v>
      </c>
      <c r="Q1537">
        <v>15</v>
      </c>
      <c r="R1537" t="s">
        <v>124</v>
      </c>
      <c r="S1537" t="s">
        <v>124</v>
      </c>
      <c r="T1537" t="s">
        <v>124</v>
      </c>
      <c r="U1537" t="s">
        <v>124</v>
      </c>
      <c r="X1537" s="19">
        <f t="shared" si="88"/>
        <v>0.89655172413793105</v>
      </c>
      <c r="Y1537" s="19">
        <f t="shared" si="89"/>
        <v>7.3691967575534312E-3</v>
      </c>
      <c r="Z1537" s="26"/>
    </row>
    <row r="1538" spans="1:26" x14ac:dyDescent="0.35">
      <c r="A1538" t="s">
        <v>122</v>
      </c>
      <c r="B1538" t="s">
        <v>122</v>
      </c>
      <c r="C1538" t="s">
        <v>123</v>
      </c>
      <c r="D1538" t="s">
        <v>101</v>
      </c>
      <c r="E1538" t="s">
        <v>99</v>
      </c>
      <c r="F1538" t="s">
        <v>12</v>
      </c>
      <c r="G1538">
        <v>1</v>
      </c>
      <c r="H1538">
        <v>130</v>
      </c>
      <c r="I1538">
        <v>0.89655172413793105</v>
      </c>
      <c r="J1538" s="25">
        <f t="shared" si="86"/>
        <v>0.89655172413793105</v>
      </c>
      <c r="K1538">
        <v>1347</v>
      </c>
      <c r="L1538">
        <v>10</v>
      </c>
      <c r="M1538">
        <v>7.3691967575534199E-3</v>
      </c>
      <c r="N1538" s="25">
        <f t="shared" ref="N1538:N1601" si="90">1-P1538</f>
        <v>7.3691967575534312E-3</v>
      </c>
      <c r="O1538">
        <v>0.99263080324244601</v>
      </c>
      <c r="P1538" s="25">
        <f t="shared" si="87"/>
        <v>0.99263080324244657</v>
      </c>
      <c r="Q1538">
        <v>15</v>
      </c>
      <c r="R1538" t="s">
        <v>124</v>
      </c>
      <c r="S1538" t="s">
        <v>124</v>
      </c>
      <c r="T1538" t="s">
        <v>124</v>
      </c>
      <c r="U1538" t="s">
        <v>124</v>
      </c>
      <c r="X1538" s="19">
        <f t="shared" si="88"/>
        <v>0.89655172413793105</v>
      </c>
      <c r="Y1538" s="19">
        <f t="shared" si="89"/>
        <v>7.3691967575534312E-3</v>
      </c>
      <c r="Z1538" s="26"/>
    </row>
    <row r="1539" spans="1:26" x14ac:dyDescent="0.35">
      <c r="A1539" t="s">
        <v>122</v>
      </c>
      <c r="B1539" t="s">
        <v>122</v>
      </c>
      <c r="C1539" t="s">
        <v>123</v>
      </c>
      <c r="D1539" t="s">
        <v>101</v>
      </c>
      <c r="E1539" t="s">
        <v>99</v>
      </c>
      <c r="F1539" t="s">
        <v>12</v>
      </c>
      <c r="G1539">
        <v>1</v>
      </c>
      <c r="H1539">
        <v>130</v>
      </c>
      <c r="I1539">
        <v>0.89655172413793105</v>
      </c>
      <c r="J1539" s="25">
        <f t="shared" ref="J1539:J1602" si="91">H1539/(H1539+Q1539)</f>
        <v>0.89655172413793105</v>
      </c>
      <c r="K1539">
        <v>1347</v>
      </c>
      <c r="L1539">
        <v>10</v>
      </c>
      <c r="M1539">
        <v>7.3691967575534199E-3</v>
      </c>
      <c r="N1539" s="25">
        <f t="shared" si="90"/>
        <v>7.3691967575534312E-3</v>
      </c>
      <c r="O1539">
        <v>0.99263080324244601</v>
      </c>
      <c r="P1539" s="25">
        <f t="shared" ref="P1539:P1602" si="92">K1539/(K1539+L1539)</f>
        <v>0.99263080324244657</v>
      </c>
      <c r="Q1539">
        <v>15</v>
      </c>
      <c r="R1539" t="s">
        <v>124</v>
      </c>
      <c r="S1539" t="s">
        <v>124</v>
      </c>
      <c r="T1539" t="s">
        <v>124</v>
      </c>
      <c r="U1539" t="s">
        <v>124</v>
      </c>
      <c r="X1539" s="19">
        <f t="shared" si="88"/>
        <v>0.89655172413793105</v>
      </c>
      <c r="Y1539" s="19">
        <f t="shared" si="89"/>
        <v>7.3691967575534312E-3</v>
      </c>
      <c r="Z1539" s="26"/>
    </row>
    <row r="1540" spans="1:26" x14ac:dyDescent="0.35">
      <c r="A1540" t="s">
        <v>122</v>
      </c>
      <c r="B1540" t="s">
        <v>122</v>
      </c>
      <c r="C1540" t="s">
        <v>123</v>
      </c>
      <c r="D1540" t="s">
        <v>101</v>
      </c>
      <c r="E1540" t="s">
        <v>99</v>
      </c>
      <c r="F1540" t="s">
        <v>12</v>
      </c>
      <c r="G1540">
        <v>1</v>
      </c>
      <c r="H1540">
        <v>130</v>
      </c>
      <c r="I1540">
        <v>0.89655172413793105</v>
      </c>
      <c r="J1540" s="25">
        <f t="shared" si="91"/>
        <v>0.89655172413793105</v>
      </c>
      <c r="K1540">
        <v>1347</v>
      </c>
      <c r="L1540">
        <v>10</v>
      </c>
      <c r="M1540">
        <v>7.3691967575534199E-3</v>
      </c>
      <c r="N1540" s="25">
        <f t="shared" si="90"/>
        <v>7.3691967575534312E-3</v>
      </c>
      <c r="O1540">
        <v>0.99263080324244601</v>
      </c>
      <c r="P1540" s="25">
        <f t="shared" si="92"/>
        <v>0.99263080324244657</v>
      </c>
      <c r="Q1540">
        <v>15</v>
      </c>
      <c r="R1540" t="s">
        <v>124</v>
      </c>
      <c r="S1540" t="s">
        <v>124</v>
      </c>
      <c r="T1540" t="s">
        <v>124</v>
      </c>
      <c r="U1540" t="s">
        <v>124</v>
      </c>
      <c r="X1540" s="19">
        <f t="shared" si="88"/>
        <v>0.89655172413793105</v>
      </c>
      <c r="Y1540" s="19">
        <f t="shared" si="89"/>
        <v>7.3691967575534312E-3</v>
      </c>
      <c r="Z1540" s="26"/>
    </row>
    <row r="1541" spans="1:26" x14ac:dyDescent="0.35">
      <c r="A1541" t="s">
        <v>122</v>
      </c>
      <c r="B1541" t="s">
        <v>122</v>
      </c>
      <c r="C1541" t="s">
        <v>123</v>
      </c>
      <c r="D1541" t="s">
        <v>101</v>
      </c>
      <c r="E1541" t="s">
        <v>99</v>
      </c>
      <c r="F1541" t="s">
        <v>12</v>
      </c>
      <c r="G1541">
        <v>1</v>
      </c>
      <c r="H1541">
        <v>130</v>
      </c>
      <c r="I1541">
        <v>0.89655172413793105</v>
      </c>
      <c r="J1541" s="25">
        <f t="shared" si="91"/>
        <v>0.89655172413793105</v>
      </c>
      <c r="K1541">
        <v>1347</v>
      </c>
      <c r="L1541">
        <v>10</v>
      </c>
      <c r="M1541">
        <v>7.3691967575534199E-3</v>
      </c>
      <c r="N1541" s="25">
        <f t="shared" si="90"/>
        <v>7.3691967575534312E-3</v>
      </c>
      <c r="O1541">
        <v>0.99263080324244601</v>
      </c>
      <c r="P1541" s="25">
        <f t="shared" si="92"/>
        <v>0.99263080324244657</v>
      </c>
      <c r="Q1541">
        <v>15</v>
      </c>
      <c r="R1541" t="s">
        <v>124</v>
      </c>
      <c r="S1541" t="s">
        <v>124</v>
      </c>
      <c r="T1541" t="s">
        <v>124</v>
      </c>
      <c r="U1541" t="s">
        <v>124</v>
      </c>
      <c r="X1541" s="19">
        <f t="shared" si="88"/>
        <v>0.89655172413793105</v>
      </c>
      <c r="Y1541" s="19">
        <f t="shared" si="89"/>
        <v>7.3691967575534312E-3</v>
      </c>
      <c r="Z1541" s="26"/>
    </row>
    <row r="1542" spans="1:26" x14ac:dyDescent="0.35">
      <c r="A1542" t="s">
        <v>122</v>
      </c>
      <c r="B1542" t="s">
        <v>122</v>
      </c>
      <c r="C1542" t="s">
        <v>123</v>
      </c>
      <c r="D1542" t="s">
        <v>101</v>
      </c>
      <c r="E1542" t="s">
        <v>99</v>
      </c>
      <c r="F1542" t="s">
        <v>12</v>
      </c>
      <c r="G1542">
        <v>1</v>
      </c>
      <c r="H1542">
        <v>130</v>
      </c>
      <c r="I1542">
        <v>0.89655172413793105</v>
      </c>
      <c r="J1542" s="25">
        <f t="shared" si="91"/>
        <v>0.89655172413793105</v>
      </c>
      <c r="K1542">
        <v>1347</v>
      </c>
      <c r="L1542">
        <v>10</v>
      </c>
      <c r="M1542">
        <v>7.3691967575534199E-3</v>
      </c>
      <c r="N1542" s="25">
        <f t="shared" si="90"/>
        <v>7.3691967575534312E-3</v>
      </c>
      <c r="O1542">
        <v>0.99263080324244601</v>
      </c>
      <c r="P1542" s="25">
        <f t="shared" si="92"/>
        <v>0.99263080324244657</v>
      </c>
      <c r="Q1542">
        <v>15</v>
      </c>
      <c r="R1542" t="s">
        <v>124</v>
      </c>
      <c r="S1542" t="s">
        <v>124</v>
      </c>
      <c r="T1542" t="s">
        <v>124</v>
      </c>
      <c r="U1542" t="s">
        <v>124</v>
      </c>
      <c r="X1542" s="19">
        <f t="shared" si="88"/>
        <v>0.89655172413793105</v>
      </c>
      <c r="Y1542" s="19">
        <f t="shared" si="89"/>
        <v>7.3691967575534312E-3</v>
      </c>
      <c r="Z1542" s="26"/>
    </row>
    <row r="1543" spans="1:26" x14ac:dyDescent="0.35">
      <c r="A1543" t="s">
        <v>122</v>
      </c>
      <c r="B1543" t="s">
        <v>122</v>
      </c>
      <c r="C1543" t="s">
        <v>123</v>
      </c>
      <c r="D1543" t="s">
        <v>101</v>
      </c>
      <c r="E1543" t="s">
        <v>99</v>
      </c>
      <c r="F1543" t="s">
        <v>12</v>
      </c>
      <c r="G1543">
        <v>1</v>
      </c>
      <c r="H1543">
        <v>130</v>
      </c>
      <c r="I1543">
        <v>0.89655172413793105</v>
      </c>
      <c r="J1543" s="25">
        <f t="shared" si="91"/>
        <v>0.89655172413793105</v>
      </c>
      <c r="K1543">
        <v>1347</v>
      </c>
      <c r="L1543">
        <v>10</v>
      </c>
      <c r="M1543">
        <v>7.3691967575534199E-3</v>
      </c>
      <c r="N1543" s="25">
        <f t="shared" si="90"/>
        <v>7.3691967575534312E-3</v>
      </c>
      <c r="O1543">
        <v>0.99263080324244601</v>
      </c>
      <c r="P1543" s="25">
        <f t="shared" si="92"/>
        <v>0.99263080324244657</v>
      </c>
      <c r="Q1543">
        <v>15</v>
      </c>
      <c r="R1543" t="s">
        <v>124</v>
      </c>
      <c r="S1543" t="s">
        <v>124</v>
      </c>
      <c r="T1543" t="s">
        <v>124</v>
      </c>
      <c r="U1543" t="s">
        <v>124</v>
      </c>
      <c r="X1543" s="19">
        <f t="shared" si="88"/>
        <v>0.89655172413793105</v>
      </c>
      <c r="Y1543" s="19">
        <f t="shared" si="89"/>
        <v>7.3691967575534312E-3</v>
      </c>
      <c r="Z1543" s="26"/>
    </row>
    <row r="1544" spans="1:26" x14ac:dyDescent="0.35">
      <c r="A1544" t="s">
        <v>122</v>
      </c>
      <c r="B1544" t="s">
        <v>122</v>
      </c>
      <c r="C1544" t="s">
        <v>123</v>
      </c>
      <c r="D1544" t="s">
        <v>101</v>
      </c>
      <c r="E1544" t="s">
        <v>99</v>
      </c>
      <c r="F1544" t="s">
        <v>12</v>
      </c>
      <c r="G1544">
        <v>1</v>
      </c>
      <c r="H1544">
        <v>130</v>
      </c>
      <c r="I1544">
        <v>0.89655172413793105</v>
      </c>
      <c r="J1544" s="25">
        <f t="shared" si="91"/>
        <v>0.89655172413793105</v>
      </c>
      <c r="K1544">
        <v>1347</v>
      </c>
      <c r="L1544">
        <v>10</v>
      </c>
      <c r="M1544">
        <v>7.3691967575534199E-3</v>
      </c>
      <c r="N1544" s="25">
        <f t="shared" si="90"/>
        <v>7.3691967575534312E-3</v>
      </c>
      <c r="O1544">
        <v>0.99263080324244601</v>
      </c>
      <c r="P1544" s="25">
        <f t="shared" si="92"/>
        <v>0.99263080324244657</v>
      </c>
      <c r="Q1544">
        <v>15</v>
      </c>
      <c r="R1544" t="s">
        <v>124</v>
      </c>
      <c r="S1544" t="s">
        <v>124</v>
      </c>
      <c r="T1544" t="s">
        <v>124</v>
      </c>
      <c r="U1544" t="s">
        <v>124</v>
      </c>
      <c r="X1544" s="19">
        <f t="shared" si="88"/>
        <v>0.89655172413793105</v>
      </c>
      <c r="Y1544" s="19">
        <f t="shared" si="89"/>
        <v>7.3691967575534312E-3</v>
      </c>
      <c r="Z1544" s="26"/>
    </row>
    <row r="1545" spans="1:26" x14ac:dyDescent="0.35">
      <c r="A1545" t="s">
        <v>122</v>
      </c>
      <c r="B1545" t="s">
        <v>122</v>
      </c>
      <c r="C1545" t="s">
        <v>123</v>
      </c>
      <c r="D1545" t="s">
        <v>101</v>
      </c>
      <c r="E1545" t="s">
        <v>99</v>
      </c>
      <c r="F1545" t="s">
        <v>12</v>
      </c>
      <c r="G1545">
        <v>1</v>
      </c>
      <c r="H1545">
        <v>130</v>
      </c>
      <c r="I1545">
        <v>0.89655172413793105</v>
      </c>
      <c r="J1545" s="25">
        <f t="shared" si="91"/>
        <v>0.89655172413793105</v>
      </c>
      <c r="K1545">
        <v>1347</v>
      </c>
      <c r="L1545">
        <v>10</v>
      </c>
      <c r="M1545">
        <v>7.3691967575534199E-3</v>
      </c>
      <c r="N1545" s="25">
        <f t="shared" si="90"/>
        <v>7.3691967575534312E-3</v>
      </c>
      <c r="O1545">
        <v>0.99263080324244601</v>
      </c>
      <c r="P1545" s="25">
        <f t="shared" si="92"/>
        <v>0.99263080324244657</v>
      </c>
      <c r="Q1545">
        <v>15</v>
      </c>
      <c r="R1545" t="s">
        <v>124</v>
      </c>
      <c r="S1545" t="s">
        <v>124</v>
      </c>
      <c r="T1545" t="s">
        <v>124</v>
      </c>
      <c r="U1545" t="s">
        <v>124</v>
      </c>
      <c r="X1545" s="19">
        <f t="shared" si="88"/>
        <v>0.89655172413793105</v>
      </c>
      <c r="Y1545" s="19">
        <f t="shared" si="89"/>
        <v>7.3691967575534312E-3</v>
      </c>
      <c r="Z1545" s="26"/>
    </row>
    <row r="1546" spans="1:26" x14ac:dyDescent="0.35">
      <c r="A1546" t="s">
        <v>122</v>
      </c>
      <c r="B1546" t="s">
        <v>122</v>
      </c>
      <c r="C1546" t="s">
        <v>123</v>
      </c>
      <c r="D1546" t="s">
        <v>101</v>
      </c>
      <c r="E1546" t="s">
        <v>99</v>
      </c>
      <c r="F1546" t="s">
        <v>12</v>
      </c>
      <c r="G1546">
        <v>1</v>
      </c>
      <c r="H1546">
        <v>130</v>
      </c>
      <c r="I1546">
        <v>0.89655172413793105</v>
      </c>
      <c r="J1546" s="25">
        <f t="shared" si="91"/>
        <v>0.89655172413793105</v>
      </c>
      <c r="K1546">
        <v>1347</v>
      </c>
      <c r="L1546">
        <v>10</v>
      </c>
      <c r="M1546">
        <v>7.3691967575534199E-3</v>
      </c>
      <c r="N1546" s="25">
        <f t="shared" si="90"/>
        <v>7.3691967575534312E-3</v>
      </c>
      <c r="O1546">
        <v>0.99263080324244601</v>
      </c>
      <c r="P1546" s="25">
        <f t="shared" si="92"/>
        <v>0.99263080324244657</v>
      </c>
      <c r="Q1546">
        <v>15</v>
      </c>
      <c r="R1546" t="s">
        <v>124</v>
      </c>
      <c r="S1546" t="s">
        <v>124</v>
      </c>
      <c r="T1546" t="s">
        <v>124</v>
      </c>
      <c r="U1546" t="s">
        <v>124</v>
      </c>
      <c r="X1546" s="19">
        <f t="shared" si="88"/>
        <v>0.89655172413793105</v>
      </c>
      <c r="Y1546" s="19">
        <f t="shared" si="89"/>
        <v>7.3691967575534312E-3</v>
      </c>
      <c r="Z1546" s="26"/>
    </row>
    <row r="1547" spans="1:26" x14ac:dyDescent="0.35">
      <c r="A1547" t="s">
        <v>122</v>
      </c>
      <c r="B1547" t="s">
        <v>122</v>
      </c>
      <c r="C1547" t="s">
        <v>123</v>
      </c>
      <c r="D1547" t="s">
        <v>101</v>
      </c>
      <c r="E1547" t="s">
        <v>99</v>
      </c>
      <c r="F1547" t="s">
        <v>12</v>
      </c>
      <c r="G1547">
        <v>1</v>
      </c>
      <c r="H1547">
        <v>130</v>
      </c>
      <c r="I1547">
        <v>0.89655172413793105</v>
      </c>
      <c r="J1547" s="25">
        <f t="shared" si="91"/>
        <v>0.89655172413793105</v>
      </c>
      <c r="K1547">
        <v>1347</v>
      </c>
      <c r="L1547">
        <v>10</v>
      </c>
      <c r="M1547">
        <v>7.3691967575534199E-3</v>
      </c>
      <c r="N1547" s="25">
        <f t="shared" si="90"/>
        <v>7.3691967575534312E-3</v>
      </c>
      <c r="O1547">
        <v>0.99263080324244601</v>
      </c>
      <c r="P1547" s="25">
        <f t="shared" si="92"/>
        <v>0.99263080324244657</v>
      </c>
      <c r="Q1547">
        <v>15</v>
      </c>
      <c r="R1547" t="s">
        <v>124</v>
      </c>
      <c r="S1547" t="s">
        <v>124</v>
      </c>
      <c r="T1547" t="s">
        <v>124</v>
      </c>
      <c r="U1547" t="s">
        <v>124</v>
      </c>
      <c r="X1547" s="19">
        <f t="shared" si="88"/>
        <v>0.89655172413793105</v>
      </c>
      <c r="Y1547" s="19">
        <f t="shared" si="89"/>
        <v>7.3691967575534312E-3</v>
      </c>
      <c r="Z1547" s="26"/>
    </row>
    <row r="1548" spans="1:26" x14ac:dyDescent="0.35">
      <c r="A1548" t="s">
        <v>122</v>
      </c>
      <c r="B1548" t="s">
        <v>122</v>
      </c>
      <c r="C1548" t="s">
        <v>123</v>
      </c>
      <c r="D1548" t="s">
        <v>101</v>
      </c>
      <c r="E1548" t="s">
        <v>99</v>
      </c>
      <c r="F1548" t="s">
        <v>12</v>
      </c>
      <c r="G1548">
        <v>1</v>
      </c>
      <c r="H1548">
        <v>130</v>
      </c>
      <c r="I1548">
        <v>0.89655172413793105</v>
      </c>
      <c r="J1548" s="25">
        <f t="shared" si="91"/>
        <v>0.89655172413793105</v>
      </c>
      <c r="K1548">
        <v>1347</v>
      </c>
      <c r="L1548">
        <v>10</v>
      </c>
      <c r="M1548">
        <v>7.3691967575534199E-3</v>
      </c>
      <c r="N1548" s="25">
        <f t="shared" si="90"/>
        <v>7.3691967575534312E-3</v>
      </c>
      <c r="O1548">
        <v>0.99263080324244601</v>
      </c>
      <c r="P1548" s="25">
        <f t="shared" si="92"/>
        <v>0.99263080324244657</v>
      </c>
      <c r="Q1548">
        <v>15</v>
      </c>
      <c r="R1548" t="s">
        <v>124</v>
      </c>
      <c r="S1548" t="s">
        <v>124</v>
      </c>
      <c r="T1548" t="s">
        <v>124</v>
      </c>
      <c r="U1548" t="s">
        <v>124</v>
      </c>
      <c r="X1548" s="19">
        <f t="shared" si="88"/>
        <v>0.89655172413793105</v>
      </c>
      <c r="Y1548" s="19">
        <f t="shared" si="89"/>
        <v>7.3691967575534312E-3</v>
      </c>
      <c r="Z1548" s="26"/>
    </row>
    <row r="1549" spans="1:26" x14ac:dyDescent="0.35">
      <c r="A1549" t="s">
        <v>122</v>
      </c>
      <c r="B1549" t="s">
        <v>122</v>
      </c>
      <c r="C1549" t="s">
        <v>123</v>
      </c>
      <c r="D1549" t="s">
        <v>101</v>
      </c>
      <c r="E1549" t="s">
        <v>99</v>
      </c>
      <c r="F1549" t="s">
        <v>12</v>
      </c>
      <c r="G1549">
        <v>1</v>
      </c>
      <c r="H1549">
        <v>130</v>
      </c>
      <c r="I1549">
        <v>0.89655172413793105</v>
      </c>
      <c r="J1549" s="25">
        <f t="shared" si="91"/>
        <v>0.89655172413793105</v>
      </c>
      <c r="K1549">
        <v>1347</v>
      </c>
      <c r="L1549">
        <v>10</v>
      </c>
      <c r="M1549">
        <v>7.3691967575534199E-3</v>
      </c>
      <c r="N1549" s="25">
        <f t="shared" si="90"/>
        <v>7.3691967575534312E-3</v>
      </c>
      <c r="O1549">
        <v>0.99263080324244601</v>
      </c>
      <c r="P1549" s="25">
        <f t="shared" si="92"/>
        <v>0.99263080324244657</v>
      </c>
      <c r="Q1549">
        <v>15</v>
      </c>
      <c r="R1549" t="s">
        <v>124</v>
      </c>
      <c r="S1549" t="s">
        <v>124</v>
      </c>
      <c r="T1549" t="s">
        <v>124</v>
      </c>
      <c r="U1549" t="s">
        <v>124</v>
      </c>
      <c r="X1549" s="19">
        <f t="shared" si="88"/>
        <v>0.89655172413793105</v>
      </c>
      <c r="Y1549" s="19">
        <f t="shared" si="89"/>
        <v>7.3691967575534312E-3</v>
      </c>
      <c r="Z1549" s="26"/>
    </row>
    <row r="1550" spans="1:26" x14ac:dyDescent="0.35">
      <c r="A1550" t="s">
        <v>122</v>
      </c>
      <c r="B1550" t="s">
        <v>122</v>
      </c>
      <c r="C1550" t="s">
        <v>123</v>
      </c>
      <c r="D1550" t="s">
        <v>101</v>
      </c>
      <c r="E1550" t="s">
        <v>99</v>
      </c>
      <c r="F1550" t="s">
        <v>12</v>
      </c>
      <c r="G1550">
        <v>1</v>
      </c>
      <c r="H1550">
        <v>130</v>
      </c>
      <c r="I1550">
        <v>0.89655172413793105</v>
      </c>
      <c r="J1550" s="25">
        <f t="shared" si="91"/>
        <v>0.89655172413793105</v>
      </c>
      <c r="K1550">
        <v>1347</v>
      </c>
      <c r="L1550">
        <v>10</v>
      </c>
      <c r="M1550">
        <v>7.3691967575534199E-3</v>
      </c>
      <c r="N1550" s="25">
        <f t="shared" si="90"/>
        <v>7.3691967575534312E-3</v>
      </c>
      <c r="O1550">
        <v>0.99263080324244601</v>
      </c>
      <c r="P1550" s="25">
        <f t="shared" si="92"/>
        <v>0.99263080324244657</v>
      </c>
      <c r="Q1550">
        <v>15</v>
      </c>
      <c r="R1550" t="s">
        <v>124</v>
      </c>
      <c r="S1550" t="s">
        <v>124</v>
      </c>
      <c r="T1550" t="s">
        <v>124</v>
      </c>
      <c r="U1550" t="s">
        <v>124</v>
      </c>
      <c r="X1550" s="19">
        <f t="shared" si="88"/>
        <v>0.89655172413793105</v>
      </c>
      <c r="Y1550" s="19">
        <f t="shared" si="89"/>
        <v>7.3691967575534312E-3</v>
      </c>
      <c r="Z1550" s="26"/>
    </row>
    <row r="1551" spans="1:26" x14ac:dyDescent="0.35">
      <c r="A1551" t="s">
        <v>122</v>
      </c>
      <c r="B1551" t="s">
        <v>122</v>
      </c>
      <c r="C1551" t="s">
        <v>123</v>
      </c>
      <c r="D1551" t="s">
        <v>101</v>
      </c>
      <c r="E1551" t="s">
        <v>99</v>
      </c>
      <c r="F1551" t="s">
        <v>12</v>
      </c>
      <c r="G1551">
        <v>1</v>
      </c>
      <c r="H1551">
        <v>130</v>
      </c>
      <c r="I1551">
        <v>0.89655172413793105</v>
      </c>
      <c r="J1551" s="25">
        <f t="shared" si="91"/>
        <v>0.89655172413793105</v>
      </c>
      <c r="K1551">
        <v>1347</v>
      </c>
      <c r="L1551">
        <v>10</v>
      </c>
      <c r="M1551">
        <v>7.3691967575534199E-3</v>
      </c>
      <c r="N1551" s="25">
        <f t="shared" si="90"/>
        <v>7.3691967575534312E-3</v>
      </c>
      <c r="O1551">
        <v>0.99263080324244601</v>
      </c>
      <c r="P1551" s="25">
        <f t="shared" si="92"/>
        <v>0.99263080324244657</v>
      </c>
      <c r="Q1551">
        <v>15</v>
      </c>
      <c r="R1551" t="s">
        <v>124</v>
      </c>
      <c r="S1551" t="s">
        <v>124</v>
      </c>
      <c r="T1551" t="s">
        <v>124</v>
      </c>
      <c r="U1551" t="s">
        <v>124</v>
      </c>
      <c r="X1551" s="19">
        <f t="shared" si="88"/>
        <v>0.89655172413793105</v>
      </c>
      <c r="Y1551" s="19">
        <f t="shared" si="89"/>
        <v>7.3691967575534312E-3</v>
      </c>
      <c r="Z1551" s="26"/>
    </row>
    <row r="1552" spans="1:26" x14ac:dyDescent="0.35">
      <c r="A1552" t="s">
        <v>122</v>
      </c>
      <c r="B1552" t="s">
        <v>122</v>
      </c>
      <c r="C1552" t="s">
        <v>123</v>
      </c>
      <c r="D1552" t="s">
        <v>101</v>
      </c>
      <c r="E1552" t="s">
        <v>99</v>
      </c>
      <c r="F1552" t="s">
        <v>12</v>
      </c>
      <c r="G1552">
        <v>1</v>
      </c>
      <c r="H1552">
        <v>130</v>
      </c>
      <c r="I1552">
        <v>0.89655172413793105</v>
      </c>
      <c r="J1552" s="25">
        <f t="shared" si="91"/>
        <v>0.89655172413793105</v>
      </c>
      <c r="K1552">
        <v>1347</v>
      </c>
      <c r="L1552">
        <v>10</v>
      </c>
      <c r="M1552">
        <v>7.3691967575534199E-3</v>
      </c>
      <c r="N1552" s="25">
        <f t="shared" si="90"/>
        <v>7.3691967575534312E-3</v>
      </c>
      <c r="O1552">
        <v>0.99263080324244601</v>
      </c>
      <c r="P1552" s="25">
        <f t="shared" si="92"/>
        <v>0.99263080324244657</v>
      </c>
      <c r="Q1552">
        <v>15</v>
      </c>
      <c r="R1552" t="s">
        <v>124</v>
      </c>
      <c r="S1552" t="s">
        <v>124</v>
      </c>
      <c r="T1552" t="s">
        <v>124</v>
      </c>
      <c r="U1552" t="s">
        <v>124</v>
      </c>
      <c r="X1552" s="19">
        <f t="shared" si="88"/>
        <v>0.89655172413793105</v>
      </c>
      <c r="Y1552" s="19">
        <f t="shared" si="89"/>
        <v>7.3691967575534312E-3</v>
      </c>
      <c r="Z1552" s="26"/>
    </row>
    <row r="1553" spans="1:26" x14ac:dyDescent="0.35">
      <c r="A1553" t="s">
        <v>122</v>
      </c>
      <c r="B1553" t="s">
        <v>122</v>
      </c>
      <c r="C1553" t="s">
        <v>123</v>
      </c>
      <c r="D1553" t="s">
        <v>101</v>
      </c>
      <c r="E1553" t="s">
        <v>99</v>
      </c>
      <c r="F1553" t="s">
        <v>12</v>
      </c>
      <c r="G1553">
        <v>1</v>
      </c>
      <c r="H1553">
        <v>130</v>
      </c>
      <c r="I1553">
        <v>0.89655172413793105</v>
      </c>
      <c r="J1553" s="25">
        <f t="shared" si="91"/>
        <v>0.89655172413793105</v>
      </c>
      <c r="K1553">
        <v>1347</v>
      </c>
      <c r="L1553">
        <v>10</v>
      </c>
      <c r="M1553">
        <v>7.3691967575534199E-3</v>
      </c>
      <c r="N1553" s="25">
        <f t="shared" si="90"/>
        <v>7.3691967575534312E-3</v>
      </c>
      <c r="O1553">
        <v>0.99263080324244601</v>
      </c>
      <c r="P1553" s="25">
        <f t="shared" si="92"/>
        <v>0.99263080324244657</v>
      </c>
      <c r="Q1553">
        <v>15</v>
      </c>
      <c r="R1553" t="s">
        <v>124</v>
      </c>
      <c r="S1553" t="s">
        <v>124</v>
      </c>
      <c r="T1553" t="s">
        <v>124</v>
      </c>
      <c r="U1553" t="s">
        <v>124</v>
      </c>
      <c r="X1553" s="19">
        <f t="shared" si="88"/>
        <v>0.89655172413793105</v>
      </c>
      <c r="Y1553" s="19">
        <f t="shared" si="89"/>
        <v>7.3691967575534312E-3</v>
      </c>
      <c r="Z1553" s="26"/>
    </row>
    <row r="1554" spans="1:26" x14ac:dyDescent="0.35">
      <c r="A1554" t="s">
        <v>122</v>
      </c>
      <c r="B1554" t="s">
        <v>122</v>
      </c>
      <c r="C1554" t="s">
        <v>123</v>
      </c>
      <c r="D1554" t="s">
        <v>101</v>
      </c>
      <c r="E1554" t="s">
        <v>99</v>
      </c>
      <c r="F1554" t="s">
        <v>12</v>
      </c>
      <c r="G1554">
        <v>1</v>
      </c>
      <c r="H1554">
        <v>130</v>
      </c>
      <c r="I1554">
        <v>0.89655172413793105</v>
      </c>
      <c r="J1554" s="25">
        <f t="shared" si="91"/>
        <v>0.89655172413793105</v>
      </c>
      <c r="K1554">
        <v>1347</v>
      </c>
      <c r="L1554">
        <v>10</v>
      </c>
      <c r="M1554">
        <v>7.3691967575534199E-3</v>
      </c>
      <c r="N1554" s="25">
        <f t="shared" si="90"/>
        <v>7.3691967575534312E-3</v>
      </c>
      <c r="O1554">
        <v>0.99263080324244601</v>
      </c>
      <c r="P1554" s="25">
        <f t="shared" si="92"/>
        <v>0.99263080324244657</v>
      </c>
      <c r="Q1554">
        <v>15</v>
      </c>
      <c r="R1554" t="s">
        <v>124</v>
      </c>
      <c r="S1554" t="s">
        <v>124</v>
      </c>
      <c r="T1554" t="s">
        <v>124</v>
      </c>
      <c r="U1554" t="s">
        <v>124</v>
      </c>
      <c r="X1554" s="19">
        <f t="shared" si="88"/>
        <v>0.89655172413793105</v>
      </c>
      <c r="Y1554" s="19">
        <f t="shared" si="89"/>
        <v>7.3691967575534312E-3</v>
      </c>
      <c r="Z1554" s="26"/>
    </row>
    <row r="1555" spans="1:26" x14ac:dyDescent="0.35">
      <c r="A1555" t="s">
        <v>122</v>
      </c>
      <c r="B1555" t="s">
        <v>122</v>
      </c>
      <c r="C1555" t="s">
        <v>123</v>
      </c>
      <c r="D1555" t="s">
        <v>101</v>
      </c>
      <c r="E1555" t="s">
        <v>99</v>
      </c>
      <c r="F1555" t="s">
        <v>12</v>
      </c>
      <c r="G1555">
        <v>1</v>
      </c>
      <c r="H1555">
        <v>130</v>
      </c>
      <c r="I1555">
        <v>0.89655172413793105</v>
      </c>
      <c r="J1555" s="25">
        <f t="shared" si="91"/>
        <v>0.89655172413793105</v>
      </c>
      <c r="K1555">
        <v>1347</v>
      </c>
      <c r="L1555">
        <v>10</v>
      </c>
      <c r="M1555">
        <v>7.3691967575534199E-3</v>
      </c>
      <c r="N1555" s="25">
        <f t="shared" si="90"/>
        <v>7.3691967575534312E-3</v>
      </c>
      <c r="O1555">
        <v>0.99263080324244601</v>
      </c>
      <c r="P1555" s="25">
        <f t="shared" si="92"/>
        <v>0.99263080324244657</v>
      </c>
      <c r="Q1555">
        <v>15</v>
      </c>
      <c r="R1555" t="s">
        <v>124</v>
      </c>
      <c r="S1555" t="s">
        <v>124</v>
      </c>
      <c r="T1555" t="s">
        <v>124</v>
      </c>
      <c r="U1555" t="s">
        <v>124</v>
      </c>
      <c r="X1555" s="19">
        <f t="shared" si="88"/>
        <v>0.89655172413793105</v>
      </c>
      <c r="Y1555" s="19">
        <f t="shared" si="89"/>
        <v>7.3691967575534312E-3</v>
      </c>
      <c r="Z1555" s="26"/>
    </row>
    <row r="1556" spans="1:26" x14ac:dyDescent="0.35">
      <c r="A1556" t="s">
        <v>122</v>
      </c>
      <c r="B1556" t="s">
        <v>122</v>
      </c>
      <c r="C1556" t="s">
        <v>123</v>
      </c>
      <c r="D1556" t="s">
        <v>101</v>
      </c>
      <c r="E1556" t="s">
        <v>99</v>
      </c>
      <c r="F1556" t="s">
        <v>12</v>
      </c>
      <c r="G1556">
        <v>1</v>
      </c>
      <c r="H1556">
        <v>130</v>
      </c>
      <c r="I1556">
        <v>0.89655172413793105</v>
      </c>
      <c r="J1556" s="25">
        <f t="shared" si="91"/>
        <v>0.89655172413793105</v>
      </c>
      <c r="K1556">
        <v>1347</v>
      </c>
      <c r="L1556">
        <v>10</v>
      </c>
      <c r="M1556">
        <v>7.3691967575534199E-3</v>
      </c>
      <c r="N1556" s="25">
        <f t="shared" si="90"/>
        <v>7.3691967575534312E-3</v>
      </c>
      <c r="O1556">
        <v>0.99263080324244601</v>
      </c>
      <c r="P1556" s="25">
        <f t="shared" si="92"/>
        <v>0.99263080324244657</v>
      </c>
      <c r="Q1556">
        <v>15</v>
      </c>
      <c r="R1556" t="s">
        <v>124</v>
      </c>
      <c r="S1556" t="s">
        <v>124</v>
      </c>
      <c r="T1556" t="s">
        <v>124</v>
      </c>
      <c r="U1556" t="s">
        <v>124</v>
      </c>
      <c r="X1556" s="19">
        <f t="shared" si="88"/>
        <v>0.89655172413793105</v>
      </c>
      <c r="Y1556" s="19">
        <f t="shared" si="89"/>
        <v>7.3691967575534312E-3</v>
      </c>
      <c r="Z1556" s="26"/>
    </row>
    <row r="1557" spans="1:26" x14ac:dyDescent="0.35">
      <c r="A1557" t="s">
        <v>122</v>
      </c>
      <c r="B1557" t="s">
        <v>122</v>
      </c>
      <c r="C1557" t="s">
        <v>123</v>
      </c>
      <c r="D1557" t="s">
        <v>101</v>
      </c>
      <c r="E1557" t="s">
        <v>99</v>
      </c>
      <c r="F1557" t="s">
        <v>12</v>
      </c>
      <c r="G1557">
        <v>1</v>
      </c>
      <c r="H1557">
        <v>130</v>
      </c>
      <c r="I1557">
        <v>0.89655172413793105</v>
      </c>
      <c r="J1557" s="25">
        <f t="shared" si="91"/>
        <v>0.89655172413793105</v>
      </c>
      <c r="K1557">
        <v>1347</v>
      </c>
      <c r="L1557">
        <v>10</v>
      </c>
      <c r="M1557">
        <v>7.3691967575534199E-3</v>
      </c>
      <c r="N1557" s="25">
        <f t="shared" si="90"/>
        <v>7.3691967575534312E-3</v>
      </c>
      <c r="O1557">
        <v>0.99263080324244601</v>
      </c>
      <c r="P1557" s="25">
        <f t="shared" si="92"/>
        <v>0.99263080324244657</v>
      </c>
      <c r="Q1557">
        <v>15</v>
      </c>
      <c r="R1557" t="s">
        <v>124</v>
      </c>
      <c r="S1557" t="s">
        <v>124</v>
      </c>
      <c r="T1557" t="s">
        <v>124</v>
      </c>
      <c r="U1557" t="s">
        <v>124</v>
      </c>
      <c r="X1557" s="19">
        <f t="shared" si="88"/>
        <v>0.89655172413793105</v>
      </c>
      <c r="Y1557" s="19">
        <f t="shared" si="89"/>
        <v>7.3691967575534312E-3</v>
      </c>
      <c r="Z1557" s="26"/>
    </row>
    <row r="1558" spans="1:26" x14ac:dyDescent="0.35">
      <c r="A1558" t="s">
        <v>122</v>
      </c>
      <c r="B1558" t="s">
        <v>122</v>
      </c>
      <c r="C1558" t="s">
        <v>123</v>
      </c>
      <c r="D1558" t="s">
        <v>101</v>
      </c>
      <c r="E1558" t="s">
        <v>99</v>
      </c>
      <c r="F1558" t="s">
        <v>12</v>
      </c>
      <c r="G1558">
        <v>1</v>
      </c>
      <c r="H1558">
        <v>130</v>
      </c>
      <c r="I1558">
        <v>0.89655172413793105</v>
      </c>
      <c r="J1558" s="25">
        <f t="shared" si="91"/>
        <v>0.89655172413793105</v>
      </c>
      <c r="K1558">
        <v>1347</v>
      </c>
      <c r="L1558">
        <v>10</v>
      </c>
      <c r="M1558">
        <v>7.3691967575534199E-3</v>
      </c>
      <c r="N1558" s="25">
        <f t="shared" si="90"/>
        <v>7.3691967575534312E-3</v>
      </c>
      <c r="O1558">
        <v>0.99263080324244601</v>
      </c>
      <c r="P1558" s="25">
        <f t="shared" si="92"/>
        <v>0.99263080324244657</v>
      </c>
      <c r="Q1558">
        <v>15</v>
      </c>
      <c r="R1558" t="s">
        <v>124</v>
      </c>
      <c r="S1558" t="s">
        <v>124</v>
      </c>
      <c r="T1558" t="s">
        <v>124</v>
      </c>
      <c r="U1558" t="s">
        <v>124</v>
      </c>
      <c r="X1558" s="19">
        <f t="shared" si="88"/>
        <v>0.89655172413793105</v>
      </c>
      <c r="Y1558" s="19">
        <f t="shared" si="89"/>
        <v>7.3691967575534312E-3</v>
      </c>
      <c r="Z1558" s="26"/>
    </row>
    <row r="1559" spans="1:26" x14ac:dyDescent="0.35">
      <c r="A1559" t="s">
        <v>122</v>
      </c>
      <c r="B1559" t="s">
        <v>122</v>
      </c>
      <c r="C1559" t="s">
        <v>123</v>
      </c>
      <c r="D1559" t="s">
        <v>101</v>
      </c>
      <c r="E1559" t="s">
        <v>99</v>
      </c>
      <c r="F1559" t="s">
        <v>12</v>
      </c>
      <c r="G1559">
        <v>1</v>
      </c>
      <c r="H1559">
        <v>130</v>
      </c>
      <c r="I1559">
        <v>0.89655172413793105</v>
      </c>
      <c r="J1559" s="25">
        <f t="shared" si="91"/>
        <v>0.89655172413793105</v>
      </c>
      <c r="K1559">
        <v>1347</v>
      </c>
      <c r="L1559">
        <v>10</v>
      </c>
      <c r="M1559">
        <v>7.3691967575534199E-3</v>
      </c>
      <c r="N1559" s="25">
        <f t="shared" si="90"/>
        <v>7.3691967575534312E-3</v>
      </c>
      <c r="O1559">
        <v>0.99263080324244601</v>
      </c>
      <c r="P1559" s="25">
        <f t="shared" si="92"/>
        <v>0.99263080324244657</v>
      </c>
      <c r="Q1559">
        <v>15</v>
      </c>
      <c r="R1559" t="s">
        <v>124</v>
      </c>
      <c r="S1559" t="s">
        <v>124</v>
      </c>
      <c r="T1559" t="s">
        <v>124</v>
      </c>
      <c r="U1559" t="s">
        <v>124</v>
      </c>
      <c r="X1559" s="19">
        <f t="shared" si="88"/>
        <v>0.89655172413793105</v>
      </c>
      <c r="Y1559" s="19">
        <f t="shared" si="89"/>
        <v>7.3691967575534312E-3</v>
      </c>
      <c r="Z1559" s="26"/>
    </row>
    <row r="1560" spans="1:26" x14ac:dyDescent="0.35">
      <c r="A1560" t="s">
        <v>122</v>
      </c>
      <c r="B1560" t="s">
        <v>122</v>
      </c>
      <c r="C1560" t="s">
        <v>123</v>
      </c>
      <c r="D1560" t="s">
        <v>101</v>
      </c>
      <c r="E1560" t="s">
        <v>99</v>
      </c>
      <c r="F1560" t="s">
        <v>12</v>
      </c>
      <c r="G1560">
        <v>1</v>
      </c>
      <c r="H1560">
        <v>130</v>
      </c>
      <c r="I1560">
        <v>0.89655172413793105</v>
      </c>
      <c r="J1560" s="25">
        <f t="shared" si="91"/>
        <v>0.89655172413793105</v>
      </c>
      <c r="K1560">
        <v>1347</v>
      </c>
      <c r="L1560">
        <v>10</v>
      </c>
      <c r="M1560">
        <v>7.3691967575534199E-3</v>
      </c>
      <c r="N1560" s="25">
        <f t="shared" si="90"/>
        <v>7.3691967575534312E-3</v>
      </c>
      <c r="O1560">
        <v>0.99263080324244601</v>
      </c>
      <c r="P1560" s="25">
        <f t="shared" si="92"/>
        <v>0.99263080324244657</v>
      </c>
      <c r="Q1560">
        <v>15</v>
      </c>
      <c r="R1560" t="s">
        <v>124</v>
      </c>
      <c r="S1560" t="s">
        <v>124</v>
      </c>
      <c r="T1560" t="s">
        <v>124</v>
      </c>
      <c r="U1560" t="s">
        <v>124</v>
      </c>
      <c r="X1560" s="19">
        <f t="shared" si="88"/>
        <v>0.89655172413793105</v>
      </c>
      <c r="Y1560" s="19">
        <f t="shared" si="89"/>
        <v>7.3691967575534312E-3</v>
      </c>
      <c r="Z1560" s="26"/>
    </row>
    <row r="1561" spans="1:26" x14ac:dyDescent="0.35">
      <c r="A1561" t="s">
        <v>122</v>
      </c>
      <c r="B1561" t="s">
        <v>122</v>
      </c>
      <c r="C1561" t="s">
        <v>123</v>
      </c>
      <c r="D1561" t="s">
        <v>101</v>
      </c>
      <c r="E1561" t="s">
        <v>99</v>
      </c>
      <c r="F1561" t="s">
        <v>12</v>
      </c>
      <c r="G1561">
        <v>1</v>
      </c>
      <c r="H1561">
        <v>130</v>
      </c>
      <c r="I1561">
        <v>0.89655172413793105</v>
      </c>
      <c r="J1561" s="25">
        <f t="shared" si="91"/>
        <v>0.89655172413793105</v>
      </c>
      <c r="K1561">
        <v>1347</v>
      </c>
      <c r="L1561">
        <v>10</v>
      </c>
      <c r="M1561">
        <v>7.3691967575534199E-3</v>
      </c>
      <c r="N1561" s="25">
        <f t="shared" si="90"/>
        <v>7.3691967575534312E-3</v>
      </c>
      <c r="O1561">
        <v>0.99263080324244601</v>
      </c>
      <c r="P1561" s="25">
        <f t="shared" si="92"/>
        <v>0.99263080324244657</v>
      </c>
      <c r="Q1561">
        <v>15</v>
      </c>
      <c r="R1561" t="s">
        <v>124</v>
      </c>
      <c r="S1561" t="s">
        <v>124</v>
      </c>
      <c r="T1561" t="s">
        <v>124</v>
      </c>
      <c r="U1561" t="s">
        <v>124</v>
      </c>
      <c r="X1561" s="19">
        <f t="shared" si="88"/>
        <v>0.89655172413793105</v>
      </c>
      <c r="Y1561" s="19">
        <f t="shared" si="89"/>
        <v>7.3691967575534312E-3</v>
      </c>
      <c r="Z1561" s="26"/>
    </row>
    <row r="1562" spans="1:26" x14ac:dyDescent="0.35">
      <c r="A1562" t="s">
        <v>122</v>
      </c>
      <c r="B1562" t="s">
        <v>122</v>
      </c>
      <c r="C1562" t="s">
        <v>123</v>
      </c>
      <c r="D1562" t="s">
        <v>101</v>
      </c>
      <c r="E1562" t="s">
        <v>99</v>
      </c>
      <c r="F1562" t="s">
        <v>12</v>
      </c>
      <c r="G1562">
        <v>1</v>
      </c>
      <c r="H1562">
        <v>130</v>
      </c>
      <c r="I1562">
        <v>0.89655172413793105</v>
      </c>
      <c r="J1562" s="25">
        <f t="shared" si="91"/>
        <v>0.89655172413793105</v>
      </c>
      <c r="K1562">
        <v>1347</v>
      </c>
      <c r="L1562">
        <v>10</v>
      </c>
      <c r="M1562">
        <v>7.3691967575534199E-3</v>
      </c>
      <c r="N1562" s="25">
        <f t="shared" si="90"/>
        <v>7.3691967575534312E-3</v>
      </c>
      <c r="O1562">
        <v>0.99263080324244601</v>
      </c>
      <c r="P1562" s="25">
        <f t="shared" si="92"/>
        <v>0.99263080324244657</v>
      </c>
      <c r="Q1562">
        <v>15</v>
      </c>
      <c r="R1562" t="s">
        <v>124</v>
      </c>
      <c r="S1562" t="s">
        <v>124</v>
      </c>
      <c r="T1562" t="s">
        <v>124</v>
      </c>
      <c r="U1562" t="s">
        <v>124</v>
      </c>
      <c r="X1562" s="19">
        <f t="shared" si="88"/>
        <v>0.89655172413793105</v>
      </c>
      <c r="Y1562" s="19">
        <f t="shared" si="89"/>
        <v>7.3691967575534312E-3</v>
      </c>
      <c r="Z1562" s="26"/>
    </row>
    <row r="1563" spans="1:26" x14ac:dyDescent="0.35">
      <c r="A1563" t="s">
        <v>122</v>
      </c>
      <c r="B1563" t="s">
        <v>122</v>
      </c>
      <c r="C1563" t="s">
        <v>123</v>
      </c>
      <c r="D1563" t="s">
        <v>101</v>
      </c>
      <c r="E1563" t="s">
        <v>99</v>
      </c>
      <c r="F1563" t="s">
        <v>12</v>
      </c>
      <c r="G1563">
        <v>1</v>
      </c>
      <c r="H1563">
        <v>130</v>
      </c>
      <c r="I1563">
        <v>0.89655172413793105</v>
      </c>
      <c r="J1563" s="25">
        <f t="shared" si="91"/>
        <v>0.89655172413793105</v>
      </c>
      <c r="K1563">
        <v>1347</v>
      </c>
      <c r="L1563">
        <v>10</v>
      </c>
      <c r="M1563">
        <v>7.3691967575534199E-3</v>
      </c>
      <c r="N1563" s="25">
        <f t="shared" si="90"/>
        <v>7.3691967575534312E-3</v>
      </c>
      <c r="O1563">
        <v>0.99263080324244601</v>
      </c>
      <c r="P1563" s="25">
        <f t="shared" si="92"/>
        <v>0.99263080324244657</v>
      </c>
      <c r="Q1563">
        <v>15</v>
      </c>
      <c r="R1563" t="s">
        <v>124</v>
      </c>
      <c r="S1563" t="s">
        <v>124</v>
      </c>
      <c r="T1563" t="s">
        <v>124</v>
      </c>
      <c r="U1563" t="s">
        <v>124</v>
      </c>
      <c r="X1563" s="19">
        <f t="shared" si="88"/>
        <v>0.89655172413793105</v>
      </c>
      <c r="Y1563" s="19">
        <f t="shared" si="89"/>
        <v>7.3691967575534312E-3</v>
      </c>
      <c r="Z1563" s="26"/>
    </row>
    <row r="1564" spans="1:26" x14ac:dyDescent="0.35">
      <c r="A1564" t="s">
        <v>122</v>
      </c>
      <c r="B1564" t="s">
        <v>122</v>
      </c>
      <c r="C1564" t="s">
        <v>123</v>
      </c>
      <c r="D1564" t="s">
        <v>101</v>
      </c>
      <c r="E1564" t="s">
        <v>99</v>
      </c>
      <c r="F1564" t="s">
        <v>12</v>
      </c>
      <c r="G1564">
        <v>1</v>
      </c>
      <c r="H1564">
        <v>130</v>
      </c>
      <c r="I1564">
        <v>0.89655172413793105</v>
      </c>
      <c r="J1564" s="25">
        <f t="shared" si="91"/>
        <v>0.89655172413793105</v>
      </c>
      <c r="K1564">
        <v>1347</v>
      </c>
      <c r="L1564">
        <v>10</v>
      </c>
      <c r="M1564">
        <v>7.3691967575534199E-3</v>
      </c>
      <c r="N1564" s="25">
        <f t="shared" si="90"/>
        <v>7.3691967575534312E-3</v>
      </c>
      <c r="O1564">
        <v>0.99263080324244601</v>
      </c>
      <c r="P1564" s="25">
        <f t="shared" si="92"/>
        <v>0.99263080324244657</v>
      </c>
      <c r="Q1564">
        <v>15</v>
      </c>
      <c r="R1564" t="s">
        <v>124</v>
      </c>
      <c r="S1564" t="s">
        <v>124</v>
      </c>
      <c r="T1564" t="s">
        <v>124</v>
      </c>
      <c r="U1564" t="s">
        <v>124</v>
      </c>
      <c r="X1564" s="19">
        <f t="shared" si="88"/>
        <v>0.89655172413793105</v>
      </c>
      <c r="Y1564" s="19">
        <f t="shared" si="89"/>
        <v>7.3691967575534312E-3</v>
      </c>
      <c r="Z1564" s="26"/>
    </row>
    <row r="1565" spans="1:26" x14ac:dyDescent="0.35">
      <c r="A1565" t="s">
        <v>122</v>
      </c>
      <c r="B1565" t="s">
        <v>122</v>
      </c>
      <c r="C1565" t="s">
        <v>123</v>
      </c>
      <c r="D1565" t="s">
        <v>101</v>
      </c>
      <c r="E1565" t="s">
        <v>99</v>
      </c>
      <c r="F1565" t="s">
        <v>12</v>
      </c>
      <c r="G1565">
        <v>1</v>
      </c>
      <c r="H1565">
        <v>130</v>
      </c>
      <c r="I1565">
        <v>0.89655172413793105</v>
      </c>
      <c r="J1565" s="25">
        <f t="shared" si="91"/>
        <v>0.89655172413793105</v>
      </c>
      <c r="K1565">
        <v>1347</v>
      </c>
      <c r="L1565">
        <v>10</v>
      </c>
      <c r="M1565">
        <v>7.3691967575534199E-3</v>
      </c>
      <c r="N1565" s="25">
        <f t="shared" si="90"/>
        <v>7.3691967575534312E-3</v>
      </c>
      <c r="O1565">
        <v>0.99263080324244601</v>
      </c>
      <c r="P1565" s="25">
        <f t="shared" si="92"/>
        <v>0.99263080324244657</v>
      </c>
      <c r="Q1565">
        <v>15</v>
      </c>
      <c r="R1565" t="s">
        <v>124</v>
      </c>
      <c r="S1565" t="s">
        <v>124</v>
      </c>
      <c r="T1565" t="s">
        <v>124</v>
      </c>
      <c r="U1565" t="s">
        <v>124</v>
      </c>
      <c r="X1565" s="19">
        <f t="shared" si="88"/>
        <v>0.89655172413793105</v>
      </c>
      <c r="Y1565" s="19">
        <f t="shared" si="89"/>
        <v>7.3691967575534312E-3</v>
      </c>
      <c r="Z1565" s="26"/>
    </row>
    <row r="1566" spans="1:26" x14ac:dyDescent="0.35">
      <c r="A1566" t="s">
        <v>122</v>
      </c>
      <c r="B1566" t="s">
        <v>122</v>
      </c>
      <c r="C1566" t="s">
        <v>123</v>
      </c>
      <c r="D1566" t="s">
        <v>101</v>
      </c>
      <c r="E1566" t="s">
        <v>99</v>
      </c>
      <c r="F1566" t="s">
        <v>12</v>
      </c>
      <c r="G1566">
        <v>1</v>
      </c>
      <c r="H1566">
        <v>130</v>
      </c>
      <c r="I1566">
        <v>0.89655172413793105</v>
      </c>
      <c r="J1566" s="25">
        <f t="shared" si="91"/>
        <v>0.89655172413793105</v>
      </c>
      <c r="K1566">
        <v>1347</v>
      </c>
      <c r="L1566">
        <v>10</v>
      </c>
      <c r="M1566">
        <v>7.3691967575534199E-3</v>
      </c>
      <c r="N1566" s="25">
        <f t="shared" si="90"/>
        <v>7.3691967575534312E-3</v>
      </c>
      <c r="O1566">
        <v>0.99263080324244601</v>
      </c>
      <c r="P1566" s="25">
        <f t="shared" si="92"/>
        <v>0.99263080324244657</v>
      </c>
      <c r="Q1566">
        <v>15</v>
      </c>
      <c r="R1566" t="s">
        <v>124</v>
      </c>
      <c r="S1566" t="s">
        <v>124</v>
      </c>
      <c r="T1566" t="s">
        <v>124</v>
      </c>
      <c r="U1566" t="s">
        <v>124</v>
      </c>
      <c r="X1566" s="19">
        <f t="shared" si="88"/>
        <v>0.89655172413793105</v>
      </c>
      <c r="Y1566" s="19">
        <f t="shared" si="89"/>
        <v>7.3691967575534312E-3</v>
      </c>
      <c r="Z1566" s="26"/>
    </row>
    <row r="1567" spans="1:26" x14ac:dyDescent="0.35">
      <c r="A1567" t="s">
        <v>122</v>
      </c>
      <c r="B1567" t="s">
        <v>122</v>
      </c>
      <c r="C1567" t="s">
        <v>123</v>
      </c>
      <c r="D1567" t="s">
        <v>101</v>
      </c>
      <c r="E1567" t="s">
        <v>99</v>
      </c>
      <c r="F1567" t="s">
        <v>12</v>
      </c>
      <c r="G1567">
        <v>1</v>
      </c>
      <c r="H1567">
        <v>130</v>
      </c>
      <c r="I1567">
        <v>0.89655172413793105</v>
      </c>
      <c r="J1567" s="25">
        <f t="shared" si="91"/>
        <v>0.89655172413793105</v>
      </c>
      <c r="K1567">
        <v>1347</v>
      </c>
      <c r="L1567">
        <v>10</v>
      </c>
      <c r="M1567">
        <v>7.3691967575534199E-3</v>
      </c>
      <c r="N1567" s="25">
        <f t="shared" si="90"/>
        <v>7.3691967575534312E-3</v>
      </c>
      <c r="O1567">
        <v>0.99263080324244601</v>
      </c>
      <c r="P1567" s="25">
        <f t="shared" si="92"/>
        <v>0.99263080324244657</v>
      </c>
      <c r="Q1567">
        <v>15</v>
      </c>
      <c r="R1567" t="s">
        <v>124</v>
      </c>
      <c r="S1567" t="s">
        <v>124</v>
      </c>
      <c r="T1567" t="s">
        <v>124</v>
      </c>
      <c r="U1567" t="s">
        <v>124</v>
      </c>
      <c r="X1567" s="19">
        <f t="shared" si="88"/>
        <v>0.89655172413793105</v>
      </c>
      <c r="Y1567" s="19">
        <f t="shared" si="89"/>
        <v>7.3691967575534312E-3</v>
      </c>
      <c r="Z1567" s="26"/>
    </row>
    <row r="1568" spans="1:26" x14ac:dyDescent="0.35">
      <c r="A1568" t="s">
        <v>122</v>
      </c>
      <c r="B1568" t="s">
        <v>122</v>
      </c>
      <c r="C1568" t="s">
        <v>123</v>
      </c>
      <c r="D1568" t="s">
        <v>101</v>
      </c>
      <c r="E1568" t="s">
        <v>99</v>
      </c>
      <c r="F1568" t="s">
        <v>12</v>
      </c>
      <c r="G1568">
        <v>1</v>
      </c>
      <c r="H1568">
        <v>130</v>
      </c>
      <c r="I1568">
        <v>0.89655172413793105</v>
      </c>
      <c r="J1568" s="25">
        <f t="shared" si="91"/>
        <v>0.89655172413793105</v>
      </c>
      <c r="K1568">
        <v>1347</v>
      </c>
      <c r="L1568">
        <v>10</v>
      </c>
      <c r="M1568">
        <v>7.3691967575534199E-3</v>
      </c>
      <c r="N1568" s="25">
        <f t="shared" si="90"/>
        <v>7.3691967575534312E-3</v>
      </c>
      <c r="O1568">
        <v>0.99263080324244601</v>
      </c>
      <c r="P1568" s="25">
        <f t="shared" si="92"/>
        <v>0.99263080324244657</v>
      </c>
      <c r="Q1568">
        <v>15</v>
      </c>
      <c r="R1568" t="s">
        <v>124</v>
      </c>
      <c r="S1568" t="s">
        <v>124</v>
      </c>
      <c r="T1568" t="s">
        <v>124</v>
      </c>
      <c r="U1568" t="s">
        <v>124</v>
      </c>
      <c r="X1568" s="19">
        <f t="shared" si="88"/>
        <v>0.89655172413793105</v>
      </c>
      <c r="Y1568" s="19">
        <f t="shared" si="89"/>
        <v>7.3691967575534312E-3</v>
      </c>
      <c r="Z1568" s="26"/>
    </row>
    <row r="1569" spans="1:26" x14ac:dyDescent="0.35">
      <c r="A1569" t="s">
        <v>122</v>
      </c>
      <c r="B1569" t="s">
        <v>122</v>
      </c>
      <c r="C1569" t="s">
        <v>123</v>
      </c>
      <c r="D1569" t="s">
        <v>101</v>
      </c>
      <c r="E1569" t="s">
        <v>99</v>
      </c>
      <c r="F1569" t="s">
        <v>12</v>
      </c>
      <c r="G1569">
        <v>1</v>
      </c>
      <c r="H1569">
        <v>130</v>
      </c>
      <c r="I1569">
        <v>0.89655172413793105</v>
      </c>
      <c r="J1569" s="25">
        <f t="shared" si="91"/>
        <v>0.89655172413793105</v>
      </c>
      <c r="K1569">
        <v>1347</v>
      </c>
      <c r="L1569">
        <v>10</v>
      </c>
      <c r="M1569">
        <v>7.3691967575534199E-3</v>
      </c>
      <c r="N1569" s="25">
        <f t="shared" si="90"/>
        <v>7.3691967575534312E-3</v>
      </c>
      <c r="O1569">
        <v>0.99263080324244601</v>
      </c>
      <c r="P1569" s="25">
        <f t="shared" si="92"/>
        <v>0.99263080324244657</v>
      </c>
      <c r="Q1569">
        <v>15</v>
      </c>
      <c r="R1569" t="s">
        <v>124</v>
      </c>
      <c r="S1569" t="s">
        <v>124</v>
      </c>
      <c r="T1569" t="s">
        <v>124</v>
      </c>
      <c r="U1569" t="s">
        <v>124</v>
      </c>
      <c r="X1569" s="19">
        <f t="shared" si="88"/>
        <v>0.89655172413793105</v>
      </c>
      <c r="Y1569" s="19">
        <f t="shared" si="89"/>
        <v>7.3691967575534312E-3</v>
      </c>
      <c r="Z1569" s="26"/>
    </row>
    <row r="1570" spans="1:26" x14ac:dyDescent="0.35">
      <c r="A1570" t="s">
        <v>122</v>
      </c>
      <c r="B1570" t="s">
        <v>122</v>
      </c>
      <c r="C1570" t="s">
        <v>123</v>
      </c>
      <c r="D1570" t="s">
        <v>101</v>
      </c>
      <c r="E1570" t="s">
        <v>99</v>
      </c>
      <c r="F1570" t="s">
        <v>12</v>
      </c>
      <c r="G1570">
        <v>1</v>
      </c>
      <c r="H1570">
        <v>130</v>
      </c>
      <c r="I1570">
        <v>0.89655172413793105</v>
      </c>
      <c r="J1570" s="25">
        <f t="shared" si="91"/>
        <v>0.89655172413793105</v>
      </c>
      <c r="K1570">
        <v>1347</v>
      </c>
      <c r="L1570">
        <v>10</v>
      </c>
      <c r="M1570">
        <v>7.3691967575534199E-3</v>
      </c>
      <c r="N1570" s="25">
        <f t="shared" si="90"/>
        <v>7.3691967575534312E-3</v>
      </c>
      <c r="O1570">
        <v>0.99263080324244601</v>
      </c>
      <c r="P1570" s="25">
        <f t="shared" si="92"/>
        <v>0.99263080324244657</v>
      </c>
      <c r="Q1570">
        <v>15</v>
      </c>
      <c r="R1570" t="s">
        <v>124</v>
      </c>
      <c r="S1570" t="s">
        <v>124</v>
      </c>
      <c r="T1570" t="s">
        <v>124</v>
      </c>
      <c r="U1570" t="s">
        <v>124</v>
      </c>
      <c r="X1570" s="19">
        <f t="shared" si="88"/>
        <v>0.89655172413793105</v>
      </c>
      <c r="Y1570" s="19">
        <f t="shared" si="89"/>
        <v>7.3691967575534312E-3</v>
      </c>
      <c r="Z1570" s="26"/>
    </row>
    <row r="1571" spans="1:26" x14ac:dyDescent="0.35">
      <c r="A1571" t="s">
        <v>122</v>
      </c>
      <c r="B1571" t="s">
        <v>122</v>
      </c>
      <c r="C1571" t="s">
        <v>123</v>
      </c>
      <c r="D1571" t="s">
        <v>101</v>
      </c>
      <c r="E1571" t="s">
        <v>99</v>
      </c>
      <c r="F1571" t="s">
        <v>12</v>
      </c>
      <c r="G1571">
        <v>1</v>
      </c>
      <c r="H1571">
        <v>130</v>
      </c>
      <c r="I1571">
        <v>0.89655172413793105</v>
      </c>
      <c r="J1571" s="25">
        <f t="shared" si="91"/>
        <v>0.89655172413793105</v>
      </c>
      <c r="K1571">
        <v>1347</v>
      </c>
      <c r="L1571">
        <v>10</v>
      </c>
      <c r="M1571">
        <v>7.3691967575534199E-3</v>
      </c>
      <c r="N1571" s="25">
        <f t="shared" si="90"/>
        <v>7.3691967575534312E-3</v>
      </c>
      <c r="O1571">
        <v>0.99263080324244601</v>
      </c>
      <c r="P1571" s="25">
        <f t="shared" si="92"/>
        <v>0.99263080324244657</v>
      </c>
      <c r="Q1571">
        <v>15</v>
      </c>
      <c r="R1571" t="s">
        <v>124</v>
      </c>
      <c r="S1571" t="s">
        <v>124</v>
      </c>
      <c r="T1571" t="s">
        <v>124</v>
      </c>
      <c r="U1571" t="s">
        <v>124</v>
      </c>
      <c r="X1571" s="19">
        <f t="shared" si="88"/>
        <v>0.89655172413793105</v>
      </c>
      <c r="Y1571" s="19">
        <f t="shared" si="89"/>
        <v>7.3691967575534312E-3</v>
      </c>
      <c r="Z1571" s="26"/>
    </row>
    <row r="1572" spans="1:26" x14ac:dyDescent="0.35">
      <c r="A1572" t="s">
        <v>122</v>
      </c>
      <c r="B1572" t="s">
        <v>122</v>
      </c>
      <c r="C1572" t="s">
        <v>123</v>
      </c>
      <c r="D1572" t="s">
        <v>101</v>
      </c>
      <c r="E1572" t="s">
        <v>99</v>
      </c>
      <c r="F1572" t="s">
        <v>12</v>
      </c>
      <c r="G1572">
        <v>1</v>
      </c>
      <c r="H1572">
        <v>130</v>
      </c>
      <c r="I1572">
        <v>0.89655172413793105</v>
      </c>
      <c r="J1572" s="25">
        <f t="shared" si="91"/>
        <v>0.89655172413793105</v>
      </c>
      <c r="K1572">
        <v>1347</v>
      </c>
      <c r="L1572">
        <v>10</v>
      </c>
      <c r="M1572">
        <v>7.3691967575534199E-3</v>
      </c>
      <c r="N1572" s="25">
        <f t="shared" si="90"/>
        <v>7.3691967575534312E-3</v>
      </c>
      <c r="O1572">
        <v>0.99263080324244601</v>
      </c>
      <c r="P1572" s="25">
        <f t="shared" si="92"/>
        <v>0.99263080324244657</v>
      </c>
      <c r="Q1572">
        <v>15</v>
      </c>
      <c r="R1572" t="s">
        <v>124</v>
      </c>
      <c r="S1572" t="s">
        <v>124</v>
      </c>
      <c r="T1572" t="s">
        <v>124</v>
      </c>
      <c r="U1572" t="s">
        <v>124</v>
      </c>
      <c r="X1572" s="19">
        <f t="shared" si="88"/>
        <v>0.89655172413793105</v>
      </c>
      <c r="Y1572" s="19">
        <f t="shared" si="89"/>
        <v>7.3691967575534312E-3</v>
      </c>
      <c r="Z1572" s="26"/>
    </row>
    <row r="1573" spans="1:26" x14ac:dyDescent="0.35">
      <c r="A1573" t="s">
        <v>122</v>
      </c>
      <c r="B1573" t="s">
        <v>122</v>
      </c>
      <c r="C1573" t="s">
        <v>123</v>
      </c>
      <c r="D1573" t="s">
        <v>101</v>
      </c>
      <c r="E1573" t="s">
        <v>99</v>
      </c>
      <c r="F1573" t="s">
        <v>12</v>
      </c>
      <c r="G1573">
        <v>1</v>
      </c>
      <c r="H1573">
        <v>130</v>
      </c>
      <c r="I1573">
        <v>0.89655172413793105</v>
      </c>
      <c r="J1573" s="25">
        <f t="shared" si="91"/>
        <v>0.89655172413793105</v>
      </c>
      <c r="K1573">
        <v>1347</v>
      </c>
      <c r="L1573">
        <v>10</v>
      </c>
      <c r="M1573">
        <v>7.3691967575534199E-3</v>
      </c>
      <c r="N1573" s="25">
        <f t="shared" si="90"/>
        <v>7.3691967575534312E-3</v>
      </c>
      <c r="O1573">
        <v>0.99263080324244601</v>
      </c>
      <c r="P1573" s="25">
        <f t="shared" si="92"/>
        <v>0.99263080324244657</v>
      </c>
      <c r="Q1573">
        <v>15</v>
      </c>
      <c r="R1573" t="s">
        <v>124</v>
      </c>
      <c r="S1573" t="s">
        <v>124</v>
      </c>
      <c r="T1573" t="s">
        <v>124</v>
      </c>
      <c r="U1573" t="s">
        <v>124</v>
      </c>
      <c r="X1573" s="19">
        <f t="shared" si="88"/>
        <v>0.89655172413793105</v>
      </c>
      <c r="Y1573" s="19">
        <f t="shared" si="89"/>
        <v>7.3691967575534312E-3</v>
      </c>
      <c r="Z1573" s="26"/>
    </row>
    <row r="1574" spans="1:26" x14ac:dyDescent="0.35">
      <c r="A1574" t="s">
        <v>122</v>
      </c>
      <c r="B1574" t="s">
        <v>122</v>
      </c>
      <c r="C1574" t="s">
        <v>123</v>
      </c>
      <c r="D1574" t="s">
        <v>101</v>
      </c>
      <c r="E1574" t="s">
        <v>99</v>
      </c>
      <c r="F1574" t="s">
        <v>12</v>
      </c>
      <c r="G1574">
        <v>1</v>
      </c>
      <c r="H1574">
        <v>130</v>
      </c>
      <c r="I1574">
        <v>0.89655172413793105</v>
      </c>
      <c r="J1574" s="25">
        <f t="shared" si="91"/>
        <v>0.89655172413793105</v>
      </c>
      <c r="K1574">
        <v>1347</v>
      </c>
      <c r="L1574">
        <v>10</v>
      </c>
      <c r="M1574">
        <v>7.3691967575534199E-3</v>
      </c>
      <c r="N1574" s="25">
        <f t="shared" si="90"/>
        <v>7.3691967575534312E-3</v>
      </c>
      <c r="O1574">
        <v>0.99263080324244601</v>
      </c>
      <c r="P1574" s="25">
        <f t="shared" si="92"/>
        <v>0.99263080324244657</v>
      </c>
      <c r="Q1574">
        <v>15</v>
      </c>
      <c r="R1574" t="s">
        <v>124</v>
      </c>
      <c r="S1574" t="s">
        <v>124</v>
      </c>
      <c r="T1574" t="s">
        <v>124</v>
      </c>
      <c r="U1574" t="s">
        <v>124</v>
      </c>
      <c r="X1574" s="19">
        <f t="shared" si="88"/>
        <v>0.89655172413793105</v>
      </c>
      <c r="Y1574" s="19">
        <f t="shared" si="89"/>
        <v>7.3691967575534312E-3</v>
      </c>
      <c r="Z1574" s="26"/>
    </row>
    <row r="1575" spans="1:26" x14ac:dyDescent="0.35">
      <c r="A1575" t="s">
        <v>122</v>
      </c>
      <c r="B1575" t="s">
        <v>122</v>
      </c>
      <c r="C1575" t="s">
        <v>123</v>
      </c>
      <c r="D1575" t="s">
        <v>101</v>
      </c>
      <c r="E1575" t="s">
        <v>99</v>
      </c>
      <c r="F1575" t="s">
        <v>12</v>
      </c>
      <c r="G1575">
        <v>1</v>
      </c>
      <c r="H1575">
        <v>130</v>
      </c>
      <c r="I1575">
        <v>0.89655172413793105</v>
      </c>
      <c r="J1575" s="25">
        <f t="shared" si="91"/>
        <v>0.89655172413793105</v>
      </c>
      <c r="K1575">
        <v>1347</v>
      </c>
      <c r="L1575">
        <v>10</v>
      </c>
      <c r="M1575">
        <v>7.3691967575534199E-3</v>
      </c>
      <c r="N1575" s="25">
        <f t="shared" si="90"/>
        <v>7.3691967575534312E-3</v>
      </c>
      <c r="O1575">
        <v>0.99263080324244601</v>
      </c>
      <c r="P1575" s="25">
        <f t="shared" si="92"/>
        <v>0.99263080324244657</v>
      </c>
      <c r="Q1575">
        <v>15</v>
      </c>
      <c r="R1575" t="s">
        <v>124</v>
      </c>
      <c r="S1575" t="s">
        <v>124</v>
      </c>
      <c r="T1575" t="s">
        <v>124</v>
      </c>
      <c r="U1575" t="s">
        <v>124</v>
      </c>
      <c r="X1575" s="19">
        <f t="shared" si="88"/>
        <v>0.89655172413793105</v>
      </c>
      <c r="Y1575" s="19">
        <f t="shared" si="89"/>
        <v>7.3691967575534312E-3</v>
      </c>
      <c r="Z1575" s="26"/>
    </row>
    <row r="1576" spans="1:26" x14ac:dyDescent="0.35">
      <c r="A1576" t="s">
        <v>122</v>
      </c>
      <c r="B1576" t="s">
        <v>122</v>
      </c>
      <c r="C1576" t="s">
        <v>123</v>
      </c>
      <c r="D1576" t="s">
        <v>101</v>
      </c>
      <c r="E1576" t="s">
        <v>99</v>
      </c>
      <c r="F1576" t="s">
        <v>12</v>
      </c>
      <c r="G1576">
        <v>1</v>
      </c>
      <c r="H1576">
        <v>130</v>
      </c>
      <c r="I1576">
        <v>0.89655172413793105</v>
      </c>
      <c r="J1576" s="25">
        <f t="shared" si="91"/>
        <v>0.89655172413793105</v>
      </c>
      <c r="K1576">
        <v>1347</v>
      </c>
      <c r="L1576">
        <v>10</v>
      </c>
      <c r="M1576">
        <v>7.3691967575534199E-3</v>
      </c>
      <c r="N1576" s="25">
        <f t="shared" si="90"/>
        <v>7.3691967575534312E-3</v>
      </c>
      <c r="O1576">
        <v>0.99263080324244601</v>
      </c>
      <c r="P1576" s="25">
        <f t="shared" si="92"/>
        <v>0.99263080324244657</v>
      </c>
      <c r="Q1576">
        <v>15</v>
      </c>
      <c r="R1576" t="s">
        <v>124</v>
      </c>
      <c r="S1576" t="s">
        <v>124</v>
      </c>
      <c r="T1576" t="s">
        <v>124</v>
      </c>
      <c r="U1576" t="s">
        <v>124</v>
      </c>
      <c r="X1576" s="19">
        <f t="shared" si="88"/>
        <v>0.89655172413793105</v>
      </c>
      <c r="Y1576" s="19">
        <f t="shared" si="89"/>
        <v>7.3691967575534312E-3</v>
      </c>
      <c r="Z1576" s="26"/>
    </row>
    <row r="1577" spans="1:26" x14ac:dyDescent="0.35">
      <c r="A1577" t="s">
        <v>122</v>
      </c>
      <c r="B1577" t="s">
        <v>122</v>
      </c>
      <c r="C1577" t="s">
        <v>123</v>
      </c>
      <c r="D1577" t="s">
        <v>101</v>
      </c>
      <c r="E1577" t="s">
        <v>99</v>
      </c>
      <c r="F1577" t="s">
        <v>12</v>
      </c>
      <c r="G1577">
        <v>1</v>
      </c>
      <c r="H1577">
        <v>130</v>
      </c>
      <c r="I1577">
        <v>0.89655172413793105</v>
      </c>
      <c r="J1577" s="25">
        <f t="shared" si="91"/>
        <v>0.89655172413793105</v>
      </c>
      <c r="K1577">
        <v>1347</v>
      </c>
      <c r="L1577">
        <v>10</v>
      </c>
      <c r="M1577">
        <v>7.3691967575534199E-3</v>
      </c>
      <c r="N1577" s="25">
        <f t="shared" si="90"/>
        <v>7.3691967575534312E-3</v>
      </c>
      <c r="O1577">
        <v>0.99263080324244601</v>
      </c>
      <c r="P1577" s="25">
        <f t="shared" si="92"/>
        <v>0.99263080324244657</v>
      </c>
      <c r="Q1577">
        <v>15</v>
      </c>
      <c r="R1577" t="s">
        <v>124</v>
      </c>
      <c r="S1577" t="s">
        <v>124</v>
      </c>
      <c r="T1577" t="s">
        <v>124</v>
      </c>
      <c r="U1577" t="s">
        <v>124</v>
      </c>
      <c r="X1577" s="19">
        <f t="shared" si="88"/>
        <v>0.89655172413793105</v>
      </c>
      <c r="Y1577" s="19">
        <f t="shared" si="89"/>
        <v>7.3691967575534312E-3</v>
      </c>
      <c r="Z1577" s="26"/>
    </row>
    <row r="1578" spans="1:26" x14ac:dyDescent="0.35">
      <c r="A1578" t="s">
        <v>122</v>
      </c>
      <c r="B1578" t="s">
        <v>122</v>
      </c>
      <c r="C1578" t="s">
        <v>123</v>
      </c>
      <c r="D1578" t="s">
        <v>101</v>
      </c>
      <c r="E1578" t="s">
        <v>99</v>
      </c>
      <c r="F1578" t="s">
        <v>12</v>
      </c>
      <c r="G1578">
        <v>1</v>
      </c>
      <c r="H1578">
        <v>130</v>
      </c>
      <c r="I1578">
        <v>0.89655172413793105</v>
      </c>
      <c r="J1578" s="25">
        <f t="shared" si="91"/>
        <v>0.89655172413793105</v>
      </c>
      <c r="K1578">
        <v>1347</v>
      </c>
      <c r="L1578">
        <v>10</v>
      </c>
      <c r="M1578">
        <v>7.3691967575534199E-3</v>
      </c>
      <c r="N1578" s="25">
        <f t="shared" si="90"/>
        <v>7.3691967575534312E-3</v>
      </c>
      <c r="O1578">
        <v>0.99263080324244601</v>
      </c>
      <c r="P1578" s="25">
        <f t="shared" si="92"/>
        <v>0.99263080324244657</v>
      </c>
      <c r="Q1578">
        <v>15</v>
      </c>
      <c r="R1578" t="s">
        <v>124</v>
      </c>
      <c r="S1578" t="s">
        <v>124</v>
      </c>
      <c r="T1578" t="s">
        <v>124</v>
      </c>
      <c r="U1578" t="s">
        <v>124</v>
      </c>
      <c r="X1578" s="19">
        <f t="shared" si="88"/>
        <v>0.89655172413793105</v>
      </c>
      <c r="Y1578" s="19">
        <f t="shared" si="89"/>
        <v>7.3691967575534312E-3</v>
      </c>
      <c r="Z1578" s="26"/>
    </row>
    <row r="1579" spans="1:26" x14ac:dyDescent="0.35">
      <c r="A1579" t="s">
        <v>122</v>
      </c>
      <c r="B1579" t="s">
        <v>122</v>
      </c>
      <c r="C1579" t="s">
        <v>123</v>
      </c>
      <c r="D1579" t="s">
        <v>101</v>
      </c>
      <c r="E1579" t="s">
        <v>99</v>
      </c>
      <c r="F1579" t="s">
        <v>12</v>
      </c>
      <c r="G1579">
        <v>1</v>
      </c>
      <c r="H1579">
        <v>130</v>
      </c>
      <c r="I1579">
        <v>0.89655172413793105</v>
      </c>
      <c r="J1579" s="25">
        <f t="shared" si="91"/>
        <v>0.89655172413793105</v>
      </c>
      <c r="K1579">
        <v>1347</v>
      </c>
      <c r="L1579">
        <v>10</v>
      </c>
      <c r="M1579">
        <v>7.3691967575534199E-3</v>
      </c>
      <c r="N1579" s="25">
        <f t="shared" si="90"/>
        <v>7.3691967575534312E-3</v>
      </c>
      <c r="O1579">
        <v>0.99263080324244601</v>
      </c>
      <c r="P1579" s="25">
        <f t="shared" si="92"/>
        <v>0.99263080324244657</v>
      </c>
      <c r="Q1579">
        <v>15</v>
      </c>
      <c r="R1579" t="s">
        <v>124</v>
      </c>
      <c r="S1579" t="s">
        <v>124</v>
      </c>
      <c r="T1579" t="s">
        <v>124</v>
      </c>
      <c r="U1579" t="s">
        <v>124</v>
      </c>
      <c r="X1579" s="19">
        <f t="shared" si="88"/>
        <v>0.89655172413793105</v>
      </c>
      <c r="Y1579" s="19">
        <f t="shared" si="89"/>
        <v>7.3691967575534312E-3</v>
      </c>
      <c r="Z1579" s="26"/>
    </row>
    <row r="1580" spans="1:26" x14ac:dyDescent="0.35">
      <c r="A1580" t="s">
        <v>122</v>
      </c>
      <c r="B1580" t="s">
        <v>122</v>
      </c>
      <c r="C1580" t="s">
        <v>123</v>
      </c>
      <c r="D1580" t="s">
        <v>101</v>
      </c>
      <c r="E1580" t="s">
        <v>99</v>
      </c>
      <c r="F1580" t="s">
        <v>12</v>
      </c>
      <c r="G1580">
        <v>1</v>
      </c>
      <c r="H1580">
        <v>130</v>
      </c>
      <c r="I1580">
        <v>0.89655172413793105</v>
      </c>
      <c r="J1580" s="25">
        <f t="shared" si="91"/>
        <v>0.89655172413793105</v>
      </c>
      <c r="K1580">
        <v>1347</v>
      </c>
      <c r="L1580">
        <v>10</v>
      </c>
      <c r="M1580">
        <v>7.3691967575534199E-3</v>
      </c>
      <c r="N1580" s="25">
        <f t="shared" si="90"/>
        <v>7.3691967575534312E-3</v>
      </c>
      <c r="O1580">
        <v>0.99263080324244601</v>
      </c>
      <c r="P1580" s="25">
        <f t="shared" si="92"/>
        <v>0.99263080324244657</v>
      </c>
      <c r="Q1580">
        <v>15</v>
      </c>
      <c r="R1580" t="s">
        <v>124</v>
      </c>
      <c r="S1580" t="s">
        <v>124</v>
      </c>
      <c r="T1580" t="s">
        <v>124</v>
      </c>
      <c r="U1580" t="s">
        <v>124</v>
      </c>
      <c r="X1580" s="19">
        <f t="shared" si="88"/>
        <v>0.89655172413793105</v>
      </c>
      <c r="Y1580" s="19">
        <f t="shared" si="89"/>
        <v>7.3691967575534312E-3</v>
      </c>
      <c r="Z1580" s="26"/>
    </row>
    <row r="1581" spans="1:26" x14ac:dyDescent="0.35">
      <c r="A1581" t="s">
        <v>122</v>
      </c>
      <c r="B1581" t="s">
        <v>122</v>
      </c>
      <c r="C1581" t="s">
        <v>123</v>
      </c>
      <c r="D1581" t="s">
        <v>101</v>
      </c>
      <c r="E1581" t="s">
        <v>99</v>
      </c>
      <c r="F1581" t="s">
        <v>12</v>
      </c>
      <c r="G1581">
        <v>1</v>
      </c>
      <c r="H1581">
        <v>130</v>
      </c>
      <c r="I1581">
        <v>0.89655172413793105</v>
      </c>
      <c r="J1581" s="25">
        <f t="shared" si="91"/>
        <v>0.89655172413793105</v>
      </c>
      <c r="K1581">
        <v>1347</v>
      </c>
      <c r="L1581">
        <v>10</v>
      </c>
      <c r="M1581">
        <v>7.3691967575534199E-3</v>
      </c>
      <c r="N1581" s="25">
        <f t="shared" si="90"/>
        <v>7.3691967575534312E-3</v>
      </c>
      <c r="O1581">
        <v>0.99263080324244601</v>
      </c>
      <c r="P1581" s="25">
        <f t="shared" si="92"/>
        <v>0.99263080324244657</v>
      </c>
      <c r="Q1581">
        <v>15</v>
      </c>
      <c r="R1581" t="s">
        <v>124</v>
      </c>
      <c r="S1581" t="s">
        <v>124</v>
      </c>
      <c r="T1581" t="s">
        <v>124</v>
      </c>
      <c r="U1581" t="s">
        <v>124</v>
      </c>
      <c r="X1581" s="19">
        <f t="shared" si="88"/>
        <v>0.89655172413793105</v>
      </c>
      <c r="Y1581" s="19">
        <f t="shared" si="89"/>
        <v>7.3691967575534312E-3</v>
      </c>
      <c r="Z1581" s="26"/>
    </row>
    <row r="1582" spans="1:26" x14ac:dyDescent="0.35">
      <c r="A1582" t="s">
        <v>122</v>
      </c>
      <c r="B1582" t="s">
        <v>122</v>
      </c>
      <c r="C1582" t="s">
        <v>123</v>
      </c>
      <c r="D1582" t="s">
        <v>101</v>
      </c>
      <c r="E1582" t="s">
        <v>99</v>
      </c>
      <c r="F1582" t="s">
        <v>12</v>
      </c>
      <c r="G1582">
        <v>1</v>
      </c>
      <c r="H1582">
        <v>130</v>
      </c>
      <c r="I1582">
        <v>0.89655172413793105</v>
      </c>
      <c r="J1582" s="25">
        <f t="shared" si="91"/>
        <v>0.89655172413793105</v>
      </c>
      <c r="K1582">
        <v>1347</v>
      </c>
      <c r="L1582">
        <v>10</v>
      </c>
      <c r="M1582">
        <v>7.3691967575534199E-3</v>
      </c>
      <c r="N1582" s="25">
        <f t="shared" si="90"/>
        <v>7.3691967575534312E-3</v>
      </c>
      <c r="O1582">
        <v>0.99263080324244601</v>
      </c>
      <c r="P1582" s="25">
        <f t="shared" si="92"/>
        <v>0.99263080324244657</v>
      </c>
      <c r="Q1582">
        <v>15</v>
      </c>
      <c r="R1582" t="s">
        <v>124</v>
      </c>
      <c r="S1582" t="s">
        <v>124</v>
      </c>
      <c r="T1582" t="s">
        <v>124</v>
      </c>
      <c r="U1582" t="s">
        <v>124</v>
      </c>
      <c r="X1582" s="19">
        <f t="shared" ref="X1582:X1645" si="93">J1582</f>
        <v>0.89655172413793105</v>
      </c>
      <c r="Y1582" s="19">
        <f t="shared" ref="Y1582:Y1645" si="94">N1582</f>
        <v>7.3691967575534312E-3</v>
      </c>
      <c r="Z1582" s="26"/>
    </row>
    <row r="1583" spans="1:26" x14ac:dyDescent="0.35">
      <c r="A1583" t="s">
        <v>122</v>
      </c>
      <c r="B1583" t="s">
        <v>122</v>
      </c>
      <c r="C1583" t="s">
        <v>123</v>
      </c>
      <c r="D1583" t="s">
        <v>101</v>
      </c>
      <c r="E1583" t="s">
        <v>99</v>
      </c>
      <c r="F1583" t="s">
        <v>12</v>
      </c>
      <c r="G1583">
        <v>1</v>
      </c>
      <c r="H1583">
        <v>130</v>
      </c>
      <c r="I1583">
        <v>0.89655172413793105</v>
      </c>
      <c r="J1583" s="25">
        <f t="shared" si="91"/>
        <v>0.89655172413793105</v>
      </c>
      <c r="K1583">
        <v>1347</v>
      </c>
      <c r="L1583">
        <v>10</v>
      </c>
      <c r="M1583">
        <v>7.3691967575534199E-3</v>
      </c>
      <c r="N1583" s="25">
        <f t="shared" si="90"/>
        <v>7.3691967575534312E-3</v>
      </c>
      <c r="O1583">
        <v>0.99263080324244601</v>
      </c>
      <c r="P1583" s="25">
        <f t="shared" si="92"/>
        <v>0.99263080324244657</v>
      </c>
      <c r="Q1583">
        <v>15</v>
      </c>
      <c r="R1583" t="s">
        <v>124</v>
      </c>
      <c r="S1583" t="s">
        <v>124</v>
      </c>
      <c r="T1583" t="s">
        <v>124</v>
      </c>
      <c r="U1583" t="s">
        <v>124</v>
      </c>
      <c r="X1583" s="19">
        <f t="shared" si="93"/>
        <v>0.89655172413793105</v>
      </c>
      <c r="Y1583" s="19">
        <f t="shared" si="94"/>
        <v>7.3691967575534312E-3</v>
      </c>
      <c r="Z1583" s="26"/>
    </row>
    <row r="1584" spans="1:26" x14ac:dyDescent="0.35">
      <c r="A1584" t="s">
        <v>122</v>
      </c>
      <c r="B1584" t="s">
        <v>122</v>
      </c>
      <c r="C1584" t="s">
        <v>123</v>
      </c>
      <c r="D1584" t="s">
        <v>101</v>
      </c>
      <c r="E1584" t="s">
        <v>99</v>
      </c>
      <c r="F1584" t="s">
        <v>12</v>
      </c>
      <c r="G1584">
        <v>1</v>
      </c>
      <c r="H1584">
        <v>130</v>
      </c>
      <c r="I1584">
        <v>0.89655172413793105</v>
      </c>
      <c r="J1584" s="25">
        <f t="shared" si="91"/>
        <v>0.89655172413793105</v>
      </c>
      <c r="K1584">
        <v>1347</v>
      </c>
      <c r="L1584">
        <v>10</v>
      </c>
      <c r="M1584">
        <v>7.3691967575534199E-3</v>
      </c>
      <c r="N1584" s="25">
        <f t="shared" si="90"/>
        <v>7.3691967575534312E-3</v>
      </c>
      <c r="O1584">
        <v>0.99263080324244601</v>
      </c>
      <c r="P1584" s="25">
        <f t="shared" si="92"/>
        <v>0.99263080324244657</v>
      </c>
      <c r="Q1584">
        <v>15</v>
      </c>
      <c r="R1584" t="s">
        <v>124</v>
      </c>
      <c r="S1584" t="s">
        <v>124</v>
      </c>
      <c r="T1584" t="s">
        <v>124</v>
      </c>
      <c r="U1584" t="s">
        <v>124</v>
      </c>
      <c r="X1584" s="19">
        <f t="shared" si="93"/>
        <v>0.89655172413793105</v>
      </c>
      <c r="Y1584" s="19">
        <f t="shared" si="94"/>
        <v>7.3691967575534312E-3</v>
      </c>
      <c r="Z1584" s="26"/>
    </row>
    <row r="1585" spans="1:26" x14ac:dyDescent="0.35">
      <c r="A1585" t="s">
        <v>122</v>
      </c>
      <c r="B1585" t="s">
        <v>122</v>
      </c>
      <c r="C1585" t="s">
        <v>123</v>
      </c>
      <c r="D1585" t="s">
        <v>101</v>
      </c>
      <c r="E1585" t="s">
        <v>99</v>
      </c>
      <c r="F1585" t="s">
        <v>12</v>
      </c>
      <c r="G1585">
        <v>1</v>
      </c>
      <c r="H1585">
        <v>130</v>
      </c>
      <c r="I1585">
        <v>0.89655172413793105</v>
      </c>
      <c r="J1585" s="25">
        <f t="shared" si="91"/>
        <v>0.89655172413793105</v>
      </c>
      <c r="K1585">
        <v>1347</v>
      </c>
      <c r="L1585">
        <v>10</v>
      </c>
      <c r="M1585">
        <v>7.3691967575534199E-3</v>
      </c>
      <c r="N1585" s="25">
        <f t="shared" si="90"/>
        <v>7.3691967575534312E-3</v>
      </c>
      <c r="O1585">
        <v>0.99263080324244601</v>
      </c>
      <c r="P1585" s="25">
        <f t="shared" si="92"/>
        <v>0.99263080324244657</v>
      </c>
      <c r="Q1585">
        <v>15</v>
      </c>
      <c r="R1585" t="s">
        <v>124</v>
      </c>
      <c r="S1585" t="s">
        <v>124</v>
      </c>
      <c r="T1585" t="s">
        <v>124</v>
      </c>
      <c r="U1585" t="s">
        <v>124</v>
      </c>
      <c r="X1585" s="19">
        <f t="shared" si="93"/>
        <v>0.89655172413793105</v>
      </c>
      <c r="Y1585" s="19">
        <f t="shared" si="94"/>
        <v>7.3691967575534312E-3</v>
      </c>
      <c r="Z1585" s="26"/>
    </row>
    <row r="1586" spans="1:26" x14ac:dyDescent="0.35">
      <c r="A1586" t="s">
        <v>122</v>
      </c>
      <c r="B1586" t="s">
        <v>122</v>
      </c>
      <c r="C1586" t="s">
        <v>123</v>
      </c>
      <c r="D1586" t="s">
        <v>101</v>
      </c>
      <c r="E1586" t="s">
        <v>99</v>
      </c>
      <c r="F1586" t="s">
        <v>12</v>
      </c>
      <c r="G1586">
        <v>1</v>
      </c>
      <c r="H1586">
        <v>130</v>
      </c>
      <c r="I1586">
        <v>0.89655172413793105</v>
      </c>
      <c r="J1586" s="25">
        <f t="shared" si="91"/>
        <v>0.89655172413793105</v>
      </c>
      <c r="K1586">
        <v>1347</v>
      </c>
      <c r="L1586">
        <v>10</v>
      </c>
      <c r="M1586">
        <v>7.3691967575534199E-3</v>
      </c>
      <c r="N1586" s="25">
        <f t="shared" si="90"/>
        <v>7.3691967575534312E-3</v>
      </c>
      <c r="O1586">
        <v>0.99263080324244601</v>
      </c>
      <c r="P1586" s="25">
        <f t="shared" si="92"/>
        <v>0.99263080324244657</v>
      </c>
      <c r="Q1586">
        <v>15</v>
      </c>
      <c r="R1586" t="s">
        <v>124</v>
      </c>
      <c r="S1586" t="s">
        <v>124</v>
      </c>
      <c r="T1586" t="s">
        <v>124</v>
      </c>
      <c r="U1586" t="s">
        <v>124</v>
      </c>
      <c r="X1586" s="19">
        <f t="shared" si="93"/>
        <v>0.89655172413793105</v>
      </c>
      <c r="Y1586" s="19">
        <f t="shared" si="94"/>
        <v>7.3691967575534312E-3</v>
      </c>
      <c r="Z1586" s="26"/>
    </row>
    <row r="1587" spans="1:26" x14ac:dyDescent="0.35">
      <c r="A1587" t="s">
        <v>122</v>
      </c>
      <c r="B1587" t="s">
        <v>122</v>
      </c>
      <c r="C1587" t="s">
        <v>123</v>
      </c>
      <c r="D1587" t="s">
        <v>101</v>
      </c>
      <c r="E1587" t="s">
        <v>99</v>
      </c>
      <c r="F1587" t="s">
        <v>12</v>
      </c>
      <c r="G1587">
        <v>1</v>
      </c>
      <c r="H1587">
        <v>130</v>
      </c>
      <c r="I1587">
        <v>0.89655172413793105</v>
      </c>
      <c r="J1587" s="25">
        <f t="shared" si="91"/>
        <v>0.89655172413793105</v>
      </c>
      <c r="K1587">
        <v>1347</v>
      </c>
      <c r="L1587">
        <v>10</v>
      </c>
      <c r="M1587">
        <v>7.3691967575534199E-3</v>
      </c>
      <c r="N1587" s="25">
        <f t="shared" si="90"/>
        <v>7.3691967575534312E-3</v>
      </c>
      <c r="O1587">
        <v>0.99263080324244601</v>
      </c>
      <c r="P1587" s="25">
        <f t="shared" si="92"/>
        <v>0.99263080324244657</v>
      </c>
      <c r="Q1587">
        <v>15</v>
      </c>
      <c r="R1587" t="s">
        <v>124</v>
      </c>
      <c r="S1587" t="s">
        <v>124</v>
      </c>
      <c r="T1587" t="s">
        <v>124</v>
      </c>
      <c r="U1587" t="s">
        <v>124</v>
      </c>
      <c r="X1587" s="19">
        <f t="shared" si="93"/>
        <v>0.89655172413793105</v>
      </c>
      <c r="Y1587" s="19">
        <f t="shared" si="94"/>
        <v>7.3691967575534312E-3</v>
      </c>
      <c r="Z1587" s="26"/>
    </row>
    <row r="1588" spans="1:26" x14ac:dyDescent="0.35">
      <c r="A1588" t="s">
        <v>122</v>
      </c>
      <c r="B1588" t="s">
        <v>122</v>
      </c>
      <c r="C1588" t="s">
        <v>123</v>
      </c>
      <c r="D1588" t="s">
        <v>101</v>
      </c>
      <c r="E1588" t="s">
        <v>99</v>
      </c>
      <c r="F1588" t="s">
        <v>12</v>
      </c>
      <c r="G1588">
        <v>1</v>
      </c>
      <c r="H1588">
        <v>130</v>
      </c>
      <c r="I1588">
        <v>0.89655172413793105</v>
      </c>
      <c r="J1588" s="25">
        <f t="shared" si="91"/>
        <v>0.89655172413793105</v>
      </c>
      <c r="K1588">
        <v>1347</v>
      </c>
      <c r="L1588">
        <v>10</v>
      </c>
      <c r="M1588">
        <v>7.3691967575534199E-3</v>
      </c>
      <c r="N1588" s="25">
        <f t="shared" si="90"/>
        <v>7.3691967575534312E-3</v>
      </c>
      <c r="O1588">
        <v>0.99263080324244601</v>
      </c>
      <c r="P1588" s="25">
        <f t="shared" si="92"/>
        <v>0.99263080324244657</v>
      </c>
      <c r="Q1588">
        <v>15</v>
      </c>
      <c r="R1588" t="s">
        <v>124</v>
      </c>
      <c r="S1588" t="s">
        <v>124</v>
      </c>
      <c r="T1588" t="s">
        <v>124</v>
      </c>
      <c r="U1588" t="s">
        <v>124</v>
      </c>
      <c r="X1588" s="19">
        <f t="shared" si="93"/>
        <v>0.89655172413793105</v>
      </c>
      <c r="Y1588" s="19">
        <f t="shared" si="94"/>
        <v>7.3691967575534312E-3</v>
      </c>
      <c r="Z1588" s="26"/>
    </row>
    <row r="1589" spans="1:26" x14ac:dyDescent="0.35">
      <c r="A1589" t="s">
        <v>122</v>
      </c>
      <c r="B1589" t="s">
        <v>122</v>
      </c>
      <c r="C1589" t="s">
        <v>123</v>
      </c>
      <c r="D1589" t="s">
        <v>101</v>
      </c>
      <c r="E1589" t="s">
        <v>99</v>
      </c>
      <c r="F1589" t="s">
        <v>12</v>
      </c>
      <c r="G1589">
        <v>1</v>
      </c>
      <c r="H1589">
        <v>132</v>
      </c>
      <c r="I1589">
        <v>0.91034482758620605</v>
      </c>
      <c r="J1589" s="25">
        <f t="shared" si="91"/>
        <v>0.91034482758620694</v>
      </c>
      <c r="K1589">
        <v>1340</v>
      </c>
      <c r="L1589">
        <v>17</v>
      </c>
      <c r="M1589">
        <v>1.25276344878408E-2</v>
      </c>
      <c r="N1589" s="25">
        <f t="shared" si="90"/>
        <v>1.2527634487840777E-2</v>
      </c>
      <c r="O1589">
        <v>0.987472365512159</v>
      </c>
      <c r="P1589" s="25">
        <f t="shared" si="92"/>
        <v>0.98747236551215922</v>
      </c>
      <c r="Q1589">
        <v>13</v>
      </c>
      <c r="R1589" t="s">
        <v>124</v>
      </c>
      <c r="S1589" t="s">
        <v>124</v>
      </c>
      <c r="T1589" t="s">
        <v>124</v>
      </c>
      <c r="U1589" t="s">
        <v>124</v>
      </c>
      <c r="X1589" s="19">
        <f t="shared" si="93"/>
        <v>0.91034482758620694</v>
      </c>
      <c r="Y1589" s="19">
        <f t="shared" si="94"/>
        <v>1.2527634487840777E-2</v>
      </c>
      <c r="Z1589" s="26"/>
    </row>
    <row r="1590" spans="1:26" x14ac:dyDescent="0.35">
      <c r="A1590" t="s">
        <v>122</v>
      </c>
      <c r="B1590" t="s">
        <v>122</v>
      </c>
      <c r="C1590" t="s">
        <v>123</v>
      </c>
      <c r="D1590" t="s">
        <v>101</v>
      </c>
      <c r="E1590" t="s">
        <v>99</v>
      </c>
      <c r="F1590" t="s">
        <v>12</v>
      </c>
      <c r="G1590">
        <v>1</v>
      </c>
      <c r="H1590">
        <v>132</v>
      </c>
      <c r="I1590">
        <v>0.91034482758620605</v>
      </c>
      <c r="J1590" s="25">
        <f t="shared" si="91"/>
        <v>0.91034482758620694</v>
      </c>
      <c r="K1590">
        <v>1340</v>
      </c>
      <c r="L1590">
        <v>17</v>
      </c>
      <c r="M1590">
        <v>1.25276344878408E-2</v>
      </c>
      <c r="N1590" s="25">
        <f t="shared" si="90"/>
        <v>1.2527634487840777E-2</v>
      </c>
      <c r="O1590">
        <v>0.987472365512159</v>
      </c>
      <c r="P1590" s="25">
        <f t="shared" si="92"/>
        <v>0.98747236551215922</v>
      </c>
      <c r="Q1590">
        <v>13</v>
      </c>
      <c r="R1590" t="s">
        <v>124</v>
      </c>
      <c r="S1590" t="s">
        <v>124</v>
      </c>
      <c r="T1590" t="s">
        <v>124</v>
      </c>
      <c r="U1590" t="s">
        <v>124</v>
      </c>
      <c r="X1590" s="19">
        <f t="shared" si="93"/>
        <v>0.91034482758620694</v>
      </c>
      <c r="Y1590" s="19">
        <f t="shared" si="94"/>
        <v>1.2527634487840777E-2</v>
      </c>
      <c r="Z1590" s="26"/>
    </row>
    <row r="1591" spans="1:26" x14ac:dyDescent="0.35">
      <c r="A1591" t="s">
        <v>122</v>
      </c>
      <c r="B1591" t="s">
        <v>122</v>
      </c>
      <c r="C1591" t="s">
        <v>123</v>
      </c>
      <c r="D1591" t="s">
        <v>101</v>
      </c>
      <c r="E1591" t="s">
        <v>99</v>
      </c>
      <c r="F1591" t="s">
        <v>12</v>
      </c>
      <c r="G1591">
        <v>1</v>
      </c>
      <c r="H1591">
        <v>132</v>
      </c>
      <c r="I1591">
        <v>0.91034482758620605</v>
      </c>
      <c r="J1591" s="25">
        <f t="shared" si="91"/>
        <v>0.91034482758620694</v>
      </c>
      <c r="K1591">
        <v>1340</v>
      </c>
      <c r="L1591">
        <v>17</v>
      </c>
      <c r="M1591">
        <v>1.25276344878408E-2</v>
      </c>
      <c r="N1591" s="25">
        <f t="shared" si="90"/>
        <v>1.2527634487840777E-2</v>
      </c>
      <c r="O1591">
        <v>0.987472365512159</v>
      </c>
      <c r="P1591" s="25">
        <f t="shared" si="92"/>
        <v>0.98747236551215922</v>
      </c>
      <c r="Q1591">
        <v>13</v>
      </c>
      <c r="R1591" t="s">
        <v>124</v>
      </c>
      <c r="S1591" t="s">
        <v>124</v>
      </c>
      <c r="T1591" t="s">
        <v>124</v>
      </c>
      <c r="U1591" t="s">
        <v>124</v>
      </c>
      <c r="X1591" s="19">
        <f t="shared" si="93"/>
        <v>0.91034482758620694</v>
      </c>
      <c r="Y1591" s="19">
        <f t="shared" si="94"/>
        <v>1.2527634487840777E-2</v>
      </c>
      <c r="Z1591" s="26"/>
    </row>
    <row r="1592" spans="1:26" x14ac:dyDescent="0.35">
      <c r="A1592" t="s">
        <v>122</v>
      </c>
      <c r="B1592" t="s">
        <v>122</v>
      </c>
      <c r="C1592" t="s">
        <v>123</v>
      </c>
      <c r="D1592" t="s">
        <v>101</v>
      </c>
      <c r="E1592" t="s">
        <v>99</v>
      </c>
      <c r="F1592" t="s">
        <v>12</v>
      </c>
      <c r="G1592">
        <v>1</v>
      </c>
      <c r="H1592">
        <v>132</v>
      </c>
      <c r="I1592">
        <v>0.91034482758620605</v>
      </c>
      <c r="J1592" s="25">
        <f t="shared" si="91"/>
        <v>0.91034482758620694</v>
      </c>
      <c r="K1592">
        <v>1340</v>
      </c>
      <c r="L1592">
        <v>17</v>
      </c>
      <c r="M1592">
        <v>1.25276344878408E-2</v>
      </c>
      <c r="N1592" s="25">
        <f t="shared" si="90"/>
        <v>1.2527634487840777E-2</v>
      </c>
      <c r="O1592">
        <v>0.987472365512159</v>
      </c>
      <c r="P1592" s="25">
        <f t="shared" si="92"/>
        <v>0.98747236551215922</v>
      </c>
      <c r="Q1592">
        <v>13</v>
      </c>
      <c r="R1592" t="s">
        <v>124</v>
      </c>
      <c r="S1592" t="s">
        <v>124</v>
      </c>
      <c r="T1592" t="s">
        <v>124</v>
      </c>
      <c r="U1592" t="s">
        <v>124</v>
      </c>
      <c r="X1592" s="19">
        <f t="shared" si="93"/>
        <v>0.91034482758620694</v>
      </c>
      <c r="Y1592" s="19">
        <f t="shared" si="94"/>
        <v>1.2527634487840777E-2</v>
      </c>
      <c r="Z1592" s="26"/>
    </row>
    <row r="1593" spans="1:26" x14ac:dyDescent="0.35">
      <c r="A1593" t="s">
        <v>122</v>
      </c>
      <c r="B1593" t="s">
        <v>122</v>
      </c>
      <c r="C1593" t="s">
        <v>123</v>
      </c>
      <c r="D1593" t="s">
        <v>101</v>
      </c>
      <c r="E1593" t="s">
        <v>99</v>
      </c>
      <c r="F1593" t="s">
        <v>12</v>
      </c>
      <c r="G1593">
        <v>1</v>
      </c>
      <c r="H1593">
        <v>132</v>
      </c>
      <c r="I1593">
        <v>0.91034482758620605</v>
      </c>
      <c r="J1593" s="25">
        <f t="shared" si="91"/>
        <v>0.91034482758620694</v>
      </c>
      <c r="K1593">
        <v>1340</v>
      </c>
      <c r="L1593">
        <v>17</v>
      </c>
      <c r="M1593">
        <v>1.25276344878408E-2</v>
      </c>
      <c r="N1593" s="25">
        <f t="shared" si="90"/>
        <v>1.2527634487840777E-2</v>
      </c>
      <c r="O1593">
        <v>0.987472365512159</v>
      </c>
      <c r="P1593" s="25">
        <f t="shared" si="92"/>
        <v>0.98747236551215922</v>
      </c>
      <c r="Q1593">
        <v>13</v>
      </c>
      <c r="R1593" t="s">
        <v>124</v>
      </c>
      <c r="S1593" t="s">
        <v>124</v>
      </c>
      <c r="T1593" t="s">
        <v>124</v>
      </c>
      <c r="U1593" t="s">
        <v>124</v>
      </c>
      <c r="X1593" s="19">
        <f t="shared" si="93"/>
        <v>0.91034482758620694</v>
      </c>
      <c r="Y1593" s="19">
        <f t="shared" si="94"/>
        <v>1.2527634487840777E-2</v>
      </c>
      <c r="Z1593" s="26"/>
    </row>
    <row r="1594" spans="1:26" x14ac:dyDescent="0.35">
      <c r="A1594" t="s">
        <v>122</v>
      </c>
      <c r="B1594" t="s">
        <v>122</v>
      </c>
      <c r="C1594" t="s">
        <v>123</v>
      </c>
      <c r="D1594" t="s">
        <v>101</v>
      </c>
      <c r="E1594" t="s">
        <v>99</v>
      </c>
      <c r="F1594" t="s">
        <v>12</v>
      </c>
      <c r="G1594">
        <v>1</v>
      </c>
      <c r="H1594">
        <v>132</v>
      </c>
      <c r="I1594">
        <v>0.91034482758620605</v>
      </c>
      <c r="J1594" s="25">
        <f t="shared" si="91"/>
        <v>0.91034482758620694</v>
      </c>
      <c r="K1594">
        <v>1340</v>
      </c>
      <c r="L1594">
        <v>17</v>
      </c>
      <c r="M1594">
        <v>1.25276344878408E-2</v>
      </c>
      <c r="N1594" s="25">
        <f t="shared" si="90"/>
        <v>1.2527634487840777E-2</v>
      </c>
      <c r="O1594">
        <v>0.987472365512159</v>
      </c>
      <c r="P1594" s="25">
        <f t="shared" si="92"/>
        <v>0.98747236551215922</v>
      </c>
      <c r="Q1594">
        <v>13</v>
      </c>
      <c r="R1594" t="s">
        <v>124</v>
      </c>
      <c r="S1594" t="s">
        <v>124</v>
      </c>
      <c r="T1594" t="s">
        <v>124</v>
      </c>
      <c r="U1594" t="s">
        <v>124</v>
      </c>
      <c r="X1594" s="19">
        <f t="shared" si="93"/>
        <v>0.91034482758620694</v>
      </c>
      <c r="Y1594" s="19">
        <f t="shared" si="94"/>
        <v>1.2527634487840777E-2</v>
      </c>
      <c r="Z1594" s="26"/>
    </row>
    <row r="1595" spans="1:26" x14ac:dyDescent="0.35">
      <c r="A1595" t="s">
        <v>122</v>
      </c>
      <c r="B1595" t="s">
        <v>122</v>
      </c>
      <c r="C1595" t="s">
        <v>123</v>
      </c>
      <c r="D1595" t="s">
        <v>101</v>
      </c>
      <c r="E1595" t="s">
        <v>99</v>
      </c>
      <c r="F1595" t="s">
        <v>12</v>
      </c>
      <c r="G1595">
        <v>1</v>
      </c>
      <c r="H1595">
        <v>132</v>
      </c>
      <c r="I1595">
        <v>0.91034482758620605</v>
      </c>
      <c r="J1595" s="25">
        <f t="shared" si="91"/>
        <v>0.91034482758620694</v>
      </c>
      <c r="K1595">
        <v>1340</v>
      </c>
      <c r="L1595">
        <v>17</v>
      </c>
      <c r="M1595">
        <v>1.25276344878408E-2</v>
      </c>
      <c r="N1595" s="25">
        <f t="shared" si="90"/>
        <v>1.2527634487840777E-2</v>
      </c>
      <c r="O1595">
        <v>0.987472365512159</v>
      </c>
      <c r="P1595" s="25">
        <f t="shared" si="92"/>
        <v>0.98747236551215922</v>
      </c>
      <c r="Q1595">
        <v>13</v>
      </c>
      <c r="R1595" t="s">
        <v>124</v>
      </c>
      <c r="S1595" t="s">
        <v>124</v>
      </c>
      <c r="T1595" t="s">
        <v>124</v>
      </c>
      <c r="U1595" t="s">
        <v>124</v>
      </c>
      <c r="X1595" s="19">
        <f t="shared" si="93"/>
        <v>0.91034482758620694</v>
      </c>
      <c r="Y1595" s="19">
        <f t="shared" si="94"/>
        <v>1.2527634487840777E-2</v>
      </c>
      <c r="Z1595" s="26"/>
    </row>
    <row r="1596" spans="1:26" x14ac:dyDescent="0.35">
      <c r="A1596" t="s">
        <v>122</v>
      </c>
      <c r="B1596" t="s">
        <v>122</v>
      </c>
      <c r="C1596" t="s">
        <v>123</v>
      </c>
      <c r="D1596" t="s">
        <v>101</v>
      </c>
      <c r="E1596" t="s">
        <v>99</v>
      </c>
      <c r="F1596" t="s">
        <v>12</v>
      </c>
      <c r="G1596">
        <v>1</v>
      </c>
      <c r="H1596">
        <v>132</v>
      </c>
      <c r="I1596">
        <v>0.91034482758620605</v>
      </c>
      <c r="J1596" s="25">
        <f t="shared" si="91"/>
        <v>0.91034482758620694</v>
      </c>
      <c r="K1596">
        <v>1340</v>
      </c>
      <c r="L1596">
        <v>17</v>
      </c>
      <c r="M1596">
        <v>1.25276344878408E-2</v>
      </c>
      <c r="N1596" s="25">
        <f t="shared" si="90"/>
        <v>1.2527634487840777E-2</v>
      </c>
      <c r="O1596">
        <v>0.987472365512159</v>
      </c>
      <c r="P1596" s="25">
        <f t="shared" si="92"/>
        <v>0.98747236551215922</v>
      </c>
      <c r="Q1596">
        <v>13</v>
      </c>
      <c r="R1596" t="s">
        <v>124</v>
      </c>
      <c r="S1596" t="s">
        <v>124</v>
      </c>
      <c r="T1596" t="s">
        <v>124</v>
      </c>
      <c r="U1596" t="s">
        <v>124</v>
      </c>
      <c r="X1596" s="19">
        <f t="shared" si="93"/>
        <v>0.91034482758620694</v>
      </c>
      <c r="Y1596" s="19">
        <f t="shared" si="94"/>
        <v>1.2527634487840777E-2</v>
      </c>
      <c r="Z1596" s="26"/>
    </row>
    <row r="1597" spans="1:26" x14ac:dyDescent="0.35">
      <c r="A1597" t="s">
        <v>122</v>
      </c>
      <c r="B1597" t="s">
        <v>122</v>
      </c>
      <c r="C1597" t="s">
        <v>123</v>
      </c>
      <c r="D1597" t="s">
        <v>101</v>
      </c>
      <c r="E1597" t="s">
        <v>99</v>
      </c>
      <c r="F1597" t="s">
        <v>12</v>
      </c>
      <c r="G1597">
        <v>1</v>
      </c>
      <c r="H1597">
        <v>132</v>
      </c>
      <c r="I1597">
        <v>0.91034482758620605</v>
      </c>
      <c r="J1597" s="25">
        <f t="shared" si="91"/>
        <v>0.91034482758620694</v>
      </c>
      <c r="K1597">
        <v>1340</v>
      </c>
      <c r="L1597">
        <v>17</v>
      </c>
      <c r="M1597">
        <v>1.25276344878408E-2</v>
      </c>
      <c r="N1597" s="25">
        <f t="shared" si="90"/>
        <v>1.2527634487840777E-2</v>
      </c>
      <c r="O1597">
        <v>0.987472365512159</v>
      </c>
      <c r="P1597" s="25">
        <f t="shared" si="92"/>
        <v>0.98747236551215922</v>
      </c>
      <c r="Q1597">
        <v>13</v>
      </c>
      <c r="R1597" t="s">
        <v>124</v>
      </c>
      <c r="S1597" t="s">
        <v>124</v>
      </c>
      <c r="T1597" t="s">
        <v>124</v>
      </c>
      <c r="U1597" t="s">
        <v>124</v>
      </c>
      <c r="X1597" s="19">
        <f t="shared" si="93"/>
        <v>0.91034482758620694</v>
      </c>
      <c r="Y1597" s="19">
        <f t="shared" si="94"/>
        <v>1.2527634487840777E-2</v>
      </c>
      <c r="Z1597" s="26"/>
    </row>
    <row r="1598" spans="1:26" x14ac:dyDescent="0.35">
      <c r="A1598" t="s">
        <v>122</v>
      </c>
      <c r="B1598" t="s">
        <v>122</v>
      </c>
      <c r="C1598" t="s">
        <v>123</v>
      </c>
      <c r="D1598" t="s">
        <v>101</v>
      </c>
      <c r="E1598" t="s">
        <v>99</v>
      </c>
      <c r="F1598" t="s">
        <v>12</v>
      </c>
      <c r="G1598">
        <v>1</v>
      </c>
      <c r="H1598">
        <v>132</v>
      </c>
      <c r="I1598">
        <v>0.91034482758620605</v>
      </c>
      <c r="J1598" s="25">
        <f t="shared" si="91"/>
        <v>0.91034482758620694</v>
      </c>
      <c r="K1598">
        <v>1340</v>
      </c>
      <c r="L1598">
        <v>17</v>
      </c>
      <c r="M1598">
        <v>1.25276344878408E-2</v>
      </c>
      <c r="N1598" s="25">
        <f t="shared" si="90"/>
        <v>1.2527634487840777E-2</v>
      </c>
      <c r="O1598">
        <v>0.987472365512159</v>
      </c>
      <c r="P1598" s="25">
        <f t="shared" si="92"/>
        <v>0.98747236551215922</v>
      </c>
      <c r="Q1598">
        <v>13</v>
      </c>
      <c r="R1598" t="s">
        <v>124</v>
      </c>
      <c r="S1598" t="s">
        <v>124</v>
      </c>
      <c r="T1598" t="s">
        <v>124</v>
      </c>
      <c r="U1598" t="s">
        <v>124</v>
      </c>
      <c r="X1598" s="19">
        <f t="shared" si="93"/>
        <v>0.91034482758620694</v>
      </c>
      <c r="Y1598" s="19">
        <f t="shared" si="94"/>
        <v>1.2527634487840777E-2</v>
      </c>
      <c r="Z1598" s="26"/>
    </row>
    <row r="1599" spans="1:26" x14ac:dyDescent="0.35">
      <c r="A1599" t="s">
        <v>122</v>
      </c>
      <c r="B1599" t="s">
        <v>122</v>
      </c>
      <c r="C1599" t="s">
        <v>123</v>
      </c>
      <c r="D1599" t="s">
        <v>101</v>
      </c>
      <c r="E1599" t="s">
        <v>99</v>
      </c>
      <c r="F1599" t="s">
        <v>12</v>
      </c>
      <c r="G1599">
        <v>1</v>
      </c>
      <c r="H1599">
        <v>132</v>
      </c>
      <c r="I1599">
        <v>0.91034482758620605</v>
      </c>
      <c r="J1599" s="25">
        <f t="shared" si="91"/>
        <v>0.91034482758620694</v>
      </c>
      <c r="K1599">
        <v>1340</v>
      </c>
      <c r="L1599">
        <v>17</v>
      </c>
      <c r="M1599">
        <v>1.25276344878408E-2</v>
      </c>
      <c r="N1599" s="25">
        <f t="shared" si="90"/>
        <v>1.2527634487840777E-2</v>
      </c>
      <c r="O1599">
        <v>0.987472365512159</v>
      </c>
      <c r="P1599" s="25">
        <f t="shared" si="92"/>
        <v>0.98747236551215922</v>
      </c>
      <c r="Q1599">
        <v>13</v>
      </c>
      <c r="R1599" t="s">
        <v>124</v>
      </c>
      <c r="S1599" t="s">
        <v>124</v>
      </c>
      <c r="T1599" t="s">
        <v>124</v>
      </c>
      <c r="U1599" t="s">
        <v>124</v>
      </c>
      <c r="X1599" s="19">
        <f t="shared" si="93"/>
        <v>0.91034482758620694</v>
      </c>
      <c r="Y1599" s="19">
        <f t="shared" si="94"/>
        <v>1.2527634487840777E-2</v>
      </c>
      <c r="Z1599" s="26"/>
    </row>
    <row r="1600" spans="1:26" x14ac:dyDescent="0.35">
      <c r="A1600" t="s">
        <v>122</v>
      </c>
      <c r="B1600" t="s">
        <v>122</v>
      </c>
      <c r="C1600" t="s">
        <v>123</v>
      </c>
      <c r="D1600" t="s">
        <v>101</v>
      </c>
      <c r="E1600" t="s">
        <v>99</v>
      </c>
      <c r="F1600" t="s">
        <v>12</v>
      </c>
      <c r="G1600">
        <v>1</v>
      </c>
      <c r="H1600">
        <v>132</v>
      </c>
      <c r="I1600">
        <v>0.91034482758620605</v>
      </c>
      <c r="J1600" s="25">
        <f t="shared" si="91"/>
        <v>0.91034482758620694</v>
      </c>
      <c r="K1600">
        <v>1340</v>
      </c>
      <c r="L1600">
        <v>17</v>
      </c>
      <c r="M1600">
        <v>1.25276344878408E-2</v>
      </c>
      <c r="N1600" s="25">
        <f t="shared" si="90"/>
        <v>1.2527634487840777E-2</v>
      </c>
      <c r="O1600">
        <v>0.987472365512159</v>
      </c>
      <c r="P1600" s="25">
        <f t="shared" si="92"/>
        <v>0.98747236551215922</v>
      </c>
      <c r="Q1600">
        <v>13</v>
      </c>
      <c r="R1600" t="s">
        <v>124</v>
      </c>
      <c r="S1600" t="s">
        <v>124</v>
      </c>
      <c r="T1600" t="s">
        <v>124</v>
      </c>
      <c r="U1600" t="s">
        <v>124</v>
      </c>
      <c r="X1600" s="19">
        <f t="shared" si="93"/>
        <v>0.91034482758620694</v>
      </c>
      <c r="Y1600" s="19">
        <f t="shared" si="94"/>
        <v>1.2527634487840777E-2</v>
      </c>
      <c r="Z1600" s="26"/>
    </row>
    <row r="1601" spans="1:26" x14ac:dyDescent="0.35">
      <c r="A1601" t="s">
        <v>122</v>
      </c>
      <c r="B1601" t="s">
        <v>122</v>
      </c>
      <c r="C1601" t="s">
        <v>123</v>
      </c>
      <c r="D1601" t="s">
        <v>101</v>
      </c>
      <c r="E1601" t="s">
        <v>99</v>
      </c>
      <c r="F1601" t="s">
        <v>12</v>
      </c>
      <c r="G1601">
        <v>1</v>
      </c>
      <c r="H1601">
        <v>132</v>
      </c>
      <c r="I1601">
        <v>0.91034482758620605</v>
      </c>
      <c r="J1601" s="25">
        <f t="shared" si="91"/>
        <v>0.91034482758620694</v>
      </c>
      <c r="K1601">
        <v>1340</v>
      </c>
      <c r="L1601">
        <v>17</v>
      </c>
      <c r="M1601">
        <v>1.25276344878408E-2</v>
      </c>
      <c r="N1601" s="25">
        <f t="shared" si="90"/>
        <v>1.2527634487840777E-2</v>
      </c>
      <c r="O1601">
        <v>0.987472365512159</v>
      </c>
      <c r="P1601" s="25">
        <f t="shared" si="92"/>
        <v>0.98747236551215922</v>
      </c>
      <c r="Q1601">
        <v>13</v>
      </c>
      <c r="R1601" t="s">
        <v>124</v>
      </c>
      <c r="S1601" t="s">
        <v>124</v>
      </c>
      <c r="T1601" t="s">
        <v>124</v>
      </c>
      <c r="U1601" t="s">
        <v>124</v>
      </c>
      <c r="X1601" s="19">
        <f t="shared" si="93"/>
        <v>0.91034482758620694</v>
      </c>
      <c r="Y1601" s="19">
        <f t="shared" si="94"/>
        <v>1.2527634487840777E-2</v>
      </c>
      <c r="Z1601" s="26"/>
    </row>
    <row r="1602" spans="1:26" x14ac:dyDescent="0.35">
      <c r="A1602" t="s">
        <v>122</v>
      </c>
      <c r="B1602" t="s">
        <v>122</v>
      </c>
      <c r="C1602" t="s">
        <v>123</v>
      </c>
      <c r="D1602" t="s">
        <v>101</v>
      </c>
      <c r="E1602" t="s">
        <v>99</v>
      </c>
      <c r="F1602" t="s">
        <v>12</v>
      </c>
      <c r="G1602">
        <v>1</v>
      </c>
      <c r="H1602">
        <v>132</v>
      </c>
      <c r="I1602">
        <v>0.91034482758620605</v>
      </c>
      <c r="J1602" s="25">
        <f t="shared" si="91"/>
        <v>0.91034482758620694</v>
      </c>
      <c r="K1602">
        <v>1340</v>
      </c>
      <c r="L1602">
        <v>17</v>
      </c>
      <c r="M1602">
        <v>1.25276344878408E-2</v>
      </c>
      <c r="N1602" s="25">
        <f t="shared" ref="N1602:N1665" si="95">1-P1602</f>
        <v>1.2527634487840777E-2</v>
      </c>
      <c r="O1602">
        <v>0.987472365512159</v>
      </c>
      <c r="P1602" s="25">
        <f t="shared" si="92"/>
        <v>0.98747236551215922</v>
      </c>
      <c r="Q1602">
        <v>13</v>
      </c>
      <c r="R1602" t="s">
        <v>124</v>
      </c>
      <c r="S1602" t="s">
        <v>124</v>
      </c>
      <c r="T1602" t="s">
        <v>124</v>
      </c>
      <c r="U1602" t="s">
        <v>124</v>
      </c>
      <c r="X1602" s="19">
        <f t="shared" si="93"/>
        <v>0.91034482758620694</v>
      </c>
      <c r="Y1602" s="19">
        <f t="shared" si="94"/>
        <v>1.2527634487840777E-2</v>
      </c>
      <c r="Z1602" s="26"/>
    </row>
    <row r="1603" spans="1:26" x14ac:dyDescent="0.35">
      <c r="A1603" t="s">
        <v>122</v>
      </c>
      <c r="B1603" t="s">
        <v>122</v>
      </c>
      <c r="C1603" t="s">
        <v>123</v>
      </c>
      <c r="D1603" t="s">
        <v>101</v>
      </c>
      <c r="E1603" t="s">
        <v>99</v>
      </c>
      <c r="F1603" t="s">
        <v>12</v>
      </c>
      <c r="G1603">
        <v>1</v>
      </c>
      <c r="H1603">
        <v>132</v>
      </c>
      <c r="I1603">
        <v>0.91034482758620605</v>
      </c>
      <c r="J1603" s="25">
        <f t="shared" ref="J1603:J1666" si="96">H1603/(H1603+Q1603)</f>
        <v>0.91034482758620694</v>
      </c>
      <c r="K1603">
        <v>1340</v>
      </c>
      <c r="L1603">
        <v>17</v>
      </c>
      <c r="M1603">
        <v>1.25276344878408E-2</v>
      </c>
      <c r="N1603" s="25">
        <f t="shared" si="95"/>
        <v>1.2527634487840777E-2</v>
      </c>
      <c r="O1603">
        <v>0.987472365512159</v>
      </c>
      <c r="P1603" s="25">
        <f t="shared" ref="P1603:P1666" si="97">K1603/(K1603+L1603)</f>
        <v>0.98747236551215922</v>
      </c>
      <c r="Q1603">
        <v>13</v>
      </c>
      <c r="R1603" t="s">
        <v>124</v>
      </c>
      <c r="S1603" t="s">
        <v>124</v>
      </c>
      <c r="T1603" t="s">
        <v>124</v>
      </c>
      <c r="U1603" t="s">
        <v>124</v>
      </c>
      <c r="X1603" s="19">
        <f t="shared" si="93"/>
        <v>0.91034482758620694</v>
      </c>
      <c r="Y1603" s="19">
        <f t="shared" si="94"/>
        <v>1.2527634487840777E-2</v>
      </c>
      <c r="Z1603" s="26"/>
    </row>
    <row r="1604" spans="1:26" x14ac:dyDescent="0.35">
      <c r="A1604" t="s">
        <v>122</v>
      </c>
      <c r="B1604" t="s">
        <v>122</v>
      </c>
      <c r="C1604" t="s">
        <v>123</v>
      </c>
      <c r="D1604" t="s">
        <v>101</v>
      </c>
      <c r="E1604" t="s">
        <v>99</v>
      </c>
      <c r="F1604" t="s">
        <v>12</v>
      </c>
      <c r="G1604">
        <v>1</v>
      </c>
      <c r="H1604">
        <v>132</v>
      </c>
      <c r="I1604">
        <v>0.91034482758620605</v>
      </c>
      <c r="J1604" s="25">
        <f t="shared" si="96"/>
        <v>0.91034482758620694</v>
      </c>
      <c r="K1604">
        <v>1340</v>
      </c>
      <c r="L1604">
        <v>17</v>
      </c>
      <c r="M1604">
        <v>1.25276344878408E-2</v>
      </c>
      <c r="N1604" s="25">
        <f t="shared" si="95"/>
        <v>1.2527634487840777E-2</v>
      </c>
      <c r="O1604">
        <v>0.987472365512159</v>
      </c>
      <c r="P1604" s="25">
        <f t="shared" si="97"/>
        <v>0.98747236551215922</v>
      </c>
      <c r="Q1604">
        <v>13</v>
      </c>
      <c r="R1604" t="s">
        <v>124</v>
      </c>
      <c r="S1604" t="s">
        <v>124</v>
      </c>
      <c r="T1604" t="s">
        <v>124</v>
      </c>
      <c r="U1604" t="s">
        <v>124</v>
      </c>
      <c r="X1604" s="19">
        <f t="shared" si="93"/>
        <v>0.91034482758620694</v>
      </c>
      <c r="Y1604" s="19">
        <f t="shared" si="94"/>
        <v>1.2527634487840777E-2</v>
      </c>
      <c r="Z1604" s="26"/>
    </row>
    <row r="1605" spans="1:26" x14ac:dyDescent="0.35">
      <c r="A1605" t="s">
        <v>122</v>
      </c>
      <c r="B1605" t="s">
        <v>122</v>
      </c>
      <c r="C1605" t="s">
        <v>123</v>
      </c>
      <c r="D1605" t="s">
        <v>101</v>
      </c>
      <c r="E1605" t="s">
        <v>99</v>
      </c>
      <c r="F1605" t="s">
        <v>12</v>
      </c>
      <c r="G1605">
        <v>1</v>
      </c>
      <c r="H1605">
        <v>132</v>
      </c>
      <c r="I1605">
        <v>0.91034482758620605</v>
      </c>
      <c r="J1605" s="25">
        <f t="shared" si="96"/>
        <v>0.91034482758620694</v>
      </c>
      <c r="K1605">
        <v>1340</v>
      </c>
      <c r="L1605">
        <v>17</v>
      </c>
      <c r="M1605">
        <v>1.25276344878408E-2</v>
      </c>
      <c r="N1605" s="25">
        <f t="shared" si="95"/>
        <v>1.2527634487840777E-2</v>
      </c>
      <c r="O1605">
        <v>0.987472365512159</v>
      </c>
      <c r="P1605" s="25">
        <f t="shared" si="97"/>
        <v>0.98747236551215922</v>
      </c>
      <c r="Q1605">
        <v>13</v>
      </c>
      <c r="R1605" t="s">
        <v>124</v>
      </c>
      <c r="S1605" t="s">
        <v>124</v>
      </c>
      <c r="T1605" t="s">
        <v>124</v>
      </c>
      <c r="U1605" t="s">
        <v>124</v>
      </c>
      <c r="X1605" s="19">
        <f t="shared" si="93"/>
        <v>0.91034482758620694</v>
      </c>
      <c r="Y1605" s="19">
        <f t="shared" si="94"/>
        <v>1.2527634487840777E-2</v>
      </c>
      <c r="Z1605" s="26"/>
    </row>
    <row r="1606" spans="1:26" x14ac:dyDescent="0.35">
      <c r="A1606" t="s">
        <v>122</v>
      </c>
      <c r="B1606" t="s">
        <v>122</v>
      </c>
      <c r="C1606" t="s">
        <v>123</v>
      </c>
      <c r="D1606" t="s">
        <v>101</v>
      </c>
      <c r="E1606" t="s">
        <v>99</v>
      </c>
      <c r="F1606" t="s">
        <v>12</v>
      </c>
      <c r="G1606">
        <v>1</v>
      </c>
      <c r="H1606">
        <v>132</v>
      </c>
      <c r="I1606">
        <v>0.91034482758620605</v>
      </c>
      <c r="J1606" s="25">
        <f t="shared" si="96"/>
        <v>0.91034482758620694</v>
      </c>
      <c r="K1606">
        <v>1340</v>
      </c>
      <c r="L1606">
        <v>17</v>
      </c>
      <c r="M1606">
        <v>1.25276344878408E-2</v>
      </c>
      <c r="N1606" s="25">
        <f t="shared" si="95"/>
        <v>1.2527634487840777E-2</v>
      </c>
      <c r="O1606">
        <v>0.987472365512159</v>
      </c>
      <c r="P1606" s="25">
        <f t="shared" si="97"/>
        <v>0.98747236551215922</v>
      </c>
      <c r="Q1606">
        <v>13</v>
      </c>
      <c r="R1606" t="s">
        <v>124</v>
      </c>
      <c r="S1606" t="s">
        <v>124</v>
      </c>
      <c r="T1606" t="s">
        <v>124</v>
      </c>
      <c r="U1606" t="s">
        <v>124</v>
      </c>
      <c r="X1606" s="19">
        <f t="shared" si="93"/>
        <v>0.91034482758620694</v>
      </c>
      <c r="Y1606" s="19">
        <f t="shared" si="94"/>
        <v>1.2527634487840777E-2</v>
      </c>
      <c r="Z1606" s="26"/>
    </row>
    <row r="1607" spans="1:26" x14ac:dyDescent="0.35">
      <c r="A1607" t="s">
        <v>122</v>
      </c>
      <c r="B1607" t="s">
        <v>122</v>
      </c>
      <c r="C1607" t="s">
        <v>123</v>
      </c>
      <c r="D1607" t="s">
        <v>101</v>
      </c>
      <c r="E1607" t="s">
        <v>99</v>
      </c>
      <c r="F1607" t="s">
        <v>12</v>
      </c>
      <c r="G1607">
        <v>1</v>
      </c>
      <c r="H1607">
        <v>132</v>
      </c>
      <c r="I1607">
        <v>0.91034482758620605</v>
      </c>
      <c r="J1607" s="25">
        <f t="shared" si="96"/>
        <v>0.91034482758620694</v>
      </c>
      <c r="K1607">
        <v>1340</v>
      </c>
      <c r="L1607">
        <v>17</v>
      </c>
      <c r="M1607">
        <v>1.25276344878408E-2</v>
      </c>
      <c r="N1607" s="25">
        <f t="shared" si="95"/>
        <v>1.2527634487840777E-2</v>
      </c>
      <c r="O1607">
        <v>0.987472365512159</v>
      </c>
      <c r="P1607" s="25">
        <f t="shared" si="97"/>
        <v>0.98747236551215922</v>
      </c>
      <c r="Q1607">
        <v>13</v>
      </c>
      <c r="R1607" t="s">
        <v>124</v>
      </c>
      <c r="S1607" t="s">
        <v>124</v>
      </c>
      <c r="T1607" t="s">
        <v>124</v>
      </c>
      <c r="U1607" t="s">
        <v>124</v>
      </c>
      <c r="X1607" s="19">
        <f t="shared" si="93"/>
        <v>0.91034482758620694</v>
      </c>
      <c r="Y1607" s="19">
        <f t="shared" si="94"/>
        <v>1.2527634487840777E-2</v>
      </c>
      <c r="Z1607" s="26"/>
    </row>
    <row r="1608" spans="1:26" x14ac:dyDescent="0.35">
      <c r="A1608" t="s">
        <v>122</v>
      </c>
      <c r="B1608" t="s">
        <v>122</v>
      </c>
      <c r="C1608" t="s">
        <v>123</v>
      </c>
      <c r="D1608" t="s">
        <v>101</v>
      </c>
      <c r="E1608" t="s">
        <v>99</v>
      </c>
      <c r="F1608" t="s">
        <v>12</v>
      </c>
      <c r="G1608">
        <v>1</v>
      </c>
      <c r="H1608">
        <v>132</v>
      </c>
      <c r="I1608">
        <v>0.91034482758620605</v>
      </c>
      <c r="J1608" s="25">
        <f t="shared" si="96"/>
        <v>0.91034482758620694</v>
      </c>
      <c r="K1608">
        <v>1340</v>
      </c>
      <c r="L1608">
        <v>17</v>
      </c>
      <c r="M1608">
        <v>1.25276344878408E-2</v>
      </c>
      <c r="N1608" s="25">
        <f t="shared" si="95"/>
        <v>1.2527634487840777E-2</v>
      </c>
      <c r="O1608">
        <v>0.987472365512159</v>
      </c>
      <c r="P1608" s="25">
        <f t="shared" si="97"/>
        <v>0.98747236551215922</v>
      </c>
      <c r="Q1608">
        <v>13</v>
      </c>
      <c r="R1608" t="s">
        <v>124</v>
      </c>
      <c r="S1608" t="s">
        <v>124</v>
      </c>
      <c r="T1608" t="s">
        <v>124</v>
      </c>
      <c r="U1608" t="s">
        <v>124</v>
      </c>
      <c r="X1608" s="19">
        <f t="shared" si="93"/>
        <v>0.91034482758620694</v>
      </c>
      <c r="Y1608" s="19">
        <f t="shared" si="94"/>
        <v>1.2527634487840777E-2</v>
      </c>
      <c r="Z1608" s="26"/>
    </row>
    <row r="1609" spans="1:26" x14ac:dyDescent="0.35">
      <c r="A1609" t="s">
        <v>122</v>
      </c>
      <c r="B1609" t="s">
        <v>122</v>
      </c>
      <c r="C1609" t="s">
        <v>123</v>
      </c>
      <c r="D1609" t="s">
        <v>101</v>
      </c>
      <c r="E1609" t="s">
        <v>99</v>
      </c>
      <c r="F1609" t="s">
        <v>12</v>
      </c>
      <c r="G1609">
        <v>1</v>
      </c>
      <c r="H1609">
        <v>132</v>
      </c>
      <c r="I1609">
        <v>0.91034482758620605</v>
      </c>
      <c r="J1609" s="25">
        <f t="shared" si="96"/>
        <v>0.91034482758620694</v>
      </c>
      <c r="K1609">
        <v>1340</v>
      </c>
      <c r="L1609">
        <v>17</v>
      </c>
      <c r="M1609">
        <v>1.25276344878408E-2</v>
      </c>
      <c r="N1609" s="25">
        <f t="shared" si="95"/>
        <v>1.2527634487840777E-2</v>
      </c>
      <c r="O1609">
        <v>0.987472365512159</v>
      </c>
      <c r="P1609" s="25">
        <f t="shared" si="97"/>
        <v>0.98747236551215922</v>
      </c>
      <c r="Q1609">
        <v>13</v>
      </c>
      <c r="R1609" t="s">
        <v>124</v>
      </c>
      <c r="S1609" t="s">
        <v>124</v>
      </c>
      <c r="T1609" t="s">
        <v>124</v>
      </c>
      <c r="U1609" t="s">
        <v>124</v>
      </c>
      <c r="X1609" s="19">
        <f t="shared" si="93"/>
        <v>0.91034482758620694</v>
      </c>
      <c r="Y1609" s="19">
        <f t="shared" si="94"/>
        <v>1.2527634487840777E-2</v>
      </c>
      <c r="Z1609" s="26"/>
    </row>
    <row r="1610" spans="1:26" x14ac:dyDescent="0.35">
      <c r="A1610" t="s">
        <v>122</v>
      </c>
      <c r="B1610" t="s">
        <v>122</v>
      </c>
      <c r="C1610" t="s">
        <v>123</v>
      </c>
      <c r="D1610" t="s">
        <v>101</v>
      </c>
      <c r="E1610" t="s">
        <v>99</v>
      </c>
      <c r="F1610" t="s">
        <v>12</v>
      </c>
      <c r="G1610">
        <v>1</v>
      </c>
      <c r="H1610">
        <v>132</v>
      </c>
      <c r="I1610">
        <v>0.91034482758620605</v>
      </c>
      <c r="J1610" s="25">
        <f t="shared" si="96"/>
        <v>0.91034482758620694</v>
      </c>
      <c r="K1610">
        <v>1340</v>
      </c>
      <c r="L1610">
        <v>17</v>
      </c>
      <c r="M1610">
        <v>1.25276344878408E-2</v>
      </c>
      <c r="N1610" s="25">
        <f t="shared" si="95"/>
        <v>1.2527634487840777E-2</v>
      </c>
      <c r="O1610">
        <v>0.987472365512159</v>
      </c>
      <c r="P1610" s="25">
        <f t="shared" si="97"/>
        <v>0.98747236551215922</v>
      </c>
      <c r="Q1610">
        <v>13</v>
      </c>
      <c r="R1610" t="s">
        <v>124</v>
      </c>
      <c r="S1610" t="s">
        <v>124</v>
      </c>
      <c r="T1610" t="s">
        <v>124</v>
      </c>
      <c r="U1610" t="s">
        <v>124</v>
      </c>
      <c r="X1610" s="19">
        <f t="shared" si="93"/>
        <v>0.91034482758620694</v>
      </c>
      <c r="Y1610" s="19">
        <f t="shared" si="94"/>
        <v>1.2527634487840777E-2</v>
      </c>
      <c r="Z1610" s="26"/>
    </row>
    <row r="1611" spans="1:26" x14ac:dyDescent="0.35">
      <c r="A1611" t="s">
        <v>122</v>
      </c>
      <c r="B1611" t="s">
        <v>122</v>
      </c>
      <c r="C1611" t="s">
        <v>123</v>
      </c>
      <c r="D1611" t="s">
        <v>101</v>
      </c>
      <c r="E1611" t="s">
        <v>99</v>
      </c>
      <c r="F1611" t="s">
        <v>12</v>
      </c>
      <c r="G1611">
        <v>1</v>
      </c>
      <c r="H1611">
        <v>132</v>
      </c>
      <c r="I1611">
        <v>0.91034482758620605</v>
      </c>
      <c r="J1611" s="25">
        <f t="shared" si="96"/>
        <v>0.91034482758620694</v>
      </c>
      <c r="K1611">
        <v>1340</v>
      </c>
      <c r="L1611">
        <v>17</v>
      </c>
      <c r="M1611">
        <v>1.25276344878408E-2</v>
      </c>
      <c r="N1611" s="25">
        <f t="shared" si="95"/>
        <v>1.2527634487840777E-2</v>
      </c>
      <c r="O1611">
        <v>0.987472365512159</v>
      </c>
      <c r="P1611" s="25">
        <f t="shared" si="97"/>
        <v>0.98747236551215922</v>
      </c>
      <c r="Q1611">
        <v>13</v>
      </c>
      <c r="R1611" t="s">
        <v>124</v>
      </c>
      <c r="S1611" t="s">
        <v>124</v>
      </c>
      <c r="T1611" t="s">
        <v>124</v>
      </c>
      <c r="U1611" t="s">
        <v>124</v>
      </c>
      <c r="X1611" s="19">
        <f t="shared" si="93"/>
        <v>0.91034482758620694</v>
      </c>
      <c r="Y1611" s="19">
        <f t="shared" si="94"/>
        <v>1.2527634487840777E-2</v>
      </c>
      <c r="Z1611" s="26"/>
    </row>
    <row r="1612" spans="1:26" x14ac:dyDescent="0.35">
      <c r="A1612" t="s">
        <v>122</v>
      </c>
      <c r="B1612" t="s">
        <v>122</v>
      </c>
      <c r="C1612" t="s">
        <v>123</v>
      </c>
      <c r="D1612" t="s">
        <v>101</v>
      </c>
      <c r="E1612" t="s">
        <v>99</v>
      </c>
      <c r="F1612" t="s">
        <v>12</v>
      </c>
      <c r="G1612">
        <v>1</v>
      </c>
      <c r="H1612">
        <v>132</v>
      </c>
      <c r="I1612">
        <v>0.91034482758620605</v>
      </c>
      <c r="J1612" s="25">
        <f t="shared" si="96"/>
        <v>0.91034482758620694</v>
      </c>
      <c r="K1612">
        <v>1340</v>
      </c>
      <c r="L1612">
        <v>17</v>
      </c>
      <c r="M1612">
        <v>1.25276344878408E-2</v>
      </c>
      <c r="N1612" s="25">
        <f t="shared" si="95"/>
        <v>1.2527634487840777E-2</v>
      </c>
      <c r="O1612">
        <v>0.987472365512159</v>
      </c>
      <c r="P1612" s="25">
        <f t="shared" si="97"/>
        <v>0.98747236551215922</v>
      </c>
      <c r="Q1612">
        <v>13</v>
      </c>
      <c r="R1612" t="s">
        <v>124</v>
      </c>
      <c r="S1612" t="s">
        <v>124</v>
      </c>
      <c r="T1612" t="s">
        <v>124</v>
      </c>
      <c r="U1612" t="s">
        <v>124</v>
      </c>
      <c r="X1612" s="19">
        <f t="shared" si="93"/>
        <v>0.91034482758620694</v>
      </c>
      <c r="Y1612" s="19">
        <f t="shared" si="94"/>
        <v>1.2527634487840777E-2</v>
      </c>
      <c r="Z1612" s="26"/>
    </row>
    <row r="1613" spans="1:26" x14ac:dyDescent="0.35">
      <c r="A1613" t="s">
        <v>122</v>
      </c>
      <c r="B1613" t="s">
        <v>122</v>
      </c>
      <c r="C1613" t="s">
        <v>123</v>
      </c>
      <c r="D1613" t="s">
        <v>101</v>
      </c>
      <c r="E1613" t="s">
        <v>99</v>
      </c>
      <c r="F1613" t="s">
        <v>12</v>
      </c>
      <c r="G1613">
        <v>1</v>
      </c>
      <c r="H1613">
        <v>132</v>
      </c>
      <c r="I1613">
        <v>0.91034482758620605</v>
      </c>
      <c r="J1613" s="25">
        <f t="shared" si="96"/>
        <v>0.91034482758620694</v>
      </c>
      <c r="K1613">
        <v>1340</v>
      </c>
      <c r="L1613">
        <v>17</v>
      </c>
      <c r="M1613">
        <v>1.25276344878408E-2</v>
      </c>
      <c r="N1613" s="25">
        <f t="shared" si="95"/>
        <v>1.2527634487840777E-2</v>
      </c>
      <c r="O1613">
        <v>0.987472365512159</v>
      </c>
      <c r="P1613" s="25">
        <f t="shared" si="97"/>
        <v>0.98747236551215922</v>
      </c>
      <c r="Q1613">
        <v>13</v>
      </c>
      <c r="R1613" t="s">
        <v>124</v>
      </c>
      <c r="S1613" t="s">
        <v>124</v>
      </c>
      <c r="T1613" t="s">
        <v>124</v>
      </c>
      <c r="U1613" t="s">
        <v>124</v>
      </c>
      <c r="X1613" s="19">
        <f t="shared" si="93"/>
        <v>0.91034482758620694</v>
      </c>
      <c r="Y1613" s="19">
        <f t="shared" si="94"/>
        <v>1.2527634487840777E-2</v>
      </c>
      <c r="Z1613" s="26"/>
    </row>
    <row r="1614" spans="1:26" x14ac:dyDescent="0.35">
      <c r="A1614" t="s">
        <v>122</v>
      </c>
      <c r="B1614" t="s">
        <v>122</v>
      </c>
      <c r="C1614" t="s">
        <v>123</v>
      </c>
      <c r="D1614" t="s">
        <v>101</v>
      </c>
      <c r="E1614" t="s">
        <v>99</v>
      </c>
      <c r="F1614" t="s">
        <v>12</v>
      </c>
      <c r="G1614">
        <v>1</v>
      </c>
      <c r="H1614">
        <v>132</v>
      </c>
      <c r="I1614">
        <v>0.91034482758620605</v>
      </c>
      <c r="J1614" s="25">
        <f t="shared" si="96"/>
        <v>0.91034482758620694</v>
      </c>
      <c r="K1614">
        <v>1340</v>
      </c>
      <c r="L1614">
        <v>17</v>
      </c>
      <c r="M1614">
        <v>1.25276344878408E-2</v>
      </c>
      <c r="N1614" s="25">
        <f t="shared" si="95"/>
        <v>1.2527634487840777E-2</v>
      </c>
      <c r="O1614">
        <v>0.987472365512159</v>
      </c>
      <c r="P1614" s="25">
        <f t="shared" si="97"/>
        <v>0.98747236551215922</v>
      </c>
      <c r="Q1614">
        <v>13</v>
      </c>
      <c r="R1614" t="s">
        <v>124</v>
      </c>
      <c r="S1614" t="s">
        <v>124</v>
      </c>
      <c r="T1614" t="s">
        <v>124</v>
      </c>
      <c r="U1614" t="s">
        <v>124</v>
      </c>
      <c r="X1614" s="19">
        <f t="shared" si="93"/>
        <v>0.91034482758620694</v>
      </c>
      <c r="Y1614" s="19">
        <f t="shared" si="94"/>
        <v>1.2527634487840777E-2</v>
      </c>
      <c r="Z1614" s="26"/>
    </row>
    <row r="1615" spans="1:26" x14ac:dyDescent="0.35">
      <c r="A1615" t="s">
        <v>122</v>
      </c>
      <c r="B1615" t="s">
        <v>122</v>
      </c>
      <c r="C1615" t="s">
        <v>123</v>
      </c>
      <c r="D1615" t="s">
        <v>101</v>
      </c>
      <c r="E1615" t="s">
        <v>99</v>
      </c>
      <c r="F1615" t="s">
        <v>12</v>
      </c>
      <c r="G1615">
        <v>1</v>
      </c>
      <c r="H1615">
        <v>132</v>
      </c>
      <c r="I1615">
        <v>0.91034482758620605</v>
      </c>
      <c r="J1615" s="25">
        <f t="shared" si="96"/>
        <v>0.91034482758620694</v>
      </c>
      <c r="K1615">
        <v>1340</v>
      </c>
      <c r="L1615">
        <v>17</v>
      </c>
      <c r="M1615">
        <v>1.25276344878408E-2</v>
      </c>
      <c r="N1615" s="25">
        <f t="shared" si="95"/>
        <v>1.2527634487840777E-2</v>
      </c>
      <c r="O1615">
        <v>0.987472365512159</v>
      </c>
      <c r="P1615" s="25">
        <f t="shared" si="97"/>
        <v>0.98747236551215922</v>
      </c>
      <c r="Q1615">
        <v>13</v>
      </c>
      <c r="R1615" t="s">
        <v>124</v>
      </c>
      <c r="S1615" t="s">
        <v>124</v>
      </c>
      <c r="T1615" t="s">
        <v>124</v>
      </c>
      <c r="U1615" t="s">
        <v>124</v>
      </c>
      <c r="X1615" s="19">
        <f t="shared" si="93"/>
        <v>0.91034482758620694</v>
      </c>
      <c r="Y1615" s="19">
        <f t="shared" si="94"/>
        <v>1.2527634487840777E-2</v>
      </c>
      <c r="Z1615" s="26"/>
    </row>
    <row r="1616" spans="1:26" x14ac:dyDescent="0.35">
      <c r="A1616" t="s">
        <v>122</v>
      </c>
      <c r="B1616" t="s">
        <v>122</v>
      </c>
      <c r="C1616" t="s">
        <v>123</v>
      </c>
      <c r="D1616" t="s">
        <v>101</v>
      </c>
      <c r="E1616" t="s">
        <v>99</v>
      </c>
      <c r="F1616" t="s">
        <v>12</v>
      </c>
      <c r="G1616">
        <v>1</v>
      </c>
      <c r="H1616">
        <v>132</v>
      </c>
      <c r="I1616">
        <v>0.91034482758620605</v>
      </c>
      <c r="J1616" s="25">
        <f t="shared" si="96"/>
        <v>0.91034482758620694</v>
      </c>
      <c r="K1616">
        <v>1340</v>
      </c>
      <c r="L1616">
        <v>17</v>
      </c>
      <c r="M1616">
        <v>1.25276344878408E-2</v>
      </c>
      <c r="N1616" s="25">
        <f t="shared" si="95"/>
        <v>1.2527634487840777E-2</v>
      </c>
      <c r="O1616">
        <v>0.987472365512159</v>
      </c>
      <c r="P1616" s="25">
        <f t="shared" si="97"/>
        <v>0.98747236551215922</v>
      </c>
      <c r="Q1616">
        <v>13</v>
      </c>
      <c r="R1616" t="s">
        <v>124</v>
      </c>
      <c r="S1616" t="s">
        <v>124</v>
      </c>
      <c r="T1616" t="s">
        <v>124</v>
      </c>
      <c r="U1616" t="s">
        <v>124</v>
      </c>
      <c r="X1616" s="19">
        <f t="shared" si="93"/>
        <v>0.91034482758620694</v>
      </c>
      <c r="Y1616" s="19">
        <f t="shared" si="94"/>
        <v>1.2527634487840777E-2</v>
      </c>
      <c r="Z1616" s="26"/>
    </row>
    <row r="1617" spans="1:26" x14ac:dyDescent="0.35">
      <c r="A1617" t="s">
        <v>122</v>
      </c>
      <c r="B1617" t="s">
        <v>122</v>
      </c>
      <c r="C1617" t="s">
        <v>123</v>
      </c>
      <c r="D1617" t="s">
        <v>101</v>
      </c>
      <c r="E1617" t="s">
        <v>99</v>
      </c>
      <c r="F1617" t="s">
        <v>12</v>
      </c>
      <c r="G1617">
        <v>1</v>
      </c>
      <c r="H1617">
        <v>132</v>
      </c>
      <c r="I1617">
        <v>0.91034482758620605</v>
      </c>
      <c r="J1617" s="25">
        <f t="shared" si="96"/>
        <v>0.91034482758620694</v>
      </c>
      <c r="K1617">
        <v>1340</v>
      </c>
      <c r="L1617">
        <v>17</v>
      </c>
      <c r="M1617">
        <v>1.25276344878408E-2</v>
      </c>
      <c r="N1617" s="25">
        <f t="shared" si="95"/>
        <v>1.2527634487840777E-2</v>
      </c>
      <c r="O1617">
        <v>0.987472365512159</v>
      </c>
      <c r="P1617" s="25">
        <f t="shared" si="97"/>
        <v>0.98747236551215922</v>
      </c>
      <c r="Q1617">
        <v>13</v>
      </c>
      <c r="R1617" t="s">
        <v>124</v>
      </c>
      <c r="S1617" t="s">
        <v>124</v>
      </c>
      <c r="T1617" t="s">
        <v>124</v>
      </c>
      <c r="U1617" t="s">
        <v>124</v>
      </c>
      <c r="X1617" s="19">
        <f t="shared" si="93"/>
        <v>0.91034482758620694</v>
      </c>
      <c r="Y1617" s="19">
        <f t="shared" si="94"/>
        <v>1.2527634487840777E-2</v>
      </c>
      <c r="Z1617" s="26"/>
    </row>
    <row r="1618" spans="1:26" x14ac:dyDescent="0.35">
      <c r="A1618" t="s">
        <v>122</v>
      </c>
      <c r="B1618" t="s">
        <v>122</v>
      </c>
      <c r="C1618" t="s">
        <v>123</v>
      </c>
      <c r="D1618" t="s">
        <v>101</v>
      </c>
      <c r="E1618" t="s">
        <v>99</v>
      </c>
      <c r="F1618" t="s">
        <v>12</v>
      </c>
      <c r="G1618">
        <v>1</v>
      </c>
      <c r="H1618">
        <v>132</v>
      </c>
      <c r="I1618">
        <v>0.91034482758620605</v>
      </c>
      <c r="J1618" s="25">
        <f t="shared" si="96"/>
        <v>0.91034482758620694</v>
      </c>
      <c r="K1618">
        <v>1340</v>
      </c>
      <c r="L1618">
        <v>17</v>
      </c>
      <c r="M1618">
        <v>1.25276344878408E-2</v>
      </c>
      <c r="N1618" s="25">
        <f t="shared" si="95"/>
        <v>1.2527634487840777E-2</v>
      </c>
      <c r="O1618">
        <v>0.987472365512159</v>
      </c>
      <c r="P1618" s="25">
        <f t="shared" si="97"/>
        <v>0.98747236551215922</v>
      </c>
      <c r="Q1618">
        <v>13</v>
      </c>
      <c r="R1618" t="s">
        <v>124</v>
      </c>
      <c r="S1618" t="s">
        <v>124</v>
      </c>
      <c r="T1618" t="s">
        <v>124</v>
      </c>
      <c r="U1618" t="s">
        <v>124</v>
      </c>
      <c r="X1618" s="19">
        <f t="shared" si="93"/>
        <v>0.91034482758620694</v>
      </c>
      <c r="Y1618" s="19">
        <f t="shared" si="94"/>
        <v>1.2527634487840777E-2</v>
      </c>
      <c r="Z1618" s="26"/>
    </row>
    <row r="1619" spans="1:26" x14ac:dyDescent="0.35">
      <c r="A1619" t="s">
        <v>122</v>
      </c>
      <c r="B1619" t="s">
        <v>122</v>
      </c>
      <c r="C1619" t="s">
        <v>123</v>
      </c>
      <c r="D1619" t="s">
        <v>101</v>
      </c>
      <c r="E1619" t="s">
        <v>99</v>
      </c>
      <c r="F1619" t="s">
        <v>12</v>
      </c>
      <c r="G1619">
        <v>1</v>
      </c>
      <c r="H1619">
        <v>132</v>
      </c>
      <c r="I1619">
        <v>0.91034482758620605</v>
      </c>
      <c r="J1619" s="25">
        <f t="shared" si="96"/>
        <v>0.91034482758620694</v>
      </c>
      <c r="K1619">
        <v>1340</v>
      </c>
      <c r="L1619">
        <v>17</v>
      </c>
      <c r="M1619">
        <v>1.25276344878408E-2</v>
      </c>
      <c r="N1619" s="25">
        <f t="shared" si="95"/>
        <v>1.2527634487840777E-2</v>
      </c>
      <c r="O1619">
        <v>0.987472365512159</v>
      </c>
      <c r="P1619" s="25">
        <f t="shared" si="97"/>
        <v>0.98747236551215922</v>
      </c>
      <c r="Q1619">
        <v>13</v>
      </c>
      <c r="R1619" t="s">
        <v>124</v>
      </c>
      <c r="S1619" t="s">
        <v>124</v>
      </c>
      <c r="T1619" t="s">
        <v>124</v>
      </c>
      <c r="U1619" t="s">
        <v>124</v>
      </c>
      <c r="X1619" s="19">
        <f t="shared" si="93"/>
        <v>0.91034482758620694</v>
      </c>
      <c r="Y1619" s="19">
        <f t="shared" si="94"/>
        <v>1.2527634487840777E-2</v>
      </c>
      <c r="Z1619" s="26"/>
    </row>
    <row r="1620" spans="1:26" x14ac:dyDescent="0.35">
      <c r="A1620" t="s">
        <v>122</v>
      </c>
      <c r="B1620" t="s">
        <v>122</v>
      </c>
      <c r="C1620" t="s">
        <v>123</v>
      </c>
      <c r="D1620" t="s">
        <v>101</v>
      </c>
      <c r="E1620" t="s">
        <v>99</v>
      </c>
      <c r="F1620" t="s">
        <v>12</v>
      </c>
      <c r="G1620">
        <v>1</v>
      </c>
      <c r="H1620">
        <v>132</v>
      </c>
      <c r="I1620">
        <v>0.91034482758620605</v>
      </c>
      <c r="J1620" s="25">
        <f t="shared" si="96"/>
        <v>0.91034482758620694</v>
      </c>
      <c r="K1620">
        <v>1340</v>
      </c>
      <c r="L1620">
        <v>17</v>
      </c>
      <c r="M1620">
        <v>1.25276344878408E-2</v>
      </c>
      <c r="N1620" s="25">
        <f t="shared" si="95"/>
        <v>1.2527634487840777E-2</v>
      </c>
      <c r="O1620">
        <v>0.987472365512159</v>
      </c>
      <c r="P1620" s="25">
        <f t="shared" si="97"/>
        <v>0.98747236551215922</v>
      </c>
      <c r="Q1620">
        <v>13</v>
      </c>
      <c r="R1620" t="s">
        <v>124</v>
      </c>
      <c r="S1620" t="s">
        <v>124</v>
      </c>
      <c r="T1620" t="s">
        <v>124</v>
      </c>
      <c r="U1620" t="s">
        <v>124</v>
      </c>
      <c r="X1620" s="19">
        <f t="shared" si="93"/>
        <v>0.91034482758620694</v>
      </c>
      <c r="Y1620" s="19">
        <f t="shared" si="94"/>
        <v>1.2527634487840777E-2</v>
      </c>
      <c r="Z1620" s="26"/>
    </row>
    <row r="1621" spans="1:26" x14ac:dyDescent="0.35">
      <c r="A1621" t="s">
        <v>122</v>
      </c>
      <c r="B1621" t="s">
        <v>122</v>
      </c>
      <c r="C1621" t="s">
        <v>123</v>
      </c>
      <c r="D1621" t="s">
        <v>101</v>
      </c>
      <c r="E1621" t="s">
        <v>99</v>
      </c>
      <c r="F1621" t="s">
        <v>12</v>
      </c>
      <c r="G1621">
        <v>1</v>
      </c>
      <c r="H1621">
        <v>132</v>
      </c>
      <c r="I1621">
        <v>0.91034482758620605</v>
      </c>
      <c r="J1621" s="25">
        <f t="shared" si="96"/>
        <v>0.91034482758620694</v>
      </c>
      <c r="K1621">
        <v>1340</v>
      </c>
      <c r="L1621">
        <v>17</v>
      </c>
      <c r="M1621">
        <v>1.25276344878408E-2</v>
      </c>
      <c r="N1621" s="25">
        <f t="shared" si="95"/>
        <v>1.2527634487840777E-2</v>
      </c>
      <c r="O1621">
        <v>0.987472365512159</v>
      </c>
      <c r="P1621" s="25">
        <f t="shared" si="97"/>
        <v>0.98747236551215922</v>
      </c>
      <c r="Q1621">
        <v>13</v>
      </c>
      <c r="R1621" t="s">
        <v>124</v>
      </c>
      <c r="S1621" t="s">
        <v>124</v>
      </c>
      <c r="T1621" t="s">
        <v>124</v>
      </c>
      <c r="U1621" t="s">
        <v>124</v>
      </c>
      <c r="X1621" s="19">
        <f t="shared" si="93"/>
        <v>0.91034482758620694</v>
      </c>
      <c r="Y1621" s="19">
        <f t="shared" si="94"/>
        <v>1.2527634487840777E-2</v>
      </c>
      <c r="Z1621" s="26"/>
    </row>
    <row r="1622" spans="1:26" x14ac:dyDescent="0.35">
      <c r="A1622" t="s">
        <v>122</v>
      </c>
      <c r="B1622" t="s">
        <v>122</v>
      </c>
      <c r="C1622" t="s">
        <v>123</v>
      </c>
      <c r="D1622" t="s">
        <v>101</v>
      </c>
      <c r="E1622" t="s">
        <v>99</v>
      </c>
      <c r="F1622" t="s">
        <v>12</v>
      </c>
      <c r="G1622">
        <v>1</v>
      </c>
      <c r="H1622">
        <v>132</v>
      </c>
      <c r="I1622">
        <v>0.91034482758620605</v>
      </c>
      <c r="J1622" s="25">
        <f t="shared" si="96"/>
        <v>0.91034482758620694</v>
      </c>
      <c r="K1622">
        <v>1340</v>
      </c>
      <c r="L1622">
        <v>17</v>
      </c>
      <c r="M1622">
        <v>1.25276344878408E-2</v>
      </c>
      <c r="N1622" s="25">
        <f t="shared" si="95"/>
        <v>1.2527634487840777E-2</v>
      </c>
      <c r="O1622">
        <v>0.987472365512159</v>
      </c>
      <c r="P1622" s="25">
        <f t="shared" si="97"/>
        <v>0.98747236551215922</v>
      </c>
      <c r="Q1622">
        <v>13</v>
      </c>
      <c r="R1622" t="s">
        <v>124</v>
      </c>
      <c r="S1622" t="s">
        <v>124</v>
      </c>
      <c r="T1622" t="s">
        <v>124</v>
      </c>
      <c r="U1622" t="s">
        <v>124</v>
      </c>
      <c r="X1622" s="19">
        <f t="shared" si="93"/>
        <v>0.91034482758620694</v>
      </c>
      <c r="Y1622" s="19">
        <f t="shared" si="94"/>
        <v>1.2527634487840777E-2</v>
      </c>
      <c r="Z1622" s="26"/>
    </row>
    <row r="1623" spans="1:26" x14ac:dyDescent="0.35">
      <c r="A1623" t="s">
        <v>122</v>
      </c>
      <c r="B1623" t="s">
        <v>122</v>
      </c>
      <c r="C1623" t="s">
        <v>123</v>
      </c>
      <c r="D1623" t="s">
        <v>101</v>
      </c>
      <c r="E1623" t="s">
        <v>99</v>
      </c>
      <c r="F1623" t="s">
        <v>12</v>
      </c>
      <c r="G1623">
        <v>1</v>
      </c>
      <c r="H1623">
        <v>132</v>
      </c>
      <c r="I1623">
        <v>0.91034482758620605</v>
      </c>
      <c r="J1623" s="25">
        <f t="shared" si="96"/>
        <v>0.91034482758620694</v>
      </c>
      <c r="K1623">
        <v>1340</v>
      </c>
      <c r="L1623">
        <v>17</v>
      </c>
      <c r="M1623">
        <v>1.25276344878408E-2</v>
      </c>
      <c r="N1623" s="25">
        <f t="shared" si="95"/>
        <v>1.2527634487840777E-2</v>
      </c>
      <c r="O1623">
        <v>0.987472365512159</v>
      </c>
      <c r="P1623" s="25">
        <f t="shared" si="97"/>
        <v>0.98747236551215922</v>
      </c>
      <c r="Q1623">
        <v>13</v>
      </c>
      <c r="R1623" t="s">
        <v>124</v>
      </c>
      <c r="S1623" t="s">
        <v>124</v>
      </c>
      <c r="T1623" t="s">
        <v>124</v>
      </c>
      <c r="U1623" t="s">
        <v>124</v>
      </c>
      <c r="X1623" s="19">
        <f t="shared" si="93"/>
        <v>0.91034482758620694</v>
      </c>
      <c r="Y1623" s="19">
        <f t="shared" si="94"/>
        <v>1.2527634487840777E-2</v>
      </c>
      <c r="Z1623" s="26"/>
    </row>
    <row r="1624" spans="1:26" x14ac:dyDescent="0.35">
      <c r="A1624" t="s">
        <v>122</v>
      </c>
      <c r="B1624" t="s">
        <v>122</v>
      </c>
      <c r="C1624" t="s">
        <v>123</v>
      </c>
      <c r="D1624" t="s">
        <v>101</v>
      </c>
      <c r="E1624" t="s">
        <v>99</v>
      </c>
      <c r="F1624" t="s">
        <v>12</v>
      </c>
      <c r="G1624">
        <v>1</v>
      </c>
      <c r="H1624">
        <v>132</v>
      </c>
      <c r="I1624">
        <v>0.91034482758620605</v>
      </c>
      <c r="J1624" s="25">
        <f t="shared" si="96"/>
        <v>0.91034482758620694</v>
      </c>
      <c r="K1624">
        <v>1340</v>
      </c>
      <c r="L1624">
        <v>17</v>
      </c>
      <c r="M1624">
        <v>1.25276344878408E-2</v>
      </c>
      <c r="N1624" s="25">
        <f t="shared" si="95"/>
        <v>1.2527634487840777E-2</v>
      </c>
      <c r="O1624">
        <v>0.987472365512159</v>
      </c>
      <c r="P1624" s="25">
        <f t="shared" si="97"/>
        <v>0.98747236551215922</v>
      </c>
      <c r="Q1624">
        <v>13</v>
      </c>
      <c r="R1624" t="s">
        <v>124</v>
      </c>
      <c r="S1624" t="s">
        <v>124</v>
      </c>
      <c r="T1624" t="s">
        <v>124</v>
      </c>
      <c r="U1624" t="s">
        <v>124</v>
      </c>
      <c r="X1624" s="19">
        <f t="shared" si="93"/>
        <v>0.91034482758620694</v>
      </c>
      <c r="Y1624" s="19">
        <f t="shared" si="94"/>
        <v>1.2527634487840777E-2</v>
      </c>
      <c r="Z1624" s="26"/>
    </row>
    <row r="1625" spans="1:26" x14ac:dyDescent="0.35">
      <c r="A1625" t="s">
        <v>122</v>
      </c>
      <c r="B1625" t="s">
        <v>122</v>
      </c>
      <c r="C1625" t="s">
        <v>123</v>
      </c>
      <c r="D1625" t="s">
        <v>101</v>
      </c>
      <c r="E1625" t="s">
        <v>99</v>
      </c>
      <c r="F1625" t="s">
        <v>12</v>
      </c>
      <c r="G1625">
        <v>1</v>
      </c>
      <c r="H1625">
        <v>132</v>
      </c>
      <c r="I1625">
        <v>0.91034482758620605</v>
      </c>
      <c r="J1625" s="25">
        <f t="shared" si="96"/>
        <v>0.91034482758620694</v>
      </c>
      <c r="K1625">
        <v>1340</v>
      </c>
      <c r="L1625">
        <v>17</v>
      </c>
      <c r="M1625">
        <v>1.25276344878408E-2</v>
      </c>
      <c r="N1625" s="25">
        <f t="shared" si="95"/>
        <v>1.2527634487840777E-2</v>
      </c>
      <c r="O1625">
        <v>0.987472365512159</v>
      </c>
      <c r="P1625" s="25">
        <f t="shared" si="97"/>
        <v>0.98747236551215922</v>
      </c>
      <c r="Q1625">
        <v>13</v>
      </c>
      <c r="R1625" t="s">
        <v>124</v>
      </c>
      <c r="S1625" t="s">
        <v>124</v>
      </c>
      <c r="T1625" t="s">
        <v>124</v>
      </c>
      <c r="U1625" t="s">
        <v>124</v>
      </c>
      <c r="X1625" s="19">
        <f t="shared" si="93"/>
        <v>0.91034482758620694</v>
      </c>
      <c r="Y1625" s="19">
        <f t="shared" si="94"/>
        <v>1.2527634487840777E-2</v>
      </c>
      <c r="Z1625" s="26"/>
    </row>
    <row r="1626" spans="1:26" x14ac:dyDescent="0.35">
      <c r="A1626" t="s">
        <v>122</v>
      </c>
      <c r="B1626" t="s">
        <v>122</v>
      </c>
      <c r="C1626" t="s">
        <v>123</v>
      </c>
      <c r="D1626" t="s">
        <v>101</v>
      </c>
      <c r="E1626" t="s">
        <v>99</v>
      </c>
      <c r="F1626" t="s">
        <v>12</v>
      </c>
      <c r="G1626">
        <v>1</v>
      </c>
      <c r="H1626">
        <v>132</v>
      </c>
      <c r="I1626">
        <v>0.91034482758620605</v>
      </c>
      <c r="J1626" s="25">
        <f t="shared" si="96"/>
        <v>0.91034482758620694</v>
      </c>
      <c r="K1626">
        <v>1340</v>
      </c>
      <c r="L1626">
        <v>17</v>
      </c>
      <c r="M1626">
        <v>1.25276344878408E-2</v>
      </c>
      <c r="N1626" s="25">
        <f t="shared" si="95"/>
        <v>1.2527634487840777E-2</v>
      </c>
      <c r="O1626">
        <v>0.987472365512159</v>
      </c>
      <c r="P1626" s="25">
        <f t="shared" si="97"/>
        <v>0.98747236551215922</v>
      </c>
      <c r="Q1626">
        <v>13</v>
      </c>
      <c r="R1626" t="s">
        <v>124</v>
      </c>
      <c r="S1626" t="s">
        <v>124</v>
      </c>
      <c r="T1626" t="s">
        <v>124</v>
      </c>
      <c r="U1626" t="s">
        <v>124</v>
      </c>
      <c r="X1626" s="19">
        <f t="shared" si="93"/>
        <v>0.91034482758620694</v>
      </c>
      <c r="Y1626" s="19">
        <f t="shared" si="94"/>
        <v>1.2527634487840777E-2</v>
      </c>
      <c r="Z1626" s="26"/>
    </row>
    <row r="1627" spans="1:26" x14ac:dyDescent="0.35">
      <c r="A1627" t="s">
        <v>122</v>
      </c>
      <c r="B1627" t="s">
        <v>122</v>
      </c>
      <c r="C1627" t="s">
        <v>123</v>
      </c>
      <c r="D1627" t="s">
        <v>101</v>
      </c>
      <c r="E1627" t="s">
        <v>99</v>
      </c>
      <c r="F1627" t="s">
        <v>12</v>
      </c>
      <c r="G1627">
        <v>1</v>
      </c>
      <c r="H1627">
        <v>132</v>
      </c>
      <c r="I1627">
        <v>0.91034482758620605</v>
      </c>
      <c r="J1627" s="25">
        <f t="shared" si="96"/>
        <v>0.91034482758620694</v>
      </c>
      <c r="K1627">
        <v>1340</v>
      </c>
      <c r="L1627">
        <v>17</v>
      </c>
      <c r="M1627">
        <v>1.25276344878408E-2</v>
      </c>
      <c r="N1627" s="25">
        <f t="shared" si="95"/>
        <v>1.2527634487840777E-2</v>
      </c>
      <c r="O1627">
        <v>0.987472365512159</v>
      </c>
      <c r="P1627" s="25">
        <f t="shared" si="97"/>
        <v>0.98747236551215922</v>
      </c>
      <c r="Q1627">
        <v>13</v>
      </c>
      <c r="R1627" t="s">
        <v>124</v>
      </c>
      <c r="S1627" t="s">
        <v>124</v>
      </c>
      <c r="T1627" t="s">
        <v>124</v>
      </c>
      <c r="U1627" t="s">
        <v>124</v>
      </c>
      <c r="X1627" s="19">
        <f t="shared" si="93"/>
        <v>0.91034482758620694</v>
      </c>
      <c r="Y1627" s="19">
        <f t="shared" si="94"/>
        <v>1.2527634487840777E-2</v>
      </c>
      <c r="Z1627" s="26"/>
    </row>
    <row r="1628" spans="1:26" x14ac:dyDescent="0.35">
      <c r="A1628" t="s">
        <v>122</v>
      </c>
      <c r="B1628" t="s">
        <v>122</v>
      </c>
      <c r="C1628" t="s">
        <v>123</v>
      </c>
      <c r="D1628" t="s">
        <v>101</v>
      </c>
      <c r="E1628" t="s">
        <v>99</v>
      </c>
      <c r="F1628" t="s">
        <v>12</v>
      </c>
      <c r="G1628">
        <v>1</v>
      </c>
      <c r="H1628">
        <v>132</v>
      </c>
      <c r="I1628">
        <v>0.91034482758620605</v>
      </c>
      <c r="J1628" s="25">
        <f t="shared" si="96"/>
        <v>0.91034482758620694</v>
      </c>
      <c r="K1628">
        <v>1340</v>
      </c>
      <c r="L1628">
        <v>17</v>
      </c>
      <c r="M1628">
        <v>1.25276344878408E-2</v>
      </c>
      <c r="N1628" s="25">
        <f t="shared" si="95"/>
        <v>1.2527634487840777E-2</v>
      </c>
      <c r="O1628">
        <v>0.987472365512159</v>
      </c>
      <c r="P1628" s="25">
        <f t="shared" si="97"/>
        <v>0.98747236551215922</v>
      </c>
      <c r="Q1628">
        <v>13</v>
      </c>
      <c r="R1628" t="s">
        <v>124</v>
      </c>
      <c r="S1628" t="s">
        <v>124</v>
      </c>
      <c r="T1628" t="s">
        <v>124</v>
      </c>
      <c r="U1628" t="s">
        <v>124</v>
      </c>
      <c r="X1628" s="19">
        <f t="shared" si="93"/>
        <v>0.91034482758620694</v>
      </c>
      <c r="Y1628" s="19">
        <f t="shared" si="94"/>
        <v>1.2527634487840777E-2</v>
      </c>
      <c r="Z1628" s="26"/>
    </row>
    <row r="1629" spans="1:26" x14ac:dyDescent="0.35">
      <c r="A1629" t="s">
        <v>122</v>
      </c>
      <c r="B1629" t="s">
        <v>122</v>
      </c>
      <c r="C1629" t="s">
        <v>123</v>
      </c>
      <c r="D1629" t="s">
        <v>101</v>
      </c>
      <c r="E1629" t="s">
        <v>99</v>
      </c>
      <c r="F1629" t="s">
        <v>12</v>
      </c>
      <c r="G1629">
        <v>1</v>
      </c>
      <c r="H1629">
        <v>132</v>
      </c>
      <c r="I1629">
        <v>0.91034482758620605</v>
      </c>
      <c r="J1629" s="25">
        <f t="shared" si="96"/>
        <v>0.91034482758620694</v>
      </c>
      <c r="K1629">
        <v>1340</v>
      </c>
      <c r="L1629">
        <v>17</v>
      </c>
      <c r="M1629">
        <v>1.25276344878408E-2</v>
      </c>
      <c r="N1629" s="25">
        <f t="shared" si="95"/>
        <v>1.2527634487840777E-2</v>
      </c>
      <c r="O1629">
        <v>0.987472365512159</v>
      </c>
      <c r="P1629" s="25">
        <f t="shared" si="97"/>
        <v>0.98747236551215922</v>
      </c>
      <c r="Q1629">
        <v>13</v>
      </c>
      <c r="R1629" t="s">
        <v>124</v>
      </c>
      <c r="S1629" t="s">
        <v>124</v>
      </c>
      <c r="T1629" t="s">
        <v>124</v>
      </c>
      <c r="U1629" t="s">
        <v>124</v>
      </c>
      <c r="X1629" s="19">
        <f t="shared" si="93"/>
        <v>0.91034482758620694</v>
      </c>
      <c r="Y1629" s="19">
        <f t="shared" si="94"/>
        <v>1.2527634487840777E-2</v>
      </c>
      <c r="Z1629" s="26"/>
    </row>
    <row r="1630" spans="1:26" x14ac:dyDescent="0.35">
      <c r="A1630" t="s">
        <v>122</v>
      </c>
      <c r="B1630" t="s">
        <v>122</v>
      </c>
      <c r="C1630" t="s">
        <v>123</v>
      </c>
      <c r="D1630" t="s">
        <v>101</v>
      </c>
      <c r="E1630" t="s">
        <v>99</v>
      </c>
      <c r="F1630" t="s">
        <v>12</v>
      </c>
      <c r="G1630">
        <v>1</v>
      </c>
      <c r="H1630">
        <v>132</v>
      </c>
      <c r="I1630">
        <v>0.91034482758620605</v>
      </c>
      <c r="J1630" s="25">
        <f t="shared" si="96"/>
        <v>0.91034482758620694</v>
      </c>
      <c r="K1630">
        <v>1340</v>
      </c>
      <c r="L1630">
        <v>17</v>
      </c>
      <c r="M1630">
        <v>1.25276344878408E-2</v>
      </c>
      <c r="N1630" s="25">
        <f t="shared" si="95"/>
        <v>1.2527634487840777E-2</v>
      </c>
      <c r="O1630">
        <v>0.987472365512159</v>
      </c>
      <c r="P1630" s="25">
        <f t="shared" si="97"/>
        <v>0.98747236551215922</v>
      </c>
      <c r="Q1630">
        <v>13</v>
      </c>
      <c r="R1630" t="s">
        <v>124</v>
      </c>
      <c r="S1630" t="s">
        <v>124</v>
      </c>
      <c r="T1630" t="s">
        <v>124</v>
      </c>
      <c r="U1630" t="s">
        <v>124</v>
      </c>
      <c r="X1630" s="19">
        <f t="shared" si="93"/>
        <v>0.91034482758620694</v>
      </c>
      <c r="Y1630" s="19">
        <f t="shared" si="94"/>
        <v>1.2527634487840777E-2</v>
      </c>
      <c r="Z1630" s="26"/>
    </row>
    <row r="1631" spans="1:26" x14ac:dyDescent="0.35">
      <c r="A1631" t="s">
        <v>122</v>
      </c>
      <c r="B1631" t="s">
        <v>122</v>
      </c>
      <c r="C1631" t="s">
        <v>123</v>
      </c>
      <c r="D1631" t="s">
        <v>101</v>
      </c>
      <c r="E1631" t="s">
        <v>99</v>
      </c>
      <c r="F1631" t="s">
        <v>12</v>
      </c>
      <c r="G1631">
        <v>1</v>
      </c>
      <c r="H1631">
        <v>132</v>
      </c>
      <c r="I1631">
        <v>0.91034482758620605</v>
      </c>
      <c r="J1631" s="25">
        <f t="shared" si="96"/>
        <v>0.91034482758620694</v>
      </c>
      <c r="K1631">
        <v>1340</v>
      </c>
      <c r="L1631">
        <v>17</v>
      </c>
      <c r="M1631">
        <v>1.25276344878408E-2</v>
      </c>
      <c r="N1631" s="25">
        <f t="shared" si="95"/>
        <v>1.2527634487840777E-2</v>
      </c>
      <c r="O1631">
        <v>0.987472365512159</v>
      </c>
      <c r="P1631" s="25">
        <f t="shared" si="97"/>
        <v>0.98747236551215922</v>
      </c>
      <c r="Q1631">
        <v>13</v>
      </c>
      <c r="R1631" t="s">
        <v>124</v>
      </c>
      <c r="S1631" t="s">
        <v>124</v>
      </c>
      <c r="T1631" t="s">
        <v>124</v>
      </c>
      <c r="U1631" t="s">
        <v>124</v>
      </c>
      <c r="X1631" s="19">
        <f t="shared" si="93"/>
        <v>0.91034482758620694</v>
      </c>
      <c r="Y1631" s="19">
        <f t="shared" si="94"/>
        <v>1.2527634487840777E-2</v>
      </c>
      <c r="Z1631" s="26"/>
    </row>
    <row r="1632" spans="1:26" x14ac:dyDescent="0.35">
      <c r="A1632" t="s">
        <v>122</v>
      </c>
      <c r="B1632" t="s">
        <v>122</v>
      </c>
      <c r="C1632" t="s">
        <v>123</v>
      </c>
      <c r="D1632" t="s">
        <v>101</v>
      </c>
      <c r="E1632" t="s">
        <v>99</v>
      </c>
      <c r="F1632" t="s">
        <v>12</v>
      </c>
      <c r="G1632">
        <v>1</v>
      </c>
      <c r="H1632">
        <v>132</v>
      </c>
      <c r="I1632">
        <v>0.91034482758620605</v>
      </c>
      <c r="J1632" s="25">
        <f t="shared" si="96"/>
        <v>0.91034482758620694</v>
      </c>
      <c r="K1632">
        <v>1340</v>
      </c>
      <c r="L1632">
        <v>17</v>
      </c>
      <c r="M1632">
        <v>1.25276344878408E-2</v>
      </c>
      <c r="N1632" s="25">
        <f t="shared" si="95"/>
        <v>1.2527634487840777E-2</v>
      </c>
      <c r="O1632">
        <v>0.987472365512159</v>
      </c>
      <c r="P1632" s="25">
        <f t="shared" si="97"/>
        <v>0.98747236551215922</v>
      </c>
      <c r="Q1632">
        <v>13</v>
      </c>
      <c r="R1632" t="s">
        <v>124</v>
      </c>
      <c r="S1632" t="s">
        <v>124</v>
      </c>
      <c r="T1632" t="s">
        <v>124</v>
      </c>
      <c r="U1632" t="s">
        <v>124</v>
      </c>
      <c r="X1632" s="19">
        <f t="shared" si="93"/>
        <v>0.91034482758620694</v>
      </c>
      <c r="Y1632" s="19">
        <f t="shared" si="94"/>
        <v>1.2527634487840777E-2</v>
      </c>
      <c r="Z1632" s="26"/>
    </row>
    <row r="1633" spans="1:26" x14ac:dyDescent="0.35">
      <c r="A1633" t="s">
        <v>122</v>
      </c>
      <c r="B1633" t="s">
        <v>122</v>
      </c>
      <c r="C1633" t="s">
        <v>123</v>
      </c>
      <c r="D1633" t="s">
        <v>101</v>
      </c>
      <c r="E1633" t="s">
        <v>99</v>
      </c>
      <c r="F1633" t="s">
        <v>12</v>
      </c>
      <c r="G1633">
        <v>1</v>
      </c>
      <c r="H1633">
        <v>132</v>
      </c>
      <c r="I1633">
        <v>0.91034482758620605</v>
      </c>
      <c r="J1633" s="25">
        <f t="shared" si="96"/>
        <v>0.91034482758620694</v>
      </c>
      <c r="K1633">
        <v>1340</v>
      </c>
      <c r="L1633">
        <v>17</v>
      </c>
      <c r="M1633">
        <v>1.25276344878408E-2</v>
      </c>
      <c r="N1633" s="25">
        <f t="shared" si="95"/>
        <v>1.2527634487840777E-2</v>
      </c>
      <c r="O1633">
        <v>0.987472365512159</v>
      </c>
      <c r="P1633" s="25">
        <f t="shared" si="97"/>
        <v>0.98747236551215922</v>
      </c>
      <c r="Q1633">
        <v>13</v>
      </c>
      <c r="R1633" t="s">
        <v>124</v>
      </c>
      <c r="S1633" t="s">
        <v>124</v>
      </c>
      <c r="T1633" t="s">
        <v>124</v>
      </c>
      <c r="U1633" t="s">
        <v>124</v>
      </c>
      <c r="X1633" s="19">
        <f t="shared" si="93"/>
        <v>0.91034482758620694</v>
      </c>
      <c r="Y1633" s="19">
        <f t="shared" si="94"/>
        <v>1.2527634487840777E-2</v>
      </c>
      <c r="Z1633" s="26"/>
    </row>
    <row r="1634" spans="1:26" x14ac:dyDescent="0.35">
      <c r="A1634" t="s">
        <v>122</v>
      </c>
      <c r="B1634" t="s">
        <v>122</v>
      </c>
      <c r="C1634" t="s">
        <v>123</v>
      </c>
      <c r="D1634" t="s">
        <v>101</v>
      </c>
      <c r="E1634" t="s">
        <v>99</v>
      </c>
      <c r="F1634" t="s">
        <v>12</v>
      </c>
      <c r="G1634">
        <v>1</v>
      </c>
      <c r="H1634">
        <v>132</v>
      </c>
      <c r="I1634">
        <v>0.91034482758620605</v>
      </c>
      <c r="J1634" s="25">
        <f t="shared" si="96"/>
        <v>0.91034482758620694</v>
      </c>
      <c r="K1634">
        <v>1340</v>
      </c>
      <c r="L1634">
        <v>17</v>
      </c>
      <c r="M1634">
        <v>1.25276344878408E-2</v>
      </c>
      <c r="N1634" s="25">
        <f t="shared" si="95"/>
        <v>1.2527634487840777E-2</v>
      </c>
      <c r="O1634">
        <v>0.987472365512159</v>
      </c>
      <c r="P1634" s="25">
        <f t="shared" si="97"/>
        <v>0.98747236551215922</v>
      </c>
      <c r="Q1634">
        <v>13</v>
      </c>
      <c r="R1634" t="s">
        <v>124</v>
      </c>
      <c r="S1634" t="s">
        <v>124</v>
      </c>
      <c r="T1634" t="s">
        <v>124</v>
      </c>
      <c r="U1634" t="s">
        <v>124</v>
      </c>
      <c r="X1634" s="19">
        <f t="shared" si="93"/>
        <v>0.91034482758620694</v>
      </c>
      <c r="Y1634" s="19">
        <f t="shared" si="94"/>
        <v>1.2527634487840777E-2</v>
      </c>
      <c r="Z1634" s="26"/>
    </row>
    <row r="1635" spans="1:26" x14ac:dyDescent="0.35">
      <c r="A1635" t="s">
        <v>122</v>
      </c>
      <c r="B1635" t="s">
        <v>122</v>
      </c>
      <c r="C1635" t="s">
        <v>123</v>
      </c>
      <c r="D1635" t="s">
        <v>101</v>
      </c>
      <c r="E1635" t="s">
        <v>99</v>
      </c>
      <c r="F1635" t="s">
        <v>12</v>
      </c>
      <c r="G1635">
        <v>1</v>
      </c>
      <c r="H1635">
        <v>132</v>
      </c>
      <c r="I1635">
        <v>0.91034482758620605</v>
      </c>
      <c r="J1635" s="25">
        <f t="shared" si="96"/>
        <v>0.91034482758620694</v>
      </c>
      <c r="K1635">
        <v>1340</v>
      </c>
      <c r="L1635">
        <v>17</v>
      </c>
      <c r="M1635">
        <v>1.25276344878408E-2</v>
      </c>
      <c r="N1635" s="25">
        <f t="shared" si="95"/>
        <v>1.2527634487840777E-2</v>
      </c>
      <c r="O1635">
        <v>0.987472365512159</v>
      </c>
      <c r="P1635" s="25">
        <f t="shared" si="97"/>
        <v>0.98747236551215922</v>
      </c>
      <c r="Q1635">
        <v>13</v>
      </c>
      <c r="R1635" t="s">
        <v>124</v>
      </c>
      <c r="S1635" t="s">
        <v>124</v>
      </c>
      <c r="T1635" t="s">
        <v>124</v>
      </c>
      <c r="U1635" t="s">
        <v>124</v>
      </c>
      <c r="X1635" s="19">
        <f t="shared" si="93"/>
        <v>0.91034482758620694</v>
      </c>
      <c r="Y1635" s="19">
        <f t="shared" si="94"/>
        <v>1.2527634487840777E-2</v>
      </c>
      <c r="Z1635" s="26"/>
    </row>
    <row r="1636" spans="1:26" x14ac:dyDescent="0.35">
      <c r="A1636" t="s">
        <v>122</v>
      </c>
      <c r="B1636" t="s">
        <v>122</v>
      </c>
      <c r="C1636" t="s">
        <v>123</v>
      </c>
      <c r="D1636" t="s">
        <v>101</v>
      </c>
      <c r="E1636" t="s">
        <v>99</v>
      </c>
      <c r="F1636" t="s">
        <v>12</v>
      </c>
      <c r="G1636">
        <v>1</v>
      </c>
      <c r="H1636">
        <v>132</v>
      </c>
      <c r="I1636">
        <v>0.91034482758620605</v>
      </c>
      <c r="J1636" s="25">
        <f t="shared" si="96"/>
        <v>0.91034482758620694</v>
      </c>
      <c r="K1636">
        <v>1340</v>
      </c>
      <c r="L1636">
        <v>17</v>
      </c>
      <c r="M1636">
        <v>1.25276344878408E-2</v>
      </c>
      <c r="N1636" s="25">
        <f t="shared" si="95"/>
        <v>1.2527634487840777E-2</v>
      </c>
      <c r="O1636">
        <v>0.987472365512159</v>
      </c>
      <c r="P1636" s="25">
        <f t="shared" si="97"/>
        <v>0.98747236551215922</v>
      </c>
      <c r="Q1636">
        <v>13</v>
      </c>
      <c r="R1636" t="s">
        <v>124</v>
      </c>
      <c r="S1636" t="s">
        <v>124</v>
      </c>
      <c r="T1636" t="s">
        <v>124</v>
      </c>
      <c r="U1636" t="s">
        <v>124</v>
      </c>
      <c r="X1636" s="19">
        <f t="shared" si="93"/>
        <v>0.91034482758620694</v>
      </c>
      <c r="Y1636" s="19">
        <f t="shared" si="94"/>
        <v>1.2527634487840777E-2</v>
      </c>
      <c r="Z1636" s="26"/>
    </row>
    <row r="1637" spans="1:26" x14ac:dyDescent="0.35">
      <c r="A1637" t="s">
        <v>122</v>
      </c>
      <c r="B1637" t="s">
        <v>122</v>
      </c>
      <c r="C1637" t="s">
        <v>123</v>
      </c>
      <c r="D1637" t="s">
        <v>101</v>
      </c>
      <c r="E1637" t="s">
        <v>99</v>
      </c>
      <c r="F1637" t="s">
        <v>12</v>
      </c>
      <c r="G1637">
        <v>1</v>
      </c>
      <c r="H1637">
        <v>132</v>
      </c>
      <c r="I1637">
        <v>0.91034482758620605</v>
      </c>
      <c r="J1637" s="25">
        <f t="shared" si="96"/>
        <v>0.91034482758620694</v>
      </c>
      <c r="K1637">
        <v>1340</v>
      </c>
      <c r="L1637">
        <v>17</v>
      </c>
      <c r="M1637">
        <v>1.25276344878408E-2</v>
      </c>
      <c r="N1637" s="25">
        <f t="shared" si="95"/>
        <v>1.2527634487840777E-2</v>
      </c>
      <c r="O1637">
        <v>0.987472365512159</v>
      </c>
      <c r="P1637" s="25">
        <f t="shared" si="97"/>
        <v>0.98747236551215922</v>
      </c>
      <c r="Q1637">
        <v>13</v>
      </c>
      <c r="R1637" t="s">
        <v>124</v>
      </c>
      <c r="S1637" t="s">
        <v>124</v>
      </c>
      <c r="T1637" t="s">
        <v>124</v>
      </c>
      <c r="U1637" t="s">
        <v>124</v>
      </c>
      <c r="X1637" s="19">
        <f t="shared" si="93"/>
        <v>0.91034482758620694</v>
      </c>
      <c r="Y1637" s="19">
        <f t="shared" si="94"/>
        <v>1.2527634487840777E-2</v>
      </c>
      <c r="Z1637" s="26"/>
    </row>
    <row r="1638" spans="1:26" x14ac:dyDescent="0.35">
      <c r="A1638" t="s">
        <v>122</v>
      </c>
      <c r="B1638" t="s">
        <v>122</v>
      </c>
      <c r="C1638" t="s">
        <v>123</v>
      </c>
      <c r="D1638" t="s">
        <v>101</v>
      </c>
      <c r="E1638" t="s">
        <v>99</v>
      </c>
      <c r="F1638" t="s">
        <v>12</v>
      </c>
      <c r="G1638">
        <v>1</v>
      </c>
      <c r="H1638">
        <v>132</v>
      </c>
      <c r="I1638">
        <v>0.91034482758620605</v>
      </c>
      <c r="J1638" s="25">
        <f t="shared" si="96"/>
        <v>0.91034482758620694</v>
      </c>
      <c r="K1638">
        <v>1340</v>
      </c>
      <c r="L1638">
        <v>17</v>
      </c>
      <c r="M1638">
        <v>1.25276344878408E-2</v>
      </c>
      <c r="N1638" s="25">
        <f t="shared" si="95"/>
        <v>1.2527634487840777E-2</v>
      </c>
      <c r="O1638">
        <v>0.987472365512159</v>
      </c>
      <c r="P1638" s="25">
        <f t="shared" si="97"/>
        <v>0.98747236551215922</v>
      </c>
      <c r="Q1638">
        <v>13</v>
      </c>
      <c r="R1638" t="s">
        <v>124</v>
      </c>
      <c r="S1638" t="s">
        <v>124</v>
      </c>
      <c r="T1638" t="s">
        <v>124</v>
      </c>
      <c r="U1638" t="s">
        <v>124</v>
      </c>
      <c r="X1638" s="19">
        <f t="shared" si="93"/>
        <v>0.91034482758620694</v>
      </c>
      <c r="Y1638" s="19">
        <f t="shared" si="94"/>
        <v>1.2527634487840777E-2</v>
      </c>
      <c r="Z1638" s="26"/>
    </row>
    <row r="1639" spans="1:26" x14ac:dyDescent="0.35">
      <c r="A1639" t="s">
        <v>122</v>
      </c>
      <c r="B1639" t="s">
        <v>122</v>
      </c>
      <c r="C1639" t="s">
        <v>123</v>
      </c>
      <c r="D1639" t="s">
        <v>101</v>
      </c>
      <c r="E1639" t="s">
        <v>99</v>
      </c>
      <c r="F1639" t="s">
        <v>12</v>
      </c>
      <c r="G1639">
        <v>1</v>
      </c>
      <c r="H1639">
        <v>132</v>
      </c>
      <c r="I1639">
        <v>0.91034482758620605</v>
      </c>
      <c r="J1639" s="25">
        <f t="shared" si="96"/>
        <v>0.91034482758620694</v>
      </c>
      <c r="K1639">
        <v>1340</v>
      </c>
      <c r="L1639">
        <v>17</v>
      </c>
      <c r="M1639">
        <v>1.25276344878408E-2</v>
      </c>
      <c r="N1639" s="25">
        <f t="shared" si="95"/>
        <v>1.2527634487840777E-2</v>
      </c>
      <c r="O1639">
        <v>0.987472365512159</v>
      </c>
      <c r="P1639" s="25">
        <f t="shared" si="97"/>
        <v>0.98747236551215922</v>
      </c>
      <c r="Q1639">
        <v>13</v>
      </c>
      <c r="R1639" t="s">
        <v>124</v>
      </c>
      <c r="S1639" t="s">
        <v>124</v>
      </c>
      <c r="T1639" t="s">
        <v>124</v>
      </c>
      <c r="U1639" t="s">
        <v>124</v>
      </c>
      <c r="X1639" s="19">
        <f t="shared" si="93"/>
        <v>0.91034482758620694</v>
      </c>
      <c r="Y1639" s="19">
        <f t="shared" si="94"/>
        <v>1.2527634487840777E-2</v>
      </c>
      <c r="Z1639" s="26"/>
    </row>
    <row r="1640" spans="1:26" x14ac:dyDescent="0.35">
      <c r="A1640" t="s">
        <v>122</v>
      </c>
      <c r="B1640" t="s">
        <v>122</v>
      </c>
      <c r="C1640" t="s">
        <v>123</v>
      </c>
      <c r="D1640" t="s">
        <v>101</v>
      </c>
      <c r="E1640" t="s">
        <v>99</v>
      </c>
      <c r="F1640" t="s">
        <v>12</v>
      </c>
      <c r="G1640">
        <v>1</v>
      </c>
      <c r="H1640">
        <v>132</v>
      </c>
      <c r="I1640">
        <v>0.91034482758620605</v>
      </c>
      <c r="J1640" s="25">
        <f t="shared" si="96"/>
        <v>0.91034482758620694</v>
      </c>
      <c r="K1640">
        <v>1340</v>
      </c>
      <c r="L1640">
        <v>17</v>
      </c>
      <c r="M1640">
        <v>1.25276344878408E-2</v>
      </c>
      <c r="N1640" s="25">
        <f t="shared" si="95"/>
        <v>1.2527634487840777E-2</v>
      </c>
      <c r="O1640">
        <v>0.987472365512159</v>
      </c>
      <c r="P1640" s="25">
        <f t="shared" si="97"/>
        <v>0.98747236551215922</v>
      </c>
      <c r="Q1640">
        <v>13</v>
      </c>
      <c r="R1640" t="s">
        <v>124</v>
      </c>
      <c r="S1640" t="s">
        <v>124</v>
      </c>
      <c r="T1640" t="s">
        <v>124</v>
      </c>
      <c r="U1640" t="s">
        <v>124</v>
      </c>
      <c r="X1640" s="19">
        <f t="shared" si="93"/>
        <v>0.91034482758620694</v>
      </c>
      <c r="Y1640" s="19">
        <f t="shared" si="94"/>
        <v>1.2527634487840777E-2</v>
      </c>
      <c r="Z1640" s="26"/>
    </row>
    <row r="1641" spans="1:26" x14ac:dyDescent="0.35">
      <c r="A1641" t="s">
        <v>122</v>
      </c>
      <c r="B1641" t="s">
        <v>122</v>
      </c>
      <c r="C1641" t="s">
        <v>123</v>
      </c>
      <c r="D1641" t="s">
        <v>101</v>
      </c>
      <c r="E1641" t="s">
        <v>99</v>
      </c>
      <c r="F1641" t="s">
        <v>12</v>
      </c>
      <c r="G1641">
        <v>1</v>
      </c>
      <c r="H1641">
        <v>132</v>
      </c>
      <c r="I1641">
        <v>0.91034482758620605</v>
      </c>
      <c r="J1641" s="25">
        <f t="shared" si="96"/>
        <v>0.91034482758620694</v>
      </c>
      <c r="K1641">
        <v>1340</v>
      </c>
      <c r="L1641">
        <v>17</v>
      </c>
      <c r="M1641">
        <v>1.25276344878408E-2</v>
      </c>
      <c r="N1641" s="25">
        <f t="shared" si="95"/>
        <v>1.2527634487840777E-2</v>
      </c>
      <c r="O1641">
        <v>0.987472365512159</v>
      </c>
      <c r="P1641" s="25">
        <f t="shared" si="97"/>
        <v>0.98747236551215922</v>
      </c>
      <c r="Q1641">
        <v>13</v>
      </c>
      <c r="R1641" t="s">
        <v>124</v>
      </c>
      <c r="S1641" t="s">
        <v>124</v>
      </c>
      <c r="T1641" t="s">
        <v>124</v>
      </c>
      <c r="U1641" t="s">
        <v>124</v>
      </c>
      <c r="X1641" s="19">
        <f t="shared" si="93"/>
        <v>0.91034482758620694</v>
      </c>
      <c r="Y1641" s="19">
        <f t="shared" si="94"/>
        <v>1.2527634487840777E-2</v>
      </c>
      <c r="Z1641" s="26"/>
    </row>
    <row r="1642" spans="1:26" x14ac:dyDescent="0.35">
      <c r="A1642" t="s">
        <v>122</v>
      </c>
      <c r="B1642" t="s">
        <v>122</v>
      </c>
      <c r="C1642" t="s">
        <v>123</v>
      </c>
      <c r="D1642" t="s">
        <v>101</v>
      </c>
      <c r="E1642" t="s">
        <v>99</v>
      </c>
      <c r="F1642" t="s">
        <v>12</v>
      </c>
      <c r="G1642">
        <v>1</v>
      </c>
      <c r="H1642">
        <v>132</v>
      </c>
      <c r="I1642">
        <v>0.91034482758620605</v>
      </c>
      <c r="J1642" s="25">
        <f t="shared" si="96"/>
        <v>0.91034482758620694</v>
      </c>
      <c r="K1642">
        <v>1340</v>
      </c>
      <c r="L1642">
        <v>17</v>
      </c>
      <c r="M1642">
        <v>1.25276344878408E-2</v>
      </c>
      <c r="N1642" s="25">
        <f t="shared" si="95"/>
        <v>1.2527634487840777E-2</v>
      </c>
      <c r="O1642">
        <v>0.987472365512159</v>
      </c>
      <c r="P1642" s="25">
        <f t="shared" si="97"/>
        <v>0.98747236551215922</v>
      </c>
      <c r="Q1642">
        <v>13</v>
      </c>
      <c r="R1642" t="s">
        <v>124</v>
      </c>
      <c r="S1642" t="s">
        <v>124</v>
      </c>
      <c r="T1642" t="s">
        <v>124</v>
      </c>
      <c r="U1642" t="s">
        <v>124</v>
      </c>
      <c r="X1642" s="19">
        <f t="shared" si="93"/>
        <v>0.91034482758620694</v>
      </c>
      <c r="Y1642" s="19">
        <f t="shared" si="94"/>
        <v>1.2527634487840777E-2</v>
      </c>
      <c r="Z1642" s="26"/>
    </row>
    <row r="1643" spans="1:26" x14ac:dyDescent="0.35">
      <c r="A1643" t="s">
        <v>122</v>
      </c>
      <c r="B1643" t="s">
        <v>122</v>
      </c>
      <c r="C1643" t="s">
        <v>123</v>
      </c>
      <c r="D1643" t="s">
        <v>101</v>
      </c>
      <c r="E1643" t="s">
        <v>99</v>
      </c>
      <c r="F1643" t="s">
        <v>12</v>
      </c>
      <c r="G1643">
        <v>1</v>
      </c>
      <c r="H1643">
        <v>132</v>
      </c>
      <c r="I1643">
        <v>0.91034482758620605</v>
      </c>
      <c r="J1643" s="25">
        <f t="shared" si="96"/>
        <v>0.91034482758620694</v>
      </c>
      <c r="K1643">
        <v>1340</v>
      </c>
      <c r="L1643">
        <v>17</v>
      </c>
      <c r="M1643">
        <v>1.25276344878408E-2</v>
      </c>
      <c r="N1643" s="25">
        <f t="shared" si="95"/>
        <v>1.2527634487840777E-2</v>
      </c>
      <c r="O1643">
        <v>0.987472365512159</v>
      </c>
      <c r="P1643" s="25">
        <f t="shared" si="97"/>
        <v>0.98747236551215922</v>
      </c>
      <c r="Q1643">
        <v>13</v>
      </c>
      <c r="R1643" t="s">
        <v>124</v>
      </c>
      <c r="S1643" t="s">
        <v>124</v>
      </c>
      <c r="T1643" t="s">
        <v>124</v>
      </c>
      <c r="U1643" t="s">
        <v>124</v>
      </c>
      <c r="X1643" s="19">
        <f t="shared" si="93"/>
        <v>0.91034482758620694</v>
      </c>
      <c r="Y1643" s="19">
        <f t="shared" si="94"/>
        <v>1.2527634487840777E-2</v>
      </c>
      <c r="Z1643" s="26"/>
    </row>
    <row r="1644" spans="1:26" x14ac:dyDescent="0.35">
      <c r="A1644" t="s">
        <v>122</v>
      </c>
      <c r="B1644" t="s">
        <v>122</v>
      </c>
      <c r="C1644" t="s">
        <v>123</v>
      </c>
      <c r="D1644" t="s">
        <v>101</v>
      </c>
      <c r="E1644" t="s">
        <v>99</v>
      </c>
      <c r="F1644" t="s">
        <v>12</v>
      </c>
      <c r="G1644">
        <v>1</v>
      </c>
      <c r="H1644">
        <v>132</v>
      </c>
      <c r="I1644">
        <v>0.91034482758620605</v>
      </c>
      <c r="J1644" s="25">
        <f t="shared" si="96"/>
        <v>0.91034482758620694</v>
      </c>
      <c r="K1644">
        <v>1340</v>
      </c>
      <c r="L1644">
        <v>17</v>
      </c>
      <c r="M1644">
        <v>1.25276344878408E-2</v>
      </c>
      <c r="N1644" s="25">
        <f t="shared" si="95"/>
        <v>1.2527634487840777E-2</v>
      </c>
      <c r="O1644">
        <v>0.987472365512159</v>
      </c>
      <c r="P1644" s="25">
        <f t="shared" si="97"/>
        <v>0.98747236551215922</v>
      </c>
      <c r="Q1644">
        <v>13</v>
      </c>
      <c r="R1644" t="s">
        <v>124</v>
      </c>
      <c r="S1644" t="s">
        <v>124</v>
      </c>
      <c r="T1644" t="s">
        <v>124</v>
      </c>
      <c r="U1644" t="s">
        <v>124</v>
      </c>
      <c r="X1644" s="19">
        <f t="shared" si="93"/>
        <v>0.91034482758620694</v>
      </c>
      <c r="Y1644" s="19">
        <f t="shared" si="94"/>
        <v>1.2527634487840777E-2</v>
      </c>
      <c r="Z1644" s="26"/>
    </row>
    <row r="1645" spans="1:26" x14ac:dyDescent="0.35">
      <c r="A1645" t="s">
        <v>122</v>
      </c>
      <c r="B1645" t="s">
        <v>122</v>
      </c>
      <c r="C1645" t="s">
        <v>123</v>
      </c>
      <c r="D1645" t="s">
        <v>101</v>
      </c>
      <c r="E1645" t="s">
        <v>99</v>
      </c>
      <c r="F1645" t="s">
        <v>12</v>
      </c>
      <c r="G1645">
        <v>1</v>
      </c>
      <c r="H1645">
        <v>132</v>
      </c>
      <c r="I1645">
        <v>0.91034482758620605</v>
      </c>
      <c r="J1645" s="25">
        <f t="shared" si="96"/>
        <v>0.91034482758620694</v>
      </c>
      <c r="K1645">
        <v>1340</v>
      </c>
      <c r="L1645">
        <v>17</v>
      </c>
      <c r="M1645">
        <v>1.25276344878408E-2</v>
      </c>
      <c r="N1645" s="25">
        <f t="shared" si="95"/>
        <v>1.2527634487840777E-2</v>
      </c>
      <c r="O1645">
        <v>0.987472365512159</v>
      </c>
      <c r="P1645" s="25">
        <f t="shared" si="97"/>
        <v>0.98747236551215922</v>
      </c>
      <c r="Q1645">
        <v>13</v>
      </c>
      <c r="R1645" t="s">
        <v>124</v>
      </c>
      <c r="S1645" t="s">
        <v>124</v>
      </c>
      <c r="T1645" t="s">
        <v>124</v>
      </c>
      <c r="U1645" t="s">
        <v>124</v>
      </c>
      <c r="X1645" s="19">
        <f t="shared" si="93"/>
        <v>0.91034482758620694</v>
      </c>
      <c r="Y1645" s="19">
        <f t="shared" si="94"/>
        <v>1.2527634487840777E-2</v>
      </c>
      <c r="Z1645" s="26"/>
    </row>
    <row r="1646" spans="1:26" x14ac:dyDescent="0.35">
      <c r="A1646" t="s">
        <v>122</v>
      </c>
      <c r="B1646" t="s">
        <v>122</v>
      </c>
      <c r="C1646" t="s">
        <v>123</v>
      </c>
      <c r="D1646" t="s">
        <v>101</v>
      </c>
      <c r="E1646" t="s">
        <v>99</v>
      </c>
      <c r="F1646" t="s">
        <v>12</v>
      </c>
      <c r="G1646">
        <v>1</v>
      </c>
      <c r="H1646">
        <v>132</v>
      </c>
      <c r="I1646">
        <v>0.91034482758620605</v>
      </c>
      <c r="J1646" s="25">
        <f t="shared" si="96"/>
        <v>0.91034482758620694</v>
      </c>
      <c r="K1646">
        <v>1340</v>
      </c>
      <c r="L1646">
        <v>17</v>
      </c>
      <c r="M1646">
        <v>1.25276344878408E-2</v>
      </c>
      <c r="N1646" s="25">
        <f t="shared" si="95"/>
        <v>1.2527634487840777E-2</v>
      </c>
      <c r="O1646">
        <v>0.987472365512159</v>
      </c>
      <c r="P1646" s="25">
        <f t="shared" si="97"/>
        <v>0.98747236551215922</v>
      </c>
      <c r="Q1646">
        <v>13</v>
      </c>
      <c r="R1646" t="s">
        <v>124</v>
      </c>
      <c r="S1646" t="s">
        <v>124</v>
      </c>
      <c r="T1646" t="s">
        <v>124</v>
      </c>
      <c r="U1646" t="s">
        <v>124</v>
      </c>
      <c r="X1646" s="19">
        <f t="shared" ref="X1646:X1709" si="98">J1646</f>
        <v>0.91034482758620694</v>
      </c>
      <c r="Y1646" s="19">
        <f t="shared" ref="Y1646:Y1709" si="99">N1646</f>
        <v>1.2527634487840777E-2</v>
      </c>
      <c r="Z1646" s="26"/>
    </row>
    <row r="1647" spans="1:26" x14ac:dyDescent="0.35">
      <c r="A1647" t="s">
        <v>122</v>
      </c>
      <c r="B1647" t="s">
        <v>122</v>
      </c>
      <c r="C1647" t="s">
        <v>123</v>
      </c>
      <c r="D1647" t="s">
        <v>101</v>
      </c>
      <c r="E1647" t="s">
        <v>99</v>
      </c>
      <c r="F1647" t="s">
        <v>12</v>
      </c>
      <c r="G1647">
        <v>1</v>
      </c>
      <c r="H1647">
        <v>132</v>
      </c>
      <c r="I1647">
        <v>0.91034482758620605</v>
      </c>
      <c r="J1647" s="25">
        <f t="shared" si="96"/>
        <v>0.91034482758620694</v>
      </c>
      <c r="K1647">
        <v>1340</v>
      </c>
      <c r="L1647">
        <v>17</v>
      </c>
      <c r="M1647">
        <v>1.25276344878408E-2</v>
      </c>
      <c r="N1647" s="25">
        <f t="shared" si="95"/>
        <v>1.2527634487840777E-2</v>
      </c>
      <c r="O1647">
        <v>0.987472365512159</v>
      </c>
      <c r="P1647" s="25">
        <f t="shared" si="97"/>
        <v>0.98747236551215922</v>
      </c>
      <c r="Q1647">
        <v>13</v>
      </c>
      <c r="R1647" t="s">
        <v>124</v>
      </c>
      <c r="S1647" t="s">
        <v>124</v>
      </c>
      <c r="T1647" t="s">
        <v>124</v>
      </c>
      <c r="U1647" t="s">
        <v>124</v>
      </c>
      <c r="X1647" s="19">
        <f t="shared" si="98"/>
        <v>0.91034482758620694</v>
      </c>
      <c r="Y1647" s="19">
        <f t="shared" si="99"/>
        <v>1.2527634487840777E-2</v>
      </c>
      <c r="Z1647" s="26"/>
    </row>
    <row r="1648" spans="1:26" x14ac:dyDescent="0.35">
      <c r="A1648" t="s">
        <v>122</v>
      </c>
      <c r="B1648" t="s">
        <v>122</v>
      </c>
      <c r="C1648" t="s">
        <v>123</v>
      </c>
      <c r="D1648" t="s">
        <v>101</v>
      </c>
      <c r="E1648" t="s">
        <v>99</v>
      </c>
      <c r="F1648" t="s">
        <v>12</v>
      </c>
      <c r="G1648">
        <v>1</v>
      </c>
      <c r="H1648">
        <v>132</v>
      </c>
      <c r="I1648">
        <v>0.91034482758620605</v>
      </c>
      <c r="J1648" s="25">
        <f t="shared" si="96"/>
        <v>0.91034482758620694</v>
      </c>
      <c r="K1648">
        <v>1340</v>
      </c>
      <c r="L1648">
        <v>17</v>
      </c>
      <c r="M1648">
        <v>1.25276344878408E-2</v>
      </c>
      <c r="N1648" s="25">
        <f t="shared" si="95"/>
        <v>1.2527634487840777E-2</v>
      </c>
      <c r="O1648">
        <v>0.987472365512159</v>
      </c>
      <c r="P1648" s="25">
        <f t="shared" si="97"/>
        <v>0.98747236551215922</v>
      </c>
      <c r="Q1648">
        <v>13</v>
      </c>
      <c r="R1648" t="s">
        <v>124</v>
      </c>
      <c r="S1648" t="s">
        <v>124</v>
      </c>
      <c r="T1648" t="s">
        <v>124</v>
      </c>
      <c r="U1648" t="s">
        <v>124</v>
      </c>
      <c r="X1648" s="19">
        <f t="shared" si="98"/>
        <v>0.91034482758620694</v>
      </c>
      <c r="Y1648" s="19">
        <f t="shared" si="99"/>
        <v>1.2527634487840777E-2</v>
      </c>
      <c r="Z1648" s="26"/>
    </row>
    <row r="1649" spans="1:26" x14ac:dyDescent="0.35">
      <c r="A1649" t="s">
        <v>122</v>
      </c>
      <c r="B1649" t="s">
        <v>122</v>
      </c>
      <c r="C1649" t="s">
        <v>123</v>
      </c>
      <c r="D1649" t="s">
        <v>101</v>
      </c>
      <c r="E1649" t="s">
        <v>99</v>
      </c>
      <c r="F1649" t="s">
        <v>12</v>
      </c>
      <c r="G1649">
        <v>1</v>
      </c>
      <c r="H1649">
        <v>132</v>
      </c>
      <c r="I1649">
        <v>0.91034482758620605</v>
      </c>
      <c r="J1649" s="25">
        <f t="shared" si="96"/>
        <v>0.91034482758620694</v>
      </c>
      <c r="K1649">
        <v>1340</v>
      </c>
      <c r="L1649">
        <v>17</v>
      </c>
      <c r="M1649">
        <v>1.25276344878408E-2</v>
      </c>
      <c r="N1649" s="25">
        <f t="shared" si="95"/>
        <v>1.2527634487840777E-2</v>
      </c>
      <c r="O1649">
        <v>0.987472365512159</v>
      </c>
      <c r="P1649" s="25">
        <f t="shared" si="97"/>
        <v>0.98747236551215922</v>
      </c>
      <c r="Q1649">
        <v>13</v>
      </c>
      <c r="R1649" t="s">
        <v>124</v>
      </c>
      <c r="S1649" t="s">
        <v>124</v>
      </c>
      <c r="T1649" t="s">
        <v>124</v>
      </c>
      <c r="U1649" t="s">
        <v>124</v>
      </c>
      <c r="X1649" s="19">
        <f t="shared" si="98"/>
        <v>0.91034482758620694</v>
      </c>
      <c r="Y1649" s="19">
        <f t="shared" si="99"/>
        <v>1.2527634487840777E-2</v>
      </c>
      <c r="Z1649" s="26"/>
    </row>
    <row r="1650" spans="1:26" x14ac:dyDescent="0.35">
      <c r="A1650" t="s">
        <v>122</v>
      </c>
      <c r="B1650" t="s">
        <v>122</v>
      </c>
      <c r="C1650" t="s">
        <v>123</v>
      </c>
      <c r="D1650" t="s">
        <v>101</v>
      </c>
      <c r="E1650" t="s">
        <v>99</v>
      </c>
      <c r="F1650" t="s">
        <v>12</v>
      </c>
      <c r="G1650">
        <v>1</v>
      </c>
      <c r="H1650">
        <v>132</v>
      </c>
      <c r="I1650">
        <v>0.91034482758620605</v>
      </c>
      <c r="J1650" s="25">
        <f t="shared" si="96"/>
        <v>0.91034482758620694</v>
      </c>
      <c r="K1650">
        <v>1340</v>
      </c>
      <c r="L1650">
        <v>17</v>
      </c>
      <c r="M1650">
        <v>1.25276344878408E-2</v>
      </c>
      <c r="N1650" s="25">
        <f t="shared" si="95"/>
        <v>1.2527634487840777E-2</v>
      </c>
      <c r="O1650">
        <v>0.987472365512159</v>
      </c>
      <c r="P1650" s="25">
        <f t="shared" si="97"/>
        <v>0.98747236551215922</v>
      </c>
      <c r="Q1650">
        <v>13</v>
      </c>
      <c r="R1650" t="s">
        <v>124</v>
      </c>
      <c r="S1650" t="s">
        <v>124</v>
      </c>
      <c r="T1650" t="s">
        <v>124</v>
      </c>
      <c r="U1650" t="s">
        <v>124</v>
      </c>
      <c r="X1650" s="19">
        <f t="shared" si="98"/>
        <v>0.91034482758620694</v>
      </c>
      <c r="Y1650" s="19">
        <f t="shared" si="99"/>
        <v>1.2527634487840777E-2</v>
      </c>
      <c r="Z1650" s="26"/>
    </row>
    <row r="1651" spans="1:26" x14ac:dyDescent="0.35">
      <c r="A1651" t="s">
        <v>122</v>
      </c>
      <c r="B1651" t="s">
        <v>122</v>
      </c>
      <c r="C1651" t="s">
        <v>123</v>
      </c>
      <c r="D1651" t="s">
        <v>101</v>
      </c>
      <c r="E1651" t="s">
        <v>99</v>
      </c>
      <c r="F1651" t="s">
        <v>12</v>
      </c>
      <c r="G1651">
        <v>1</v>
      </c>
      <c r="H1651">
        <v>132</v>
      </c>
      <c r="I1651">
        <v>0.91034482758620605</v>
      </c>
      <c r="J1651" s="25">
        <f t="shared" si="96"/>
        <v>0.91034482758620694</v>
      </c>
      <c r="K1651">
        <v>1340</v>
      </c>
      <c r="L1651">
        <v>17</v>
      </c>
      <c r="M1651">
        <v>1.25276344878408E-2</v>
      </c>
      <c r="N1651" s="25">
        <f t="shared" si="95"/>
        <v>1.2527634487840777E-2</v>
      </c>
      <c r="O1651">
        <v>0.987472365512159</v>
      </c>
      <c r="P1651" s="25">
        <f t="shared" si="97"/>
        <v>0.98747236551215922</v>
      </c>
      <c r="Q1651">
        <v>13</v>
      </c>
      <c r="R1651" t="s">
        <v>124</v>
      </c>
      <c r="S1651" t="s">
        <v>124</v>
      </c>
      <c r="T1651" t="s">
        <v>124</v>
      </c>
      <c r="U1651" t="s">
        <v>124</v>
      </c>
      <c r="X1651" s="19">
        <f t="shared" si="98"/>
        <v>0.91034482758620694</v>
      </c>
      <c r="Y1651" s="19">
        <f t="shared" si="99"/>
        <v>1.2527634487840777E-2</v>
      </c>
      <c r="Z1651" s="26"/>
    </row>
    <row r="1652" spans="1:26" x14ac:dyDescent="0.35">
      <c r="A1652" t="s">
        <v>122</v>
      </c>
      <c r="B1652" t="s">
        <v>122</v>
      </c>
      <c r="C1652" t="s">
        <v>123</v>
      </c>
      <c r="D1652" t="s">
        <v>101</v>
      </c>
      <c r="E1652" t="s">
        <v>99</v>
      </c>
      <c r="F1652" t="s">
        <v>12</v>
      </c>
      <c r="G1652">
        <v>1</v>
      </c>
      <c r="H1652">
        <v>132</v>
      </c>
      <c r="I1652">
        <v>0.91034482758620605</v>
      </c>
      <c r="J1652" s="25">
        <f t="shared" si="96"/>
        <v>0.91034482758620694</v>
      </c>
      <c r="K1652">
        <v>1340</v>
      </c>
      <c r="L1652">
        <v>17</v>
      </c>
      <c r="M1652">
        <v>1.25276344878408E-2</v>
      </c>
      <c r="N1652" s="25">
        <f t="shared" si="95"/>
        <v>1.2527634487840777E-2</v>
      </c>
      <c r="O1652">
        <v>0.987472365512159</v>
      </c>
      <c r="P1652" s="25">
        <f t="shared" si="97"/>
        <v>0.98747236551215922</v>
      </c>
      <c r="Q1652">
        <v>13</v>
      </c>
      <c r="R1652" t="s">
        <v>124</v>
      </c>
      <c r="S1652" t="s">
        <v>124</v>
      </c>
      <c r="T1652" t="s">
        <v>124</v>
      </c>
      <c r="U1652" t="s">
        <v>124</v>
      </c>
      <c r="X1652" s="19">
        <f t="shared" si="98"/>
        <v>0.91034482758620694</v>
      </c>
      <c r="Y1652" s="19">
        <f t="shared" si="99"/>
        <v>1.2527634487840777E-2</v>
      </c>
      <c r="Z1652" s="26"/>
    </row>
    <row r="1653" spans="1:26" x14ac:dyDescent="0.35">
      <c r="A1653" t="s">
        <v>122</v>
      </c>
      <c r="B1653" t="s">
        <v>122</v>
      </c>
      <c r="C1653" t="s">
        <v>123</v>
      </c>
      <c r="D1653" t="s">
        <v>101</v>
      </c>
      <c r="E1653" t="s">
        <v>99</v>
      </c>
      <c r="F1653" t="s">
        <v>12</v>
      </c>
      <c r="G1653">
        <v>1</v>
      </c>
      <c r="H1653">
        <v>132</v>
      </c>
      <c r="I1653">
        <v>0.91034482758620605</v>
      </c>
      <c r="J1653" s="25">
        <f t="shared" si="96"/>
        <v>0.91034482758620694</v>
      </c>
      <c r="K1653">
        <v>1340</v>
      </c>
      <c r="L1653">
        <v>17</v>
      </c>
      <c r="M1653">
        <v>1.25276344878408E-2</v>
      </c>
      <c r="N1653" s="25">
        <f t="shared" si="95"/>
        <v>1.2527634487840777E-2</v>
      </c>
      <c r="O1653">
        <v>0.987472365512159</v>
      </c>
      <c r="P1653" s="25">
        <f t="shared" si="97"/>
        <v>0.98747236551215922</v>
      </c>
      <c r="Q1653">
        <v>13</v>
      </c>
      <c r="R1653" t="s">
        <v>124</v>
      </c>
      <c r="S1653" t="s">
        <v>124</v>
      </c>
      <c r="T1653" t="s">
        <v>124</v>
      </c>
      <c r="U1653" t="s">
        <v>124</v>
      </c>
      <c r="X1653" s="19">
        <f t="shared" si="98"/>
        <v>0.91034482758620694</v>
      </c>
      <c r="Y1653" s="19">
        <f t="shared" si="99"/>
        <v>1.2527634487840777E-2</v>
      </c>
      <c r="Z1653" s="26"/>
    </row>
    <row r="1654" spans="1:26" x14ac:dyDescent="0.35">
      <c r="A1654" t="s">
        <v>122</v>
      </c>
      <c r="B1654" t="s">
        <v>122</v>
      </c>
      <c r="C1654" t="s">
        <v>123</v>
      </c>
      <c r="D1654" t="s">
        <v>101</v>
      </c>
      <c r="E1654" t="s">
        <v>99</v>
      </c>
      <c r="F1654" t="s">
        <v>12</v>
      </c>
      <c r="G1654">
        <v>1</v>
      </c>
      <c r="H1654">
        <v>132</v>
      </c>
      <c r="I1654">
        <v>0.91034482758620605</v>
      </c>
      <c r="J1654" s="25">
        <f t="shared" si="96"/>
        <v>0.91034482758620694</v>
      </c>
      <c r="K1654">
        <v>1340</v>
      </c>
      <c r="L1654">
        <v>17</v>
      </c>
      <c r="M1654">
        <v>1.25276344878408E-2</v>
      </c>
      <c r="N1654" s="25">
        <f t="shared" si="95"/>
        <v>1.2527634487840777E-2</v>
      </c>
      <c r="O1654">
        <v>0.987472365512159</v>
      </c>
      <c r="P1654" s="25">
        <f t="shared" si="97"/>
        <v>0.98747236551215922</v>
      </c>
      <c r="Q1654">
        <v>13</v>
      </c>
      <c r="R1654" t="s">
        <v>124</v>
      </c>
      <c r="S1654" t="s">
        <v>124</v>
      </c>
      <c r="T1654" t="s">
        <v>124</v>
      </c>
      <c r="U1654" t="s">
        <v>124</v>
      </c>
      <c r="X1654" s="19">
        <f t="shared" si="98"/>
        <v>0.91034482758620694</v>
      </c>
      <c r="Y1654" s="19">
        <f t="shared" si="99"/>
        <v>1.2527634487840777E-2</v>
      </c>
      <c r="Z1654" s="26"/>
    </row>
    <row r="1655" spans="1:26" x14ac:dyDescent="0.35">
      <c r="A1655" t="s">
        <v>122</v>
      </c>
      <c r="B1655" t="s">
        <v>122</v>
      </c>
      <c r="C1655" t="s">
        <v>123</v>
      </c>
      <c r="D1655" t="s">
        <v>101</v>
      </c>
      <c r="E1655" t="s">
        <v>99</v>
      </c>
      <c r="F1655" t="s">
        <v>12</v>
      </c>
      <c r="G1655">
        <v>1</v>
      </c>
      <c r="H1655">
        <v>132</v>
      </c>
      <c r="I1655">
        <v>0.91034482758620605</v>
      </c>
      <c r="J1655" s="25">
        <f t="shared" si="96"/>
        <v>0.91034482758620694</v>
      </c>
      <c r="K1655">
        <v>1340</v>
      </c>
      <c r="L1655">
        <v>17</v>
      </c>
      <c r="M1655">
        <v>1.25276344878408E-2</v>
      </c>
      <c r="N1655" s="25">
        <f t="shared" si="95"/>
        <v>1.2527634487840777E-2</v>
      </c>
      <c r="O1655">
        <v>0.987472365512159</v>
      </c>
      <c r="P1655" s="25">
        <f t="shared" si="97"/>
        <v>0.98747236551215922</v>
      </c>
      <c r="Q1655">
        <v>13</v>
      </c>
      <c r="R1655" t="s">
        <v>124</v>
      </c>
      <c r="S1655" t="s">
        <v>124</v>
      </c>
      <c r="T1655" t="s">
        <v>124</v>
      </c>
      <c r="U1655" t="s">
        <v>124</v>
      </c>
      <c r="X1655" s="19">
        <f t="shared" si="98"/>
        <v>0.91034482758620694</v>
      </c>
      <c r="Y1655" s="19">
        <f t="shared" si="99"/>
        <v>1.2527634487840777E-2</v>
      </c>
      <c r="Z1655" s="26"/>
    </row>
    <row r="1656" spans="1:26" x14ac:dyDescent="0.35">
      <c r="A1656" t="s">
        <v>122</v>
      </c>
      <c r="B1656" t="s">
        <v>122</v>
      </c>
      <c r="C1656" t="s">
        <v>123</v>
      </c>
      <c r="D1656" t="s">
        <v>101</v>
      </c>
      <c r="E1656" t="s">
        <v>99</v>
      </c>
      <c r="F1656" t="s">
        <v>12</v>
      </c>
      <c r="G1656">
        <v>1</v>
      </c>
      <c r="H1656">
        <v>132</v>
      </c>
      <c r="I1656">
        <v>0.91034482758620605</v>
      </c>
      <c r="J1656" s="25">
        <f t="shared" si="96"/>
        <v>0.91034482758620694</v>
      </c>
      <c r="K1656">
        <v>1340</v>
      </c>
      <c r="L1656">
        <v>17</v>
      </c>
      <c r="M1656">
        <v>1.25276344878408E-2</v>
      </c>
      <c r="N1656" s="25">
        <f t="shared" si="95"/>
        <v>1.2527634487840777E-2</v>
      </c>
      <c r="O1656">
        <v>0.987472365512159</v>
      </c>
      <c r="P1656" s="25">
        <f t="shared" si="97"/>
        <v>0.98747236551215922</v>
      </c>
      <c r="Q1656">
        <v>13</v>
      </c>
      <c r="R1656" t="s">
        <v>124</v>
      </c>
      <c r="S1656" t="s">
        <v>124</v>
      </c>
      <c r="T1656" t="s">
        <v>124</v>
      </c>
      <c r="U1656" t="s">
        <v>124</v>
      </c>
      <c r="X1656" s="19">
        <f t="shared" si="98"/>
        <v>0.91034482758620694</v>
      </c>
      <c r="Y1656" s="19">
        <f t="shared" si="99"/>
        <v>1.2527634487840777E-2</v>
      </c>
      <c r="Z1656" s="26"/>
    </row>
    <row r="1657" spans="1:26" x14ac:dyDescent="0.35">
      <c r="A1657" t="s">
        <v>122</v>
      </c>
      <c r="B1657" t="s">
        <v>122</v>
      </c>
      <c r="C1657" t="s">
        <v>123</v>
      </c>
      <c r="D1657" t="s">
        <v>101</v>
      </c>
      <c r="E1657" t="s">
        <v>99</v>
      </c>
      <c r="F1657" t="s">
        <v>12</v>
      </c>
      <c r="G1657">
        <v>1</v>
      </c>
      <c r="H1657">
        <v>132</v>
      </c>
      <c r="I1657">
        <v>0.91034482758620605</v>
      </c>
      <c r="J1657" s="25">
        <f t="shared" si="96"/>
        <v>0.91034482758620694</v>
      </c>
      <c r="K1657">
        <v>1340</v>
      </c>
      <c r="L1657">
        <v>17</v>
      </c>
      <c r="M1657">
        <v>1.25276344878408E-2</v>
      </c>
      <c r="N1657" s="25">
        <f t="shared" si="95"/>
        <v>1.2527634487840777E-2</v>
      </c>
      <c r="O1657">
        <v>0.987472365512159</v>
      </c>
      <c r="P1657" s="25">
        <f t="shared" si="97"/>
        <v>0.98747236551215922</v>
      </c>
      <c r="Q1657">
        <v>13</v>
      </c>
      <c r="R1657" t="s">
        <v>124</v>
      </c>
      <c r="S1657" t="s">
        <v>124</v>
      </c>
      <c r="T1657" t="s">
        <v>124</v>
      </c>
      <c r="U1657" t="s">
        <v>124</v>
      </c>
      <c r="X1657" s="19">
        <f t="shared" si="98"/>
        <v>0.91034482758620694</v>
      </c>
      <c r="Y1657" s="19">
        <f t="shared" si="99"/>
        <v>1.2527634487840777E-2</v>
      </c>
      <c r="Z1657" s="26"/>
    </row>
    <row r="1658" spans="1:26" x14ac:dyDescent="0.35">
      <c r="A1658" t="s">
        <v>122</v>
      </c>
      <c r="B1658" t="s">
        <v>122</v>
      </c>
      <c r="C1658" t="s">
        <v>123</v>
      </c>
      <c r="D1658" t="s">
        <v>101</v>
      </c>
      <c r="E1658" t="s">
        <v>99</v>
      </c>
      <c r="F1658" t="s">
        <v>12</v>
      </c>
      <c r="G1658">
        <v>1</v>
      </c>
      <c r="H1658">
        <v>132</v>
      </c>
      <c r="I1658">
        <v>0.91034482758620605</v>
      </c>
      <c r="J1658" s="25">
        <f t="shared" si="96"/>
        <v>0.91034482758620694</v>
      </c>
      <c r="K1658">
        <v>1340</v>
      </c>
      <c r="L1658">
        <v>17</v>
      </c>
      <c r="M1658">
        <v>1.25276344878408E-2</v>
      </c>
      <c r="N1658" s="25">
        <f t="shared" si="95"/>
        <v>1.2527634487840777E-2</v>
      </c>
      <c r="O1658">
        <v>0.987472365512159</v>
      </c>
      <c r="P1658" s="25">
        <f t="shared" si="97"/>
        <v>0.98747236551215922</v>
      </c>
      <c r="Q1658">
        <v>13</v>
      </c>
      <c r="R1658" t="s">
        <v>124</v>
      </c>
      <c r="S1658" t="s">
        <v>124</v>
      </c>
      <c r="T1658" t="s">
        <v>124</v>
      </c>
      <c r="U1658" t="s">
        <v>124</v>
      </c>
      <c r="X1658" s="19">
        <f t="shared" si="98"/>
        <v>0.91034482758620694</v>
      </c>
      <c r="Y1658" s="19">
        <f t="shared" si="99"/>
        <v>1.2527634487840777E-2</v>
      </c>
      <c r="Z1658" s="26"/>
    </row>
    <row r="1659" spans="1:26" x14ac:dyDescent="0.35">
      <c r="A1659" t="s">
        <v>122</v>
      </c>
      <c r="B1659" t="s">
        <v>122</v>
      </c>
      <c r="C1659" t="s">
        <v>123</v>
      </c>
      <c r="D1659" t="s">
        <v>101</v>
      </c>
      <c r="E1659" t="s">
        <v>99</v>
      </c>
      <c r="F1659" t="s">
        <v>12</v>
      </c>
      <c r="G1659">
        <v>1</v>
      </c>
      <c r="H1659">
        <v>132</v>
      </c>
      <c r="I1659">
        <v>0.91034482758620605</v>
      </c>
      <c r="J1659" s="25">
        <f t="shared" si="96"/>
        <v>0.91034482758620694</v>
      </c>
      <c r="K1659">
        <v>1340</v>
      </c>
      <c r="L1659">
        <v>17</v>
      </c>
      <c r="M1659">
        <v>1.25276344878408E-2</v>
      </c>
      <c r="N1659" s="25">
        <f t="shared" si="95"/>
        <v>1.2527634487840777E-2</v>
      </c>
      <c r="O1659">
        <v>0.987472365512159</v>
      </c>
      <c r="P1659" s="25">
        <f t="shared" si="97"/>
        <v>0.98747236551215922</v>
      </c>
      <c r="Q1659">
        <v>13</v>
      </c>
      <c r="R1659" t="s">
        <v>124</v>
      </c>
      <c r="S1659" t="s">
        <v>124</v>
      </c>
      <c r="T1659" t="s">
        <v>124</v>
      </c>
      <c r="U1659" t="s">
        <v>124</v>
      </c>
      <c r="X1659" s="19">
        <f t="shared" si="98"/>
        <v>0.91034482758620694</v>
      </c>
      <c r="Y1659" s="19">
        <f t="shared" si="99"/>
        <v>1.2527634487840777E-2</v>
      </c>
      <c r="Z1659" s="26"/>
    </row>
    <row r="1660" spans="1:26" x14ac:dyDescent="0.35">
      <c r="A1660" t="s">
        <v>122</v>
      </c>
      <c r="B1660" t="s">
        <v>122</v>
      </c>
      <c r="C1660" t="s">
        <v>123</v>
      </c>
      <c r="D1660" t="s">
        <v>101</v>
      </c>
      <c r="E1660" t="s">
        <v>99</v>
      </c>
      <c r="F1660" t="s">
        <v>12</v>
      </c>
      <c r="G1660">
        <v>1</v>
      </c>
      <c r="H1660">
        <v>132</v>
      </c>
      <c r="I1660">
        <v>0.91034482758620605</v>
      </c>
      <c r="J1660" s="25">
        <f t="shared" si="96"/>
        <v>0.91034482758620694</v>
      </c>
      <c r="K1660">
        <v>1340</v>
      </c>
      <c r="L1660">
        <v>17</v>
      </c>
      <c r="M1660">
        <v>1.25276344878408E-2</v>
      </c>
      <c r="N1660" s="25">
        <f t="shared" si="95"/>
        <v>1.2527634487840777E-2</v>
      </c>
      <c r="O1660">
        <v>0.987472365512159</v>
      </c>
      <c r="P1660" s="25">
        <f t="shared" si="97"/>
        <v>0.98747236551215922</v>
      </c>
      <c r="Q1660">
        <v>13</v>
      </c>
      <c r="R1660" t="s">
        <v>124</v>
      </c>
      <c r="S1660" t="s">
        <v>124</v>
      </c>
      <c r="T1660" t="s">
        <v>124</v>
      </c>
      <c r="U1660" t="s">
        <v>124</v>
      </c>
      <c r="X1660" s="19">
        <f t="shared" si="98"/>
        <v>0.91034482758620694</v>
      </c>
      <c r="Y1660" s="19">
        <f t="shared" si="99"/>
        <v>1.2527634487840777E-2</v>
      </c>
      <c r="Z1660" s="26"/>
    </row>
    <row r="1661" spans="1:26" x14ac:dyDescent="0.35">
      <c r="A1661" t="s">
        <v>122</v>
      </c>
      <c r="B1661" t="s">
        <v>122</v>
      </c>
      <c r="C1661" t="s">
        <v>123</v>
      </c>
      <c r="D1661" t="s">
        <v>101</v>
      </c>
      <c r="E1661" t="s">
        <v>99</v>
      </c>
      <c r="F1661" t="s">
        <v>12</v>
      </c>
      <c r="G1661">
        <v>1</v>
      </c>
      <c r="H1661">
        <v>132</v>
      </c>
      <c r="I1661">
        <v>0.91034482758620605</v>
      </c>
      <c r="J1661" s="25">
        <f t="shared" si="96"/>
        <v>0.91034482758620694</v>
      </c>
      <c r="K1661">
        <v>1340</v>
      </c>
      <c r="L1661">
        <v>17</v>
      </c>
      <c r="M1661">
        <v>1.25276344878408E-2</v>
      </c>
      <c r="N1661" s="25">
        <f t="shared" si="95"/>
        <v>1.2527634487840777E-2</v>
      </c>
      <c r="O1661">
        <v>0.987472365512159</v>
      </c>
      <c r="P1661" s="25">
        <f t="shared" si="97"/>
        <v>0.98747236551215922</v>
      </c>
      <c r="Q1661">
        <v>13</v>
      </c>
      <c r="R1661" t="s">
        <v>124</v>
      </c>
      <c r="S1661" t="s">
        <v>124</v>
      </c>
      <c r="T1661" t="s">
        <v>124</v>
      </c>
      <c r="U1661" t="s">
        <v>124</v>
      </c>
      <c r="X1661" s="19">
        <f t="shared" si="98"/>
        <v>0.91034482758620694</v>
      </c>
      <c r="Y1661" s="19">
        <f t="shared" si="99"/>
        <v>1.2527634487840777E-2</v>
      </c>
      <c r="Z1661" s="26"/>
    </row>
    <row r="1662" spans="1:26" x14ac:dyDescent="0.35">
      <c r="A1662" t="s">
        <v>122</v>
      </c>
      <c r="B1662" t="s">
        <v>122</v>
      </c>
      <c r="C1662" t="s">
        <v>123</v>
      </c>
      <c r="D1662" t="s">
        <v>101</v>
      </c>
      <c r="E1662" t="s">
        <v>99</v>
      </c>
      <c r="F1662" t="s">
        <v>12</v>
      </c>
      <c r="G1662">
        <v>1</v>
      </c>
      <c r="H1662">
        <v>132</v>
      </c>
      <c r="I1662">
        <v>0.91034482758620605</v>
      </c>
      <c r="J1662" s="25">
        <f t="shared" si="96"/>
        <v>0.91034482758620694</v>
      </c>
      <c r="K1662">
        <v>1340</v>
      </c>
      <c r="L1662">
        <v>17</v>
      </c>
      <c r="M1662">
        <v>1.25276344878408E-2</v>
      </c>
      <c r="N1662" s="25">
        <f t="shared" si="95"/>
        <v>1.2527634487840777E-2</v>
      </c>
      <c r="O1662">
        <v>0.987472365512159</v>
      </c>
      <c r="P1662" s="25">
        <f t="shared" si="97"/>
        <v>0.98747236551215922</v>
      </c>
      <c r="Q1662">
        <v>13</v>
      </c>
      <c r="R1662" t="s">
        <v>124</v>
      </c>
      <c r="S1662" t="s">
        <v>124</v>
      </c>
      <c r="T1662" t="s">
        <v>124</v>
      </c>
      <c r="U1662" t="s">
        <v>124</v>
      </c>
      <c r="X1662" s="19">
        <f t="shared" si="98"/>
        <v>0.91034482758620694</v>
      </c>
      <c r="Y1662" s="19">
        <f t="shared" si="99"/>
        <v>1.2527634487840777E-2</v>
      </c>
      <c r="Z1662" s="26"/>
    </row>
    <row r="1663" spans="1:26" x14ac:dyDescent="0.35">
      <c r="A1663" t="s">
        <v>122</v>
      </c>
      <c r="B1663" t="s">
        <v>122</v>
      </c>
      <c r="C1663" t="s">
        <v>123</v>
      </c>
      <c r="D1663" t="s">
        <v>101</v>
      </c>
      <c r="E1663" t="s">
        <v>99</v>
      </c>
      <c r="F1663" t="s">
        <v>12</v>
      </c>
      <c r="G1663">
        <v>1</v>
      </c>
      <c r="H1663">
        <v>132</v>
      </c>
      <c r="I1663">
        <v>0.91034482758620605</v>
      </c>
      <c r="J1663" s="25">
        <f t="shared" si="96"/>
        <v>0.91034482758620694</v>
      </c>
      <c r="K1663">
        <v>1340</v>
      </c>
      <c r="L1663">
        <v>17</v>
      </c>
      <c r="M1663">
        <v>1.25276344878408E-2</v>
      </c>
      <c r="N1663" s="25">
        <f t="shared" si="95"/>
        <v>1.2527634487840777E-2</v>
      </c>
      <c r="O1663">
        <v>0.987472365512159</v>
      </c>
      <c r="P1663" s="25">
        <f t="shared" si="97"/>
        <v>0.98747236551215922</v>
      </c>
      <c r="Q1663">
        <v>13</v>
      </c>
      <c r="R1663" t="s">
        <v>124</v>
      </c>
      <c r="S1663" t="s">
        <v>124</v>
      </c>
      <c r="T1663" t="s">
        <v>124</v>
      </c>
      <c r="U1663" t="s">
        <v>124</v>
      </c>
      <c r="X1663" s="19">
        <f t="shared" si="98"/>
        <v>0.91034482758620694</v>
      </c>
      <c r="Y1663" s="19">
        <f t="shared" si="99"/>
        <v>1.2527634487840777E-2</v>
      </c>
      <c r="Z1663" s="26"/>
    </row>
    <row r="1664" spans="1:26" x14ac:dyDescent="0.35">
      <c r="A1664" t="s">
        <v>122</v>
      </c>
      <c r="B1664" t="s">
        <v>122</v>
      </c>
      <c r="C1664" t="s">
        <v>123</v>
      </c>
      <c r="D1664" t="s">
        <v>101</v>
      </c>
      <c r="E1664" t="s">
        <v>99</v>
      </c>
      <c r="F1664" t="s">
        <v>12</v>
      </c>
      <c r="G1664">
        <v>1</v>
      </c>
      <c r="H1664">
        <v>132</v>
      </c>
      <c r="I1664">
        <v>0.91034482758620605</v>
      </c>
      <c r="J1664" s="25">
        <f t="shared" si="96"/>
        <v>0.91034482758620694</v>
      </c>
      <c r="K1664">
        <v>1340</v>
      </c>
      <c r="L1664">
        <v>17</v>
      </c>
      <c r="M1664">
        <v>1.25276344878408E-2</v>
      </c>
      <c r="N1664" s="25">
        <f t="shared" si="95"/>
        <v>1.2527634487840777E-2</v>
      </c>
      <c r="O1664">
        <v>0.987472365512159</v>
      </c>
      <c r="P1664" s="25">
        <f t="shared" si="97"/>
        <v>0.98747236551215922</v>
      </c>
      <c r="Q1664">
        <v>13</v>
      </c>
      <c r="R1664" t="s">
        <v>124</v>
      </c>
      <c r="S1664" t="s">
        <v>124</v>
      </c>
      <c r="T1664" t="s">
        <v>124</v>
      </c>
      <c r="U1664" t="s">
        <v>124</v>
      </c>
      <c r="X1664" s="19">
        <f t="shared" si="98"/>
        <v>0.91034482758620694</v>
      </c>
      <c r="Y1664" s="19">
        <f t="shared" si="99"/>
        <v>1.2527634487840777E-2</v>
      </c>
      <c r="Z1664" s="26"/>
    </row>
    <row r="1665" spans="1:26" x14ac:dyDescent="0.35">
      <c r="A1665" t="s">
        <v>122</v>
      </c>
      <c r="B1665" t="s">
        <v>122</v>
      </c>
      <c r="C1665" t="s">
        <v>123</v>
      </c>
      <c r="D1665" t="s">
        <v>101</v>
      </c>
      <c r="E1665" t="s">
        <v>99</v>
      </c>
      <c r="F1665" t="s">
        <v>12</v>
      </c>
      <c r="G1665">
        <v>1</v>
      </c>
      <c r="H1665">
        <v>132</v>
      </c>
      <c r="I1665">
        <v>0.91034482758620605</v>
      </c>
      <c r="J1665" s="25">
        <f t="shared" si="96"/>
        <v>0.91034482758620694</v>
      </c>
      <c r="K1665">
        <v>1340</v>
      </c>
      <c r="L1665">
        <v>17</v>
      </c>
      <c r="M1665">
        <v>1.25276344878408E-2</v>
      </c>
      <c r="N1665" s="25">
        <f t="shared" si="95"/>
        <v>1.2527634487840777E-2</v>
      </c>
      <c r="O1665">
        <v>0.987472365512159</v>
      </c>
      <c r="P1665" s="25">
        <f t="shared" si="97"/>
        <v>0.98747236551215922</v>
      </c>
      <c r="Q1665">
        <v>13</v>
      </c>
      <c r="R1665" t="s">
        <v>124</v>
      </c>
      <c r="S1665" t="s">
        <v>124</v>
      </c>
      <c r="T1665" t="s">
        <v>124</v>
      </c>
      <c r="U1665" t="s">
        <v>124</v>
      </c>
      <c r="X1665" s="19">
        <f t="shared" si="98"/>
        <v>0.91034482758620694</v>
      </c>
      <c r="Y1665" s="19">
        <f t="shared" si="99"/>
        <v>1.2527634487840777E-2</v>
      </c>
      <c r="Z1665" s="26"/>
    </row>
    <row r="1666" spans="1:26" x14ac:dyDescent="0.35">
      <c r="A1666" t="s">
        <v>122</v>
      </c>
      <c r="B1666" t="s">
        <v>122</v>
      </c>
      <c r="C1666" t="s">
        <v>123</v>
      </c>
      <c r="D1666" t="s">
        <v>101</v>
      </c>
      <c r="E1666" t="s">
        <v>99</v>
      </c>
      <c r="F1666" t="s">
        <v>12</v>
      </c>
      <c r="G1666">
        <v>1</v>
      </c>
      <c r="H1666">
        <v>132</v>
      </c>
      <c r="I1666">
        <v>0.91034482758620605</v>
      </c>
      <c r="J1666" s="25">
        <f t="shared" si="96"/>
        <v>0.91034482758620694</v>
      </c>
      <c r="K1666">
        <v>1340</v>
      </c>
      <c r="L1666">
        <v>17</v>
      </c>
      <c r="M1666">
        <v>1.25276344878408E-2</v>
      </c>
      <c r="N1666" s="25">
        <f t="shared" ref="N1666:N1729" si="100">1-P1666</f>
        <v>1.2527634487840777E-2</v>
      </c>
      <c r="O1666">
        <v>0.987472365512159</v>
      </c>
      <c r="P1666" s="25">
        <f t="shared" si="97"/>
        <v>0.98747236551215922</v>
      </c>
      <c r="Q1666">
        <v>13</v>
      </c>
      <c r="R1666" t="s">
        <v>124</v>
      </c>
      <c r="S1666" t="s">
        <v>124</v>
      </c>
      <c r="T1666" t="s">
        <v>124</v>
      </c>
      <c r="U1666" t="s">
        <v>124</v>
      </c>
      <c r="X1666" s="19">
        <f t="shared" si="98"/>
        <v>0.91034482758620694</v>
      </c>
      <c r="Y1666" s="19">
        <f t="shared" si="99"/>
        <v>1.2527634487840777E-2</v>
      </c>
      <c r="Z1666" s="26"/>
    </row>
    <row r="1667" spans="1:26" x14ac:dyDescent="0.35">
      <c r="A1667" t="s">
        <v>122</v>
      </c>
      <c r="B1667" t="s">
        <v>122</v>
      </c>
      <c r="C1667" t="s">
        <v>123</v>
      </c>
      <c r="D1667" t="s">
        <v>101</v>
      </c>
      <c r="E1667" t="s">
        <v>99</v>
      </c>
      <c r="F1667" t="s">
        <v>12</v>
      </c>
      <c r="G1667">
        <v>1</v>
      </c>
      <c r="H1667">
        <v>132</v>
      </c>
      <c r="I1667">
        <v>0.91034482758620605</v>
      </c>
      <c r="J1667" s="25">
        <f t="shared" ref="J1667:J1730" si="101">H1667/(H1667+Q1667)</f>
        <v>0.91034482758620694</v>
      </c>
      <c r="K1667">
        <v>1340</v>
      </c>
      <c r="L1667">
        <v>17</v>
      </c>
      <c r="M1667">
        <v>1.25276344878408E-2</v>
      </c>
      <c r="N1667" s="25">
        <f t="shared" si="100"/>
        <v>1.2527634487840777E-2</v>
      </c>
      <c r="O1667">
        <v>0.987472365512159</v>
      </c>
      <c r="P1667" s="25">
        <f t="shared" ref="P1667:P1730" si="102">K1667/(K1667+L1667)</f>
        <v>0.98747236551215922</v>
      </c>
      <c r="Q1667">
        <v>13</v>
      </c>
      <c r="R1667" t="s">
        <v>124</v>
      </c>
      <c r="S1667" t="s">
        <v>124</v>
      </c>
      <c r="T1667" t="s">
        <v>124</v>
      </c>
      <c r="U1667" t="s">
        <v>124</v>
      </c>
      <c r="X1667" s="19">
        <f t="shared" si="98"/>
        <v>0.91034482758620694</v>
      </c>
      <c r="Y1667" s="19">
        <f t="shared" si="99"/>
        <v>1.2527634487840777E-2</v>
      </c>
      <c r="Z1667" s="26"/>
    </row>
    <row r="1668" spans="1:26" x14ac:dyDescent="0.35">
      <c r="A1668" t="s">
        <v>122</v>
      </c>
      <c r="B1668" t="s">
        <v>122</v>
      </c>
      <c r="C1668" t="s">
        <v>123</v>
      </c>
      <c r="D1668" t="s">
        <v>101</v>
      </c>
      <c r="E1668" t="s">
        <v>99</v>
      </c>
      <c r="F1668" t="s">
        <v>12</v>
      </c>
      <c r="G1668">
        <v>1</v>
      </c>
      <c r="H1668">
        <v>132</v>
      </c>
      <c r="I1668">
        <v>0.91034482758620605</v>
      </c>
      <c r="J1668" s="25">
        <f t="shared" si="101"/>
        <v>0.91034482758620694</v>
      </c>
      <c r="K1668">
        <v>1340</v>
      </c>
      <c r="L1668">
        <v>17</v>
      </c>
      <c r="M1668">
        <v>1.25276344878408E-2</v>
      </c>
      <c r="N1668" s="25">
        <f t="shared" si="100"/>
        <v>1.2527634487840777E-2</v>
      </c>
      <c r="O1668">
        <v>0.987472365512159</v>
      </c>
      <c r="P1668" s="25">
        <f t="shared" si="102"/>
        <v>0.98747236551215922</v>
      </c>
      <c r="Q1668">
        <v>13</v>
      </c>
      <c r="R1668" t="s">
        <v>124</v>
      </c>
      <c r="S1668" t="s">
        <v>124</v>
      </c>
      <c r="T1668" t="s">
        <v>124</v>
      </c>
      <c r="U1668" t="s">
        <v>124</v>
      </c>
      <c r="X1668" s="19">
        <f t="shared" si="98"/>
        <v>0.91034482758620694</v>
      </c>
      <c r="Y1668" s="19">
        <f t="shared" si="99"/>
        <v>1.2527634487840777E-2</v>
      </c>
      <c r="Z1668" s="26"/>
    </row>
    <row r="1669" spans="1:26" x14ac:dyDescent="0.35">
      <c r="A1669" t="s">
        <v>122</v>
      </c>
      <c r="B1669" t="s">
        <v>122</v>
      </c>
      <c r="C1669" t="s">
        <v>123</v>
      </c>
      <c r="D1669" t="s">
        <v>101</v>
      </c>
      <c r="E1669" t="s">
        <v>99</v>
      </c>
      <c r="F1669" t="s">
        <v>12</v>
      </c>
      <c r="G1669">
        <v>1</v>
      </c>
      <c r="H1669">
        <v>132</v>
      </c>
      <c r="I1669">
        <v>0.91034482758620605</v>
      </c>
      <c r="J1669" s="25">
        <f t="shared" si="101"/>
        <v>0.91034482758620694</v>
      </c>
      <c r="K1669">
        <v>1340</v>
      </c>
      <c r="L1669">
        <v>17</v>
      </c>
      <c r="M1669">
        <v>1.25276344878408E-2</v>
      </c>
      <c r="N1669" s="25">
        <f t="shared" si="100"/>
        <v>1.2527634487840777E-2</v>
      </c>
      <c r="O1669">
        <v>0.987472365512159</v>
      </c>
      <c r="P1669" s="25">
        <f t="shared" si="102"/>
        <v>0.98747236551215922</v>
      </c>
      <c r="Q1669">
        <v>13</v>
      </c>
      <c r="R1669" t="s">
        <v>124</v>
      </c>
      <c r="S1669" t="s">
        <v>124</v>
      </c>
      <c r="T1669" t="s">
        <v>124</v>
      </c>
      <c r="U1669" t="s">
        <v>124</v>
      </c>
      <c r="X1669" s="19">
        <f t="shared" si="98"/>
        <v>0.91034482758620694</v>
      </c>
      <c r="Y1669" s="19">
        <f t="shared" si="99"/>
        <v>1.2527634487840777E-2</v>
      </c>
      <c r="Z1669" s="26"/>
    </row>
    <row r="1670" spans="1:26" x14ac:dyDescent="0.35">
      <c r="A1670" t="s">
        <v>122</v>
      </c>
      <c r="B1670" t="s">
        <v>122</v>
      </c>
      <c r="C1670" t="s">
        <v>123</v>
      </c>
      <c r="D1670" t="s">
        <v>101</v>
      </c>
      <c r="E1670" t="s">
        <v>99</v>
      </c>
      <c r="F1670" t="s">
        <v>12</v>
      </c>
      <c r="G1670">
        <v>1</v>
      </c>
      <c r="H1670">
        <v>132</v>
      </c>
      <c r="I1670">
        <v>0.91034482758620605</v>
      </c>
      <c r="J1670" s="25">
        <f t="shared" si="101"/>
        <v>0.91034482758620694</v>
      </c>
      <c r="K1670">
        <v>1340</v>
      </c>
      <c r="L1670">
        <v>17</v>
      </c>
      <c r="M1670">
        <v>1.25276344878408E-2</v>
      </c>
      <c r="N1670" s="25">
        <f t="shared" si="100"/>
        <v>1.2527634487840777E-2</v>
      </c>
      <c r="O1670">
        <v>0.987472365512159</v>
      </c>
      <c r="P1670" s="25">
        <f t="shared" si="102"/>
        <v>0.98747236551215922</v>
      </c>
      <c r="Q1670">
        <v>13</v>
      </c>
      <c r="R1670" t="s">
        <v>124</v>
      </c>
      <c r="S1670" t="s">
        <v>124</v>
      </c>
      <c r="T1670" t="s">
        <v>124</v>
      </c>
      <c r="U1670" t="s">
        <v>124</v>
      </c>
      <c r="X1670" s="19">
        <f t="shared" si="98"/>
        <v>0.91034482758620694</v>
      </c>
      <c r="Y1670" s="19">
        <f t="shared" si="99"/>
        <v>1.2527634487840777E-2</v>
      </c>
      <c r="Z1670" s="26"/>
    </row>
    <row r="1671" spans="1:26" x14ac:dyDescent="0.35">
      <c r="A1671" t="s">
        <v>122</v>
      </c>
      <c r="B1671" t="s">
        <v>122</v>
      </c>
      <c r="C1671" t="s">
        <v>123</v>
      </c>
      <c r="D1671" t="s">
        <v>101</v>
      </c>
      <c r="E1671" t="s">
        <v>99</v>
      </c>
      <c r="F1671" t="s">
        <v>12</v>
      </c>
      <c r="G1671">
        <v>1</v>
      </c>
      <c r="H1671">
        <v>132</v>
      </c>
      <c r="I1671">
        <v>0.91034482758620605</v>
      </c>
      <c r="J1671" s="25">
        <f t="shared" si="101"/>
        <v>0.91034482758620694</v>
      </c>
      <c r="K1671">
        <v>1340</v>
      </c>
      <c r="L1671">
        <v>17</v>
      </c>
      <c r="M1671">
        <v>1.25276344878408E-2</v>
      </c>
      <c r="N1671" s="25">
        <f t="shared" si="100"/>
        <v>1.2527634487840777E-2</v>
      </c>
      <c r="O1671">
        <v>0.987472365512159</v>
      </c>
      <c r="P1671" s="25">
        <f t="shared" si="102"/>
        <v>0.98747236551215922</v>
      </c>
      <c r="Q1671">
        <v>13</v>
      </c>
      <c r="R1671" t="s">
        <v>124</v>
      </c>
      <c r="S1671" t="s">
        <v>124</v>
      </c>
      <c r="T1671" t="s">
        <v>124</v>
      </c>
      <c r="U1671" t="s">
        <v>124</v>
      </c>
      <c r="X1671" s="19">
        <f t="shared" si="98"/>
        <v>0.91034482758620694</v>
      </c>
      <c r="Y1671" s="19">
        <f t="shared" si="99"/>
        <v>1.2527634487840777E-2</v>
      </c>
      <c r="Z1671" s="26"/>
    </row>
    <row r="1672" spans="1:26" x14ac:dyDescent="0.35">
      <c r="A1672" t="s">
        <v>122</v>
      </c>
      <c r="B1672" t="s">
        <v>122</v>
      </c>
      <c r="C1672" t="s">
        <v>123</v>
      </c>
      <c r="D1672" t="s">
        <v>101</v>
      </c>
      <c r="E1672" t="s">
        <v>99</v>
      </c>
      <c r="F1672" t="s">
        <v>12</v>
      </c>
      <c r="G1672">
        <v>1</v>
      </c>
      <c r="H1672">
        <v>132</v>
      </c>
      <c r="I1672">
        <v>0.91034482758620605</v>
      </c>
      <c r="J1672" s="25">
        <f t="shared" si="101"/>
        <v>0.91034482758620694</v>
      </c>
      <c r="K1672">
        <v>1340</v>
      </c>
      <c r="L1672">
        <v>17</v>
      </c>
      <c r="M1672">
        <v>1.25276344878408E-2</v>
      </c>
      <c r="N1672" s="25">
        <f t="shared" si="100"/>
        <v>1.2527634487840777E-2</v>
      </c>
      <c r="O1672">
        <v>0.987472365512159</v>
      </c>
      <c r="P1672" s="25">
        <f t="shared" si="102"/>
        <v>0.98747236551215922</v>
      </c>
      <c r="Q1672">
        <v>13</v>
      </c>
      <c r="R1672" t="s">
        <v>124</v>
      </c>
      <c r="S1672" t="s">
        <v>124</v>
      </c>
      <c r="T1672" t="s">
        <v>124</v>
      </c>
      <c r="U1672" t="s">
        <v>124</v>
      </c>
      <c r="X1672" s="19">
        <f t="shared" si="98"/>
        <v>0.91034482758620694</v>
      </c>
      <c r="Y1672" s="19">
        <f t="shared" si="99"/>
        <v>1.2527634487840777E-2</v>
      </c>
      <c r="Z1672" s="26"/>
    </row>
    <row r="1673" spans="1:26" x14ac:dyDescent="0.35">
      <c r="A1673" t="s">
        <v>122</v>
      </c>
      <c r="B1673" t="s">
        <v>122</v>
      </c>
      <c r="C1673" t="s">
        <v>123</v>
      </c>
      <c r="D1673" t="s">
        <v>101</v>
      </c>
      <c r="E1673" t="s">
        <v>99</v>
      </c>
      <c r="F1673" t="s">
        <v>12</v>
      </c>
      <c r="G1673">
        <v>1</v>
      </c>
      <c r="H1673">
        <v>132</v>
      </c>
      <c r="I1673">
        <v>0.91034482758620605</v>
      </c>
      <c r="J1673" s="25">
        <f t="shared" si="101"/>
        <v>0.91034482758620694</v>
      </c>
      <c r="K1673">
        <v>1340</v>
      </c>
      <c r="L1673">
        <v>17</v>
      </c>
      <c r="M1673">
        <v>1.25276344878408E-2</v>
      </c>
      <c r="N1673" s="25">
        <f t="shared" si="100"/>
        <v>1.2527634487840777E-2</v>
      </c>
      <c r="O1673">
        <v>0.987472365512159</v>
      </c>
      <c r="P1673" s="25">
        <f t="shared" si="102"/>
        <v>0.98747236551215922</v>
      </c>
      <c r="Q1673">
        <v>13</v>
      </c>
      <c r="R1673" t="s">
        <v>124</v>
      </c>
      <c r="S1673" t="s">
        <v>124</v>
      </c>
      <c r="T1673" t="s">
        <v>124</v>
      </c>
      <c r="U1673" t="s">
        <v>124</v>
      </c>
      <c r="X1673" s="19">
        <f t="shared" si="98"/>
        <v>0.91034482758620694</v>
      </c>
      <c r="Y1673" s="19">
        <f t="shared" si="99"/>
        <v>1.2527634487840777E-2</v>
      </c>
      <c r="Z1673" s="26"/>
    </row>
    <row r="1674" spans="1:26" x14ac:dyDescent="0.35">
      <c r="A1674" t="s">
        <v>122</v>
      </c>
      <c r="B1674" t="s">
        <v>122</v>
      </c>
      <c r="C1674" t="s">
        <v>123</v>
      </c>
      <c r="D1674" t="s">
        <v>101</v>
      </c>
      <c r="E1674" t="s">
        <v>99</v>
      </c>
      <c r="F1674" t="s">
        <v>12</v>
      </c>
      <c r="G1674">
        <v>1</v>
      </c>
      <c r="H1674">
        <v>132</v>
      </c>
      <c r="I1674">
        <v>0.91034482758620605</v>
      </c>
      <c r="J1674" s="25">
        <f t="shared" si="101"/>
        <v>0.91034482758620694</v>
      </c>
      <c r="K1674">
        <v>1340</v>
      </c>
      <c r="L1674">
        <v>17</v>
      </c>
      <c r="M1674">
        <v>1.25276344878408E-2</v>
      </c>
      <c r="N1674" s="25">
        <f t="shared" si="100"/>
        <v>1.2527634487840777E-2</v>
      </c>
      <c r="O1674">
        <v>0.987472365512159</v>
      </c>
      <c r="P1674" s="25">
        <f t="shared" si="102"/>
        <v>0.98747236551215922</v>
      </c>
      <c r="Q1674">
        <v>13</v>
      </c>
      <c r="R1674" t="s">
        <v>124</v>
      </c>
      <c r="S1674" t="s">
        <v>124</v>
      </c>
      <c r="T1674" t="s">
        <v>124</v>
      </c>
      <c r="U1674" t="s">
        <v>124</v>
      </c>
      <c r="X1674" s="19">
        <f t="shared" si="98"/>
        <v>0.91034482758620694</v>
      </c>
      <c r="Y1674" s="19">
        <f t="shared" si="99"/>
        <v>1.2527634487840777E-2</v>
      </c>
      <c r="Z1674" s="26"/>
    </row>
    <row r="1675" spans="1:26" x14ac:dyDescent="0.35">
      <c r="A1675" t="s">
        <v>122</v>
      </c>
      <c r="B1675" t="s">
        <v>122</v>
      </c>
      <c r="C1675" t="s">
        <v>123</v>
      </c>
      <c r="D1675" t="s">
        <v>101</v>
      </c>
      <c r="E1675" t="s">
        <v>99</v>
      </c>
      <c r="F1675" t="s">
        <v>12</v>
      </c>
      <c r="G1675">
        <v>1</v>
      </c>
      <c r="H1675">
        <v>132</v>
      </c>
      <c r="I1675">
        <v>0.91034482758620605</v>
      </c>
      <c r="J1675" s="25">
        <f t="shared" si="101"/>
        <v>0.91034482758620694</v>
      </c>
      <c r="K1675">
        <v>1340</v>
      </c>
      <c r="L1675">
        <v>17</v>
      </c>
      <c r="M1675">
        <v>1.25276344878408E-2</v>
      </c>
      <c r="N1675" s="25">
        <f t="shared" si="100"/>
        <v>1.2527634487840777E-2</v>
      </c>
      <c r="O1675">
        <v>0.987472365512159</v>
      </c>
      <c r="P1675" s="25">
        <f t="shared" si="102"/>
        <v>0.98747236551215922</v>
      </c>
      <c r="Q1675">
        <v>13</v>
      </c>
      <c r="R1675" t="s">
        <v>124</v>
      </c>
      <c r="S1675" t="s">
        <v>124</v>
      </c>
      <c r="T1675" t="s">
        <v>124</v>
      </c>
      <c r="U1675" t="s">
        <v>124</v>
      </c>
      <c r="X1675" s="19">
        <f t="shared" si="98"/>
        <v>0.91034482758620694</v>
      </c>
      <c r="Y1675" s="19">
        <f t="shared" si="99"/>
        <v>1.2527634487840777E-2</v>
      </c>
      <c r="Z1675" s="26"/>
    </row>
    <row r="1676" spans="1:26" x14ac:dyDescent="0.35">
      <c r="A1676" t="s">
        <v>122</v>
      </c>
      <c r="B1676" t="s">
        <v>122</v>
      </c>
      <c r="C1676" t="s">
        <v>123</v>
      </c>
      <c r="D1676" t="s">
        <v>101</v>
      </c>
      <c r="E1676" t="s">
        <v>99</v>
      </c>
      <c r="F1676" t="s">
        <v>12</v>
      </c>
      <c r="G1676">
        <v>1</v>
      </c>
      <c r="H1676">
        <v>132</v>
      </c>
      <c r="I1676">
        <v>0.91034482758620605</v>
      </c>
      <c r="J1676" s="25">
        <f t="shared" si="101"/>
        <v>0.91034482758620694</v>
      </c>
      <c r="K1676">
        <v>1340</v>
      </c>
      <c r="L1676">
        <v>17</v>
      </c>
      <c r="M1676">
        <v>1.25276344878408E-2</v>
      </c>
      <c r="N1676" s="25">
        <f t="shared" si="100"/>
        <v>1.2527634487840777E-2</v>
      </c>
      <c r="O1676">
        <v>0.987472365512159</v>
      </c>
      <c r="P1676" s="25">
        <f t="shared" si="102"/>
        <v>0.98747236551215922</v>
      </c>
      <c r="Q1676">
        <v>13</v>
      </c>
      <c r="R1676" t="s">
        <v>124</v>
      </c>
      <c r="S1676" t="s">
        <v>124</v>
      </c>
      <c r="T1676" t="s">
        <v>124</v>
      </c>
      <c r="U1676" t="s">
        <v>124</v>
      </c>
      <c r="X1676" s="19">
        <f t="shared" si="98"/>
        <v>0.91034482758620694</v>
      </c>
      <c r="Y1676" s="19">
        <f t="shared" si="99"/>
        <v>1.2527634487840777E-2</v>
      </c>
      <c r="Z1676" s="26"/>
    </row>
    <row r="1677" spans="1:26" x14ac:dyDescent="0.35">
      <c r="A1677" t="s">
        <v>122</v>
      </c>
      <c r="B1677" t="s">
        <v>122</v>
      </c>
      <c r="C1677" t="s">
        <v>123</v>
      </c>
      <c r="D1677" t="s">
        <v>101</v>
      </c>
      <c r="E1677" t="s">
        <v>99</v>
      </c>
      <c r="F1677" t="s">
        <v>12</v>
      </c>
      <c r="G1677">
        <v>1</v>
      </c>
      <c r="H1677">
        <v>132</v>
      </c>
      <c r="I1677">
        <v>0.91034482758620605</v>
      </c>
      <c r="J1677" s="25">
        <f t="shared" si="101"/>
        <v>0.91034482758620694</v>
      </c>
      <c r="K1677">
        <v>1340</v>
      </c>
      <c r="L1677">
        <v>17</v>
      </c>
      <c r="M1677">
        <v>1.25276344878408E-2</v>
      </c>
      <c r="N1677" s="25">
        <f t="shared" si="100"/>
        <v>1.2527634487840777E-2</v>
      </c>
      <c r="O1677">
        <v>0.987472365512159</v>
      </c>
      <c r="P1677" s="25">
        <f t="shared" si="102"/>
        <v>0.98747236551215922</v>
      </c>
      <c r="Q1677">
        <v>13</v>
      </c>
      <c r="R1677" t="s">
        <v>124</v>
      </c>
      <c r="S1677" t="s">
        <v>124</v>
      </c>
      <c r="T1677" t="s">
        <v>124</v>
      </c>
      <c r="U1677" t="s">
        <v>124</v>
      </c>
      <c r="X1677" s="19">
        <f t="shared" si="98"/>
        <v>0.91034482758620694</v>
      </c>
      <c r="Y1677" s="19">
        <f t="shared" si="99"/>
        <v>1.2527634487840777E-2</v>
      </c>
      <c r="Z1677" s="26"/>
    </row>
    <row r="1678" spans="1:26" x14ac:dyDescent="0.35">
      <c r="A1678" t="s">
        <v>122</v>
      </c>
      <c r="B1678" t="s">
        <v>122</v>
      </c>
      <c r="C1678" t="s">
        <v>123</v>
      </c>
      <c r="D1678" t="s">
        <v>101</v>
      </c>
      <c r="E1678" t="s">
        <v>99</v>
      </c>
      <c r="F1678" t="s">
        <v>12</v>
      </c>
      <c r="G1678">
        <v>1</v>
      </c>
      <c r="H1678">
        <v>132</v>
      </c>
      <c r="I1678">
        <v>0.91034482758620605</v>
      </c>
      <c r="J1678" s="25">
        <f t="shared" si="101"/>
        <v>0.91034482758620694</v>
      </c>
      <c r="K1678">
        <v>1340</v>
      </c>
      <c r="L1678">
        <v>17</v>
      </c>
      <c r="M1678">
        <v>1.25276344878408E-2</v>
      </c>
      <c r="N1678" s="25">
        <f t="shared" si="100"/>
        <v>1.2527634487840777E-2</v>
      </c>
      <c r="O1678">
        <v>0.987472365512159</v>
      </c>
      <c r="P1678" s="25">
        <f t="shared" si="102"/>
        <v>0.98747236551215922</v>
      </c>
      <c r="Q1678">
        <v>13</v>
      </c>
      <c r="R1678" t="s">
        <v>124</v>
      </c>
      <c r="S1678" t="s">
        <v>124</v>
      </c>
      <c r="T1678" t="s">
        <v>124</v>
      </c>
      <c r="U1678" t="s">
        <v>124</v>
      </c>
      <c r="X1678" s="19">
        <f t="shared" si="98"/>
        <v>0.91034482758620694</v>
      </c>
      <c r="Y1678" s="19">
        <f t="shared" si="99"/>
        <v>1.2527634487840777E-2</v>
      </c>
      <c r="Z1678" s="26"/>
    </row>
    <row r="1679" spans="1:26" x14ac:dyDescent="0.35">
      <c r="A1679" t="s">
        <v>122</v>
      </c>
      <c r="B1679" t="s">
        <v>122</v>
      </c>
      <c r="C1679" t="s">
        <v>123</v>
      </c>
      <c r="D1679" t="s">
        <v>101</v>
      </c>
      <c r="E1679" t="s">
        <v>99</v>
      </c>
      <c r="F1679" t="s">
        <v>12</v>
      </c>
      <c r="G1679">
        <v>1</v>
      </c>
      <c r="H1679">
        <v>132</v>
      </c>
      <c r="I1679">
        <v>0.91034482758620605</v>
      </c>
      <c r="J1679" s="25">
        <f t="shared" si="101"/>
        <v>0.91034482758620694</v>
      </c>
      <c r="K1679">
        <v>1340</v>
      </c>
      <c r="L1679">
        <v>17</v>
      </c>
      <c r="M1679">
        <v>1.25276344878408E-2</v>
      </c>
      <c r="N1679" s="25">
        <f t="shared" si="100"/>
        <v>1.2527634487840777E-2</v>
      </c>
      <c r="O1679">
        <v>0.987472365512159</v>
      </c>
      <c r="P1679" s="25">
        <f t="shared" si="102"/>
        <v>0.98747236551215922</v>
      </c>
      <c r="Q1679">
        <v>13</v>
      </c>
      <c r="R1679" t="s">
        <v>124</v>
      </c>
      <c r="S1679" t="s">
        <v>124</v>
      </c>
      <c r="T1679" t="s">
        <v>124</v>
      </c>
      <c r="U1679" t="s">
        <v>124</v>
      </c>
      <c r="X1679" s="19">
        <f t="shared" si="98"/>
        <v>0.91034482758620694</v>
      </c>
      <c r="Y1679" s="19">
        <f t="shared" si="99"/>
        <v>1.2527634487840777E-2</v>
      </c>
      <c r="Z1679" s="26"/>
    </row>
    <row r="1680" spans="1:26" x14ac:dyDescent="0.35">
      <c r="A1680" t="s">
        <v>122</v>
      </c>
      <c r="B1680" t="s">
        <v>122</v>
      </c>
      <c r="C1680" t="s">
        <v>123</v>
      </c>
      <c r="D1680" t="s">
        <v>101</v>
      </c>
      <c r="E1680" t="s">
        <v>99</v>
      </c>
      <c r="F1680" t="s">
        <v>12</v>
      </c>
      <c r="G1680">
        <v>1</v>
      </c>
      <c r="H1680">
        <v>132</v>
      </c>
      <c r="I1680">
        <v>0.91034482758620605</v>
      </c>
      <c r="J1680" s="25">
        <f t="shared" si="101"/>
        <v>0.91034482758620694</v>
      </c>
      <c r="K1680">
        <v>1340</v>
      </c>
      <c r="L1680">
        <v>17</v>
      </c>
      <c r="M1680">
        <v>1.25276344878408E-2</v>
      </c>
      <c r="N1680" s="25">
        <f t="shared" si="100"/>
        <v>1.2527634487840777E-2</v>
      </c>
      <c r="O1680">
        <v>0.987472365512159</v>
      </c>
      <c r="P1680" s="25">
        <f t="shared" si="102"/>
        <v>0.98747236551215922</v>
      </c>
      <c r="Q1680">
        <v>13</v>
      </c>
      <c r="R1680" t="s">
        <v>124</v>
      </c>
      <c r="S1680" t="s">
        <v>124</v>
      </c>
      <c r="T1680" t="s">
        <v>124</v>
      </c>
      <c r="U1680" t="s">
        <v>124</v>
      </c>
      <c r="X1680" s="19">
        <f t="shared" si="98"/>
        <v>0.91034482758620694</v>
      </c>
      <c r="Y1680" s="19">
        <f t="shared" si="99"/>
        <v>1.2527634487840777E-2</v>
      </c>
      <c r="Z1680" s="26"/>
    </row>
    <row r="1681" spans="1:26" x14ac:dyDescent="0.35">
      <c r="A1681" t="s">
        <v>122</v>
      </c>
      <c r="B1681" t="s">
        <v>122</v>
      </c>
      <c r="C1681" t="s">
        <v>123</v>
      </c>
      <c r="D1681" t="s">
        <v>101</v>
      </c>
      <c r="E1681" t="s">
        <v>99</v>
      </c>
      <c r="F1681" t="s">
        <v>12</v>
      </c>
      <c r="G1681">
        <v>1</v>
      </c>
      <c r="H1681">
        <v>132</v>
      </c>
      <c r="I1681">
        <v>0.91034482758620605</v>
      </c>
      <c r="J1681" s="25">
        <f t="shared" si="101"/>
        <v>0.91034482758620694</v>
      </c>
      <c r="K1681">
        <v>1340</v>
      </c>
      <c r="L1681">
        <v>17</v>
      </c>
      <c r="M1681">
        <v>1.25276344878408E-2</v>
      </c>
      <c r="N1681" s="25">
        <f t="shared" si="100"/>
        <v>1.2527634487840777E-2</v>
      </c>
      <c r="O1681">
        <v>0.987472365512159</v>
      </c>
      <c r="P1681" s="25">
        <f t="shared" si="102"/>
        <v>0.98747236551215922</v>
      </c>
      <c r="Q1681">
        <v>13</v>
      </c>
      <c r="R1681" t="s">
        <v>124</v>
      </c>
      <c r="S1681" t="s">
        <v>124</v>
      </c>
      <c r="T1681" t="s">
        <v>124</v>
      </c>
      <c r="U1681" t="s">
        <v>124</v>
      </c>
      <c r="X1681" s="19">
        <f t="shared" si="98"/>
        <v>0.91034482758620694</v>
      </c>
      <c r="Y1681" s="19">
        <f t="shared" si="99"/>
        <v>1.2527634487840777E-2</v>
      </c>
      <c r="Z1681" s="26"/>
    </row>
    <row r="1682" spans="1:26" x14ac:dyDescent="0.35">
      <c r="A1682" t="s">
        <v>122</v>
      </c>
      <c r="B1682" t="s">
        <v>122</v>
      </c>
      <c r="C1682" t="s">
        <v>123</v>
      </c>
      <c r="D1682" t="s">
        <v>101</v>
      </c>
      <c r="E1682" t="s">
        <v>99</v>
      </c>
      <c r="F1682" t="s">
        <v>12</v>
      </c>
      <c r="G1682">
        <v>1</v>
      </c>
      <c r="H1682">
        <v>132</v>
      </c>
      <c r="I1682">
        <v>0.91034482758620605</v>
      </c>
      <c r="J1682" s="25">
        <f t="shared" si="101"/>
        <v>0.91034482758620694</v>
      </c>
      <c r="K1682">
        <v>1340</v>
      </c>
      <c r="L1682">
        <v>17</v>
      </c>
      <c r="M1682">
        <v>1.25276344878408E-2</v>
      </c>
      <c r="N1682" s="25">
        <f t="shared" si="100"/>
        <v>1.2527634487840777E-2</v>
      </c>
      <c r="O1682">
        <v>0.987472365512159</v>
      </c>
      <c r="P1682" s="25">
        <f t="shared" si="102"/>
        <v>0.98747236551215922</v>
      </c>
      <c r="Q1682">
        <v>13</v>
      </c>
      <c r="R1682" t="s">
        <v>124</v>
      </c>
      <c r="S1682" t="s">
        <v>124</v>
      </c>
      <c r="T1682" t="s">
        <v>124</v>
      </c>
      <c r="U1682" t="s">
        <v>124</v>
      </c>
      <c r="X1682" s="19">
        <f t="shared" si="98"/>
        <v>0.91034482758620694</v>
      </c>
      <c r="Y1682" s="19">
        <f t="shared" si="99"/>
        <v>1.2527634487840777E-2</v>
      </c>
      <c r="Z1682" s="26"/>
    </row>
    <row r="1683" spans="1:26" x14ac:dyDescent="0.35">
      <c r="A1683" t="s">
        <v>122</v>
      </c>
      <c r="B1683" t="s">
        <v>122</v>
      </c>
      <c r="C1683" t="s">
        <v>123</v>
      </c>
      <c r="D1683" t="s">
        <v>101</v>
      </c>
      <c r="E1683" t="s">
        <v>99</v>
      </c>
      <c r="F1683" t="s">
        <v>12</v>
      </c>
      <c r="G1683">
        <v>1</v>
      </c>
      <c r="H1683">
        <v>132</v>
      </c>
      <c r="I1683">
        <v>0.91034482758620605</v>
      </c>
      <c r="J1683" s="25">
        <f t="shared" si="101"/>
        <v>0.91034482758620694</v>
      </c>
      <c r="K1683">
        <v>1340</v>
      </c>
      <c r="L1683">
        <v>17</v>
      </c>
      <c r="M1683">
        <v>1.25276344878408E-2</v>
      </c>
      <c r="N1683" s="25">
        <f t="shared" si="100"/>
        <v>1.2527634487840777E-2</v>
      </c>
      <c r="O1683">
        <v>0.987472365512159</v>
      </c>
      <c r="P1683" s="25">
        <f t="shared" si="102"/>
        <v>0.98747236551215922</v>
      </c>
      <c r="Q1683">
        <v>13</v>
      </c>
      <c r="R1683" t="s">
        <v>124</v>
      </c>
      <c r="S1683" t="s">
        <v>124</v>
      </c>
      <c r="T1683" t="s">
        <v>124</v>
      </c>
      <c r="U1683" t="s">
        <v>124</v>
      </c>
      <c r="X1683" s="19">
        <f t="shared" si="98"/>
        <v>0.91034482758620694</v>
      </c>
      <c r="Y1683" s="19">
        <f t="shared" si="99"/>
        <v>1.2527634487840777E-2</v>
      </c>
      <c r="Z1683" s="26"/>
    </row>
    <row r="1684" spans="1:26" x14ac:dyDescent="0.35">
      <c r="A1684" t="s">
        <v>122</v>
      </c>
      <c r="B1684" t="s">
        <v>122</v>
      </c>
      <c r="C1684" t="s">
        <v>123</v>
      </c>
      <c r="D1684" t="s">
        <v>101</v>
      </c>
      <c r="E1684" t="s">
        <v>99</v>
      </c>
      <c r="F1684" t="s">
        <v>12</v>
      </c>
      <c r="G1684">
        <v>1</v>
      </c>
      <c r="H1684">
        <v>132</v>
      </c>
      <c r="I1684">
        <v>0.91034482758620605</v>
      </c>
      <c r="J1684" s="25">
        <f t="shared" si="101"/>
        <v>0.91034482758620694</v>
      </c>
      <c r="K1684">
        <v>1340</v>
      </c>
      <c r="L1684">
        <v>17</v>
      </c>
      <c r="M1684">
        <v>1.25276344878408E-2</v>
      </c>
      <c r="N1684" s="25">
        <f t="shared" si="100"/>
        <v>1.2527634487840777E-2</v>
      </c>
      <c r="O1684">
        <v>0.987472365512159</v>
      </c>
      <c r="P1684" s="25">
        <f t="shared" si="102"/>
        <v>0.98747236551215922</v>
      </c>
      <c r="Q1684">
        <v>13</v>
      </c>
      <c r="R1684" t="s">
        <v>124</v>
      </c>
      <c r="S1684" t="s">
        <v>124</v>
      </c>
      <c r="T1684" t="s">
        <v>124</v>
      </c>
      <c r="U1684" t="s">
        <v>124</v>
      </c>
      <c r="X1684" s="19">
        <f t="shared" si="98"/>
        <v>0.91034482758620694</v>
      </c>
      <c r="Y1684" s="19">
        <f t="shared" si="99"/>
        <v>1.2527634487840777E-2</v>
      </c>
      <c r="Z1684" s="26"/>
    </row>
    <row r="1685" spans="1:26" x14ac:dyDescent="0.35">
      <c r="A1685" t="s">
        <v>122</v>
      </c>
      <c r="B1685" t="s">
        <v>122</v>
      </c>
      <c r="C1685" t="s">
        <v>123</v>
      </c>
      <c r="D1685" t="s">
        <v>101</v>
      </c>
      <c r="E1685" t="s">
        <v>99</v>
      </c>
      <c r="F1685" t="s">
        <v>12</v>
      </c>
      <c r="G1685">
        <v>1</v>
      </c>
      <c r="H1685">
        <v>132</v>
      </c>
      <c r="I1685">
        <v>0.91034482758620605</v>
      </c>
      <c r="J1685" s="25">
        <f t="shared" si="101"/>
        <v>0.91034482758620694</v>
      </c>
      <c r="K1685">
        <v>1340</v>
      </c>
      <c r="L1685">
        <v>17</v>
      </c>
      <c r="M1685">
        <v>1.25276344878408E-2</v>
      </c>
      <c r="N1685" s="25">
        <f t="shared" si="100"/>
        <v>1.2527634487840777E-2</v>
      </c>
      <c r="O1685">
        <v>0.987472365512159</v>
      </c>
      <c r="P1685" s="25">
        <f t="shared" si="102"/>
        <v>0.98747236551215922</v>
      </c>
      <c r="Q1685">
        <v>13</v>
      </c>
      <c r="R1685" t="s">
        <v>124</v>
      </c>
      <c r="S1685" t="s">
        <v>124</v>
      </c>
      <c r="T1685" t="s">
        <v>124</v>
      </c>
      <c r="U1685" t="s">
        <v>124</v>
      </c>
      <c r="X1685" s="19">
        <f t="shared" si="98"/>
        <v>0.91034482758620694</v>
      </c>
      <c r="Y1685" s="19">
        <f t="shared" si="99"/>
        <v>1.2527634487840777E-2</v>
      </c>
      <c r="Z1685" s="26"/>
    </row>
    <row r="1686" spans="1:26" x14ac:dyDescent="0.35">
      <c r="A1686" t="s">
        <v>122</v>
      </c>
      <c r="B1686" t="s">
        <v>122</v>
      </c>
      <c r="C1686" t="s">
        <v>123</v>
      </c>
      <c r="D1686" t="s">
        <v>101</v>
      </c>
      <c r="E1686" t="s">
        <v>99</v>
      </c>
      <c r="F1686" t="s">
        <v>12</v>
      </c>
      <c r="G1686">
        <v>1</v>
      </c>
      <c r="H1686">
        <v>132</v>
      </c>
      <c r="I1686">
        <v>0.91034482758620605</v>
      </c>
      <c r="J1686" s="25">
        <f t="shared" si="101"/>
        <v>0.91034482758620694</v>
      </c>
      <c r="K1686">
        <v>1340</v>
      </c>
      <c r="L1686">
        <v>17</v>
      </c>
      <c r="M1686">
        <v>1.25276344878408E-2</v>
      </c>
      <c r="N1686" s="25">
        <f t="shared" si="100"/>
        <v>1.2527634487840777E-2</v>
      </c>
      <c r="O1686">
        <v>0.987472365512159</v>
      </c>
      <c r="P1686" s="25">
        <f t="shared" si="102"/>
        <v>0.98747236551215922</v>
      </c>
      <c r="Q1686">
        <v>13</v>
      </c>
      <c r="R1686" t="s">
        <v>124</v>
      </c>
      <c r="S1686" t="s">
        <v>124</v>
      </c>
      <c r="T1686" t="s">
        <v>124</v>
      </c>
      <c r="U1686" t="s">
        <v>124</v>
      </c>
      <c r="X1686" s="19">
        <f t="shared" si="98"/>
        <v>0.91034482758620694</v>
      </c>
      <c r="Y1686" s="19">
        <f t="shared" si="99"/>
        <v>1.2527634487840777E-2</v>
      </c>
      <c r="Z1686" s="26"/>
    </row>
    <row r="1687" spans="1:26" x14ac:dyDescent="0.35">
      <c r="A1687" t="s">
        <v>122</v>
      </c>
      <c r="B1687" t="s">
        <v>122</v>
      </c>
      <c r="C1687" t="s">
        <v>123</v>
      </c>
      <c r="D1687" t="s">
        <v>101</v>
      </c>
      <c r="E1687" t="s">
        <v>99</v>
      </c>
      <c r="F1687" t="s">
        <v>12</v>
      </c>
      <c r="G1687">
        <v>1</v>
      </c>
      <c r="H1687">
        <v>132</v>
      </c>
      <c r="I1687">
        <v>0.91034482758620605</v>
      </c>
      <c r="J1687" s="25">
        <f t="shared" si="101"/>
        <v>0.91034482758620694</v>
      </c>
      <c r="K1687">
        <v>1340</v>
      </c>
      <c r="L1687">
        <v>17</v>
      </c>
      <c r="M1687">
        <v>1.25276344878408E-2</v>
      </c>
      <c r="N1687" s="25">
        <f t="shared" si="100"/>
        <v>1.2527634487840777E-2</v>
      </c>
      <c r="O1687">
        <v>0.987472365512159</v>
      </c>
      <c r="P1687" s="25">
        <f t="shared" si="102"/>
        <v>0.98747236551215922</v>
      </c>
      <c r="Q1687">
        <v>13</v>
      </c>
      <c r="R1687" t="s">
        <v>124</v>
      </c>
      <c r="S1687" t="s">
        <v>124</v>
      </c>
      <c r="T1687" t="s">
        <v>124</v>
      </c>
      <c r="U1687" t="s">
        <v>124</v>
      </c>
      <c r="X1687" s="19">
        <f t="shared" si="98"/>
        <v>0.91034482758620694</v>
      </c>
      <c r="Y1687" s="19">
        <f t="shared" si="99"/>
        <v>1.2527634487840777E-2</v>
      </c>
      <c r="Z1687" s="26"/>
    </row>
    <row r="1688" spans="1:26" x14ac:dyDescent="0.35">
      <c r="A1688" t="s">
        <v>122</v>
      </c>
      <c r="B1688" t="s">
        <v>122</v>
      </c>
      <c r="C1688" t="s">
        <v>123</v>
      </c>
      <c r="D1688" t="s">
        <v>101</v>
      </c>
      <c r="E1688" t="s">
        <v>99</v>
      </c>
      <c r="F1688" t="s">
        <v>12</v>
      </c>
      <c r="G1688">
        <v>1</v>
      </c>
      <c r="H1688">
        <v>132</v>
      </c>
      <c r="I1688">
        <v>0.91034482758620605</v>
      </c>
      <c r="J1688" s="25">
        <f t="shared" si="101"/>
        <v>0.91034482758620694</v>
      </c>
      <c r="K1688">
        <v>1340</v>
      </c>
      <c r="L1688">
        <v>17</v>
      </c>
      <c r="M1688">
        <v>1.25276344878408E-2</v>
      </c>
      <c r="N1688" s="25">
        <f t="shared" si="100"/>
        <v>1.2527634487840777E-2</v>
      </c>
      <c r="O1688">
        <v>0.987472365512159</v>
      </c>
      <c r="P1688" s="25">
        <f t="shared" si="102"/>
        <v>0.98747236551215922</v>
      </c>
      <c r="Q1688">
        <v>13</v>
      </c>
      <c r="R1688" t="s">
        <v>124</v>
      </c>
      <c r="S1688" t="s">
        <v>124</v>
      </c>
      <c r="T1688" t="s">
        <v>124</v>
      </c>
      <c r="U1688" t="s">
        <v>124</v>
      </c>
      <c r="X1688" s="19">
        <f t="shared" si="98"/>
        <v>0.91034482758620694</v>
      </c>
      <c r="Y1688" s="19">
        <f t="shared" si="99"/>
        <v>1.2527634487840777E-2</v>
      </c>
      <c r="Z1688" s="26"/>
    </row>
    <row r="1689" spans="1:26" x14ac:dyDescent="0.35">
      <c r="A1689" t="s">
        <v>122</v>
      </c>
      <c r="B1689" t="s">
        <v>122</v>
      </c>
      <c r="C1689" t="s">
        <v>123</v>
      </c>
      <c r="D1689" t="s">
        <v>101</v>
      </c>
      <c r="E1689" t="s">
        <v>99</v>
      </c>
      <c r="F1689" t="s">
        <v>12</v>
      </c>
      <c r="G1689">
        <v>1</v>
      </c>
      <c r="H1689">
        <v>132</v>
      </c>
      <c r="I1689">
        <v>0.91034482758620605</v>
      </c>
      <c r="J1689" s="25">
        <f t="shared" si="101"/>
        <v>0.91034482758620694</v>
      </c>
      <c r="K1689">
        <v>1340</v>
      </c>
      <c r="L1689">
        <v>17</v>
      </c>
      <c r="M1689">
        <v>1.25276344878408E-2</v>
      </c>
      <c r="N1689" s="25">
        <f t="shared" si="100"/>
        <v>1.2527634487840777E-2</v>
      </c>
      <c r="O1689">
        <v>0.987472365512159</v>
      </c>
      <c r="P1689" s="25">
        <f t="shared" si="102"/>
        <v>0.98747236551215922</v>
      </c>
      <c r="Q1689">
        <v>13</v>
      </c>
      <c r="R1689" t="s">
        <v>124</v>
      </c>
      <c r="S1689" t="s">
        <v>124</v>
      </c>
      <c r="T1689" t="s">
        <v>124</v>
      </c>
      <c r="U1689" t="s">
        <v>124</v>
      </c>
      <c r="X1689" s="19">
        <f t="shared" si="98"/>
        <v>0.91034482758620694</v>
      </c>
      <c r="Y1689" s="19">
        <f t="shared" si="99"/>
        <v>1.2527634487840777E-2</v>
      </c>
      <c r="Z1689" s="26"/>
    </row>
    <row r="1690" spans="1:26" x14ac:dyDescent="0.35">
      <c r="A1690" t="s">
        <v>122</v>
      </c>
      <c r="B1690" t="s">
        <v>122</v>
      </c>
      <c r="C1690" t="s">
        <v>123</v>
      </c>
      <c r="D1690" t="s">
        <v>101</v>
      </c>
      <c r="E1690" t="s">
        <v>99</v>
      </c>
      <c r="F1690" t="s">
        <v>12</v>
      </c>
      <c r="G1690">
        <v>1</v>
      </c>
      <c r="H1690">
        <v>132</v>
      </c>
      <c r="I1690">
        <v>0.91034482758620605</v>
      </c>
      <c r="J1690" s="25">
        <f t="shared" si="101"/>
        <v>0.91034482758620694</v>
      </c>
      <c r="K1690">
        <v>1340</v>
      </c>
      <c r="L1690">
        <v>17</v>
      </c>
      <c r="M1690">
        <v>1.25276344878408E-2</v>
      </c>
      <c r="N1690" s="25">
        <f t="shared" si="100"/>
        <v>1.2527634487840777E-2</v>
      </c>
      <c r="O1690">
        <v>0.987472365512159</v>
      </c>
      <c r="P1690" s="25">
        <f t="shared" si="102"/>
        <v>0.98747236551215922</v>
      </c>
      <c r="Q1690">
        <v>13</v>
      </c>
      <c r="R1690" t="s">
        <v>124</v>
      </c>
      <c r="S1690" t="s">
        <v>124</v>
      </c>
      <c r="T1690" t="s">
        <v>124</v>
      </c>
      <c r="U1690" t="s">
        <v>124</v>
      </c>
      <c r="X1690" s="19">
        <f t="shared" si="98"/>
        <v>0.91034482758620694</v>
      </c>
      <c r="Y1690" s="19">
        <f t="shared" si="99"/>
        <v>1.2527634487840777E-2</v>
      </c>
      <c r="Z1690" s="26"/>
    </row>
    <row r="1691" spans="1:26" x14ac:dyDescent="0.35">
      <c r="A1691" t="s">
        <v>122</v>
      </c>
      <c r="B1691" t="s">
        <v>122</v>
      </c>
      <c r="C1691" t="s">
        <v>123</v>
      </c>
      <c r="D1691" t="s">
        <v>101</v>
      </c>
      <c r="E1691" t="s">
        <v>99</v>
      </c>
      <c r="F1691" t="s">
        <v>12</v>
      </c>
      <c r="G1691">
        <v>1</v>
      </c>
      <c r="H1691">
        <v>132</v>
      </c>
      <c r="I1691">
        <v>0.91034482758620605</v>
      </c>
      <c r="J1691" s="25">
        <f t="shared" si="101"/>
        <v>0.91034482758620694</v>
      </c>
      <c r="K1691">
        <v>1340</v>
      </c>
      <c r="L1691">
        <v>17</v>
      </c>
      <c r="M1691">
        <v>1.25276344878408E-2</v>
      </c>
      <c r="N1691" s="25">
        <f t="shared" si="100"/>
        <v>1.2527634487840777E-2</v>
      </c>
      <c r="O1691">
        <v>0.987472365512159</v>
      </c>
      <c r="P1691" s="25">
        <f t="shared" si="102"/>
        <v>0.98747236551215922</v>
      </c>
      <c r="Q1691">
        <v>13</v>
      </c>
      <c r="R1691" t="s">
        <v>124</v>
      </c>
      <c r="S1691" t="s">
        <v>124</v>
      </c>
      <c r="T1691" t="s">
        <v>124</v>
      </c>
      <c r="U1691" t="s">
        <v>124</v>
      </c>
      <c r="X1691" s="19">
        <f t="shared" si="98"/>
        <v>0.91034482758620694</v>
      </c>
      <c r="Y1691" s="19">
        <f t="shared" si="99"/>
        <v>1.2527634487840777E-2</v>
      </c>
      <c r="Z1691" s="26"/>
    </row>
    <row r="1692" spans="1:26" x14ac:dyDescent="0.35">
      <c r="A1692" t="s">
        <v>122</v>
      </c>
      <c r="B1692" t="s">
        <v>122</v>
      </c>
      <c r="C1692" t="s">
        <v>123</v>
      </c>
      <c r="D1692" t="s">
        <v>101</v>
      </c>
      <c r="E1692" t="s">
        <v>99</v>
      </c>
      <c r="F1692" t="s">
        <v>12</v>
      </c>
      <c r="G1692">
        <v>1</v>
      </c>
      <c r="H1692">
        <v>132</v>
      </c>
      <c r="I1692">
        <v>0.91034482758620605</v>
      </c>
      <c r="J1692" s="25">
        <f t="shared" si="101"/>
        <v>0.91034482758620694</v>
      </c>
      <c r="K1692">
        <v>1340</v>
      </c>
      <c r="L1692">
        <v>17</v>
      </c>
      <c r="M1692">
        <v>1.25276344878408E-2</v>
      </c>
      <c r="N1692" s="25">
        <f t="shared" si="100"/>
        <v>1.2527634487840777E-2</v>
      </c>
      <c r="O1692">
        <v>0.987472365512159</v>
      </c>
      <c r="P1692" s="25">
        <f t="shared" si="102"/>
        <v>0.98747236551215922</v>
      </c>
      <c r="Q1692">
        <v>13</v>
      </c>
      <c r="R1692" t="s">
        <v>124</v>
      </c>
      <c r="S1692" t="s">
        <v>124</v>
      </c>
      <c r="T1692" t="s">
        <v>124</v>
      </c>
      <c r="U1692" t="s">
        <v>124</v>
      </c>
      <c r="X1692" s="19">
        <f t="shared" si="98"/>
        <v>0.91034482758620694</v>
      </c>
      <c r="Y1692" s="19">
        <f t="shared" si="99"/>
        <v>1.2527634487840777E-2</v>
      </c>
      <c r="Z1692" s="26"/>
    </row>
    <row r="1693" spans="1:26" x14ac:dyDescent="0.35">
      <c r="A1693" t="s">
        <v>122</v>
      </c>
      <c r="B1693" t="s">
        <v>122</v>
      </c>
      <c r="C1693" t="s">
        <v>123</v>
      </c>
      <c r="D1693" t="s">
        <v>101</v>
      </c>
      <c r="E1693" t="s">
        <v>99</v>
      </c>
      <c r="F1693" t="s">
        <v>12</v>
      </c>
      <c r="G1693">
        <v>1</v>
      </c>
      <c r="H1693">
        <v>132</v>
      </c>
      <c r="I1693">
        <v>0.91034482758620605</v>
      </c>
      <c r="J1693" s="25">
        <f t="shared" si="101"/>
        <v>0.91034482758620694</v>
      </c>
      <c r="K1693">
        <v>1340</v>
      </c>
      <c r="L1693">
        <v>17</v>
      </c>
      <c r="M1693">
        <v>1.25276344878408E-2</v>
      </c>
      <c r="N1693" s="25">
        <f t="shared" si="100"/>
        <v>1.2527634487840777E-2</v>
      </c>
      <c r="O1693">
        <v>0.987472365512159</v>
      </c>
      <c r="P1693" s="25">
        <f t="shared" si="102"/>
        <v>0.98747236551215922</v>
      </c>
      <c r="Q1693">
        <v>13</v>
      </c>
      <c r="R1693" t="s">
        <v>124</v>
      </c>
      <c r="S1693" t="s">
        <v>124</v>
      </c>
      <c r="T1693" t="s">
        <v>124</v>
      </c>
      <c r="U1693" t="s">
        <v>124</v>
      </c>
      <c r="X1693" s="19">
        <f t="shared" si="98"/>
        <v>0.91034482758620694</v>
      </c>
      <c r="Y1693" s="19">
        <f t="shared" si="99"/>
        <v>1.2527634487840777E-2</v>
      </c>
      <c r="Z1693" s="26"/>
    </row>
    <row r="1694" spans="1:26" x14ac:dyDescent="0.35">
      <c r="A1694" t="s">
        <v>122</v>
      </c>
      <c r="B1694" t="s">
        <v>122</v>
      </c>
      <c r="C1694" t="s">
        <v>123</v>
      </c>
      <c r="D1694" t="s">
        <v>101</v>
      </c>
      <c r="E1694" t="s">
        <v>99</v>
      </c>
      <c r="F1694" t="s">
        <v>12</v>
      </c>
      <c r="G1694">
        <v>1</v>
      </c>
      <c r="H1694">
        <v>132</v>
      </c>
      <c r="I1694">
        <v>0.91034482758620605</v>
      </c>
      <c r="J1694" s="25">
        <f t="shared" si="101"/>
        <v>0.91034482758620694</v>
      </c>
      <c r="K1694">
        <v>1340</v>
      </c>
      <c r="L1694">
        <v>17</v>
      </c>
      <c r="M1694">
        <v>1.25276344878408E-2</v>
      </c>
      <c r="N1694" s="25">
        <f t="shared" si="100"/>
        <v>1.2527634487840777E-2</v>
      </c>
      <c r="O1694">
        <v>0.987472365512159</v>
      </c>
      <c r="P1694" s="25">
        <f t="shared" si="102"/>
        <v>0.98747236551215922</v>
      </c>
      <c r="Q1694">
        <v>13</v>
      </c>
      <c r="R1694" t="s">
        <v>124</v>
      </c>
      <c r="S1694" t="s">
        <v>124</v>
      </c>
      <c r="T1694" t="s">
        <v>124</v>
      </c>
      <c r="U1694" t="s">
        <v>124</v>
      </c>
      <c r="X1694" s="19">
        <f t="shared" si="98"/>
        <v>0.91034482758620694</v>
      </c>
      <c r="Y1694" s="19">
        <f t="shared" si="99"/>
        <v>1.2527634487840777E-2</v>
      </c>
      <c r="Z1694" s="26"/>
    </row>
    <row r="1695" spans="1:26" x14ac:dyDescent="0.35">
      <c r="A1695" t="s">
        <v>122</v>
      </c>
      <c r="B1695" t="s">
        <v>122</v>
      </c>
      <c r="C1695" t="s">
        <v>123</v>
      </c>
      <c r="D1695" t="s">
        <v>101</v>
      </c>
      <c r="E1695" t="s">
        <v>99</v>
      </c>
      <c r="F1695" t="s">
        <v>12</v>
      </c>
      <c r="G1695">
        <v>1</v>
      </c>
      <c r="H1695">
        <v>132</v>
      </c>
      <c r="I1695">
        <v>0.91034482758620605</v>
      </c>
      <c r="J1695" s="25">
        <f t="shared" si="101"/>
        <v>0.91034482758620694</v>
      </c>
      <c r="K1695">
        <v>1340</v>
      </c>
      <c r="L1695">
        <v>17</v>
      </c>
      <c r="M1695">
        <v>1.25276344878408E-2</v>
      </c>
      <c r="N1695" s="25">
        <f t="shared" si="100"/>
        <v>1.2527634487840777E-2</v>
      </c>
      <c r="O1695">
        <v>0.987472365512159</v>
      </c>
      <c r="P1695" s="25">
        <f t="shared" si="102"/>
        <v>0.98747236551215922</v>
      </c>
      <c r="Q1695">
        <v>13</v>
      </c>
      <c r="R1695" t="s">
        <v>124</v>
      </c>
      <c r="S1695" t="s">
        <v>124</v>
      </c>
      <c r="T1695" t="s">
        <v>124</v>
      </c>
      <c r="U1695" t="s">
        <v>124</v>
      </c>
      <c r="X1695" s="19">
        <f t="shared" si="98"/>
        <v>0.91034482758620694</v>
      </c>
      <c r="Y1695" s="19">
        <f t="shared" si="99"/>
        <v>1.2527634487840777E-2</v>
      </c>
      <c r="Z1695" s="26"/>
    </row>
    <row r="1696" spans="1:26" x14ac:dyDescent="0.35">
      <c r="A1696" t="s">
        <v>122</v>
      </c>
      <c r="B1696" t="s">
        <v>122</v>
      </c>
      <c r="C1696" t="s">
        <v>123</v>
      </c>
      <c r="D1696" t="s">
        <v>101</v>
      </c>
      <c r="E1696" t="s">
        <v>99</v>
      </c>
      <c r="F1696" t="s">
        <v>12</v>
      </c>
      <c r="G1696">
        <v>1</v>
      </c>
      <c r="H1696">
        <v>132</v>
      </c>
      <c r="I1696">
        <v>0.91034482758620605</v>
      </c>
      <c r="J1696" s="25">
        <f t="shared" si="101"/>
        <v>0.91034482758620694</v>
      </c>
      <c r="K1696">
        <v>1340</v>
      </c>
      <c r="L1696">
        <v>17</v>
      </c>
      <c r="M1696">
        <v>1.25276344878408E-2</v>
      </c>
      <c r="N1696" s="25">
        <f t="shared" si="100"/>
        <v>1.2527634487840777E-2</v>
      </c>
      <c r="O1696">
        <v>0.987472365512159</v>
      </c>
      <c r="P1696" s="25">
        <f t="shared" si="102"/>
        <v>0.98747236551215922</v>
      </c>
      <c r="Q1696">
        <v>13</v>
      </c>
      <c r="R1696" t="s">
        <v>124</v>
      </c>
      <c r="S1696" t="s">
        <v>124</v>
      </c>
      <c r="T1696" t="s">
        <v>124</v>
      </c>
      <c r="U1696" t="s">
        <v>124</v>
      </c>
      <c r="X1696" s="19">
        <f t="shared" si="98"/>
        <v>0.91034482758620694</v>
      </c>
      <c r="Y1696" s="19">
        <f t="shared" si="99"/>
        <v>1.2527634487840777E-2</v>
      </c>
      <c r="Z1696" s="26"/>
    </row>
    <row r="1697" spans="1:26" x14ac:dyDescent="0.35">
      <c r="A1697" t="s">
        <v>122</v>
      </c>
      <c r="B1697" t="s">
        <v>122</v>
      </c>
      <c r="C1697" t="s">
        <v>123</v>
      </c>
      <c r="D1697" t="s">
        <v>101</v>
      </c>
      <c r="E1697" t="s">
        <v>99</v>
      </c>
      <c r="F1697" t="s">
        <v>12</v>
      </c>
      <c r="G1697">
        <v>1</v>
      </c>
      <c r="H1697">
        <v>132</v>
      </c>
      <c r="I1697">
        <v>0.91034482758620605</v>
      </c>
      <c r="J1697" s="25">
        <f t="shared" si="101"/>
        <v>0.91034482758620694</v>
      </c>
      <c r="K1697">
        <v>1340</v>
      </c>
      <c r="L1697">
        <v>17</v>
      </c>
      <c r="M1697">
        <v>1.25276344878408E-2</v>
      </c>
      <c r="N1697" s="25">
        <f t="shared" si="100"/>
        <v>1.2527634487840777E-2</v>
      </c>
      <c r="O1697">
        <v>0.987472365512159</v>
      </c>
      <c r="P1697" s="25">
        <f t="shared" si="102"/>
        <v>0.98747236551215922</v>
      </c>
      <c r="Q1697">
        <v>13</v>
      </c>
      <c r="R1697" t="s">
        <v>124</v>
      </c>
      <c r="S1697" t="s">
        <v>124</v>
      </c>
      <c r="T1697" t="s">
        <v>124</v>
      </c>
      <c r="U1697" t="s">
        <v>124</v>
      </c>
      <c r="X1697" s="19">
        <f t="shared" si="98"/>
        <v>0.91034482758620694</v>
      </c>
      <c r="Y1697" s="19">
        <f t="shared" si="99"/>
        <v>1.2527634487840777E-2</v>
      </c>
      <c r="Z1697" s="26"/>
    </row>
    <row r="1698" spans="1:26" x14ac:dyDescent="0.35">
      <c r="A1698" t="s">
        <v>122</v>
      </c>
      <c r="B1698" t="s">
        <v>122</v>
      </c>
      <c r="C1698" t="s">
        <v>123</v>
      </c>
      <c r="D1698" t="s">
        <v>101</v>
      </c>
      <c r="E1698" t="s">
        <v>99</v>
      </c>
      <c r="F1698" t="s">
        <v>12</v>
      </c>
      <c r="G1698">
        <v>1</v>
      </c>
      <c r="H1698">
        <v>132</v>
      </c>
      <c r="I1698">
        <v>0.91034482758620605</v>
      </c>
      <c r="J1698" s="25">
        <f t="shared" si="101"/>
        <v>0.91034482758620694</v>
      </c>
      <c r="K1698">
        <v>1340</v>
      </c>
      <c r="L1698">
        <v>17</v>
      </c>
      <c r="M1698">
        <v>1.25276344878408E-2</v>
      </c>
      <c r="N1698" s="25">
        <f t="shared" si="100"/>
        <v>1.2527634487840777E-2</v>
      </c>
      <c r="O1698">
        <v>0.987472365512159</v>
      </c>
      <c r="P1698" s="25">
        <f t="shared" si="102"/>
        <v>0.98747236551215922</v>
      </c>
      <c r="Q1698">
        <v>13</v>
      </c>
      <c r="R1698" t="s">
        <v>124</v>
      </c>
      <c r="S1698" t="s">
        <v>124</v>
      </c>
      <c r="T1698" t="s">
        <v>124</v>
      </c>
      <c r="U1698" t="s">
        <v>124</v>
      </c>
      <c r="X1698" s="19">
        <f t="shared" si="98"/>
        <v>0.91034482758620694</v>
      </c>
      <c r="Y1698" s="19">
        <f t="shared" si="99"/>
        <v>1.2527634487840777E-2</v>
      </c>
      <c r="Z1698" s="26"/>
    </row>
    <row r="1699" spans="1:26" x14ac:dyDescent="0.35">
      <c r="A1699" t="s">
        <v>122</v>
      </c>
      <c r="B1699" t="s">
        <v>122</v>
      </c>
      <c r="C1699" t="s">
        <v>123</v>
      </c>
      <c r="D1699" t="s">
        <v>101</v>
      </c>
      <c r="E1699" t="s">
        <v>99</v>
      </c>
      <c r="F1699" t="s">
        <v>12</v>
      </c>
      <c r="G1699">
        <v>1</v>
      </c>
      <c r="H1699">
        <v>132</v>
      </c>
      <c r="I1699">
        <v>0.91034482758620605</v>
      </c>
      <c r="J1699" s="25">
        <f t="shared" si="101"/>
        <v>0.91034482758620694</v>
      </c>
      <c r="K1699">
        <v>1340</v>
      </c>
      <c r="L1699">
        <v>17</v>
      </c>
      <c r="M1699">
        <v>1.25276344878408E-2</v>
      </c>
      <c r="N1699" s="25">
        <f t="shared" si="100"/>
        <v>1.2527634487840777E-2</v>
      </c>
      <c r="O1699">
        <v>0.987472365512159</v>
      </c>
      <c r="P1699" s="25">
        <f t="shared" si="102"/>
        <v>0.98747236551215922</v>
      </c>
      <c r="Q1699">
        <v>13</v>
      </c>
      <c r="R1699" t="s">
        <v>124</v>
      </c>
      <c r="S1699" t="s">
        <v>124</v>
      </c>
      <c r="T1699" t="s">
        <v>124</v>
      </c>
      <c r="U1699" t="s">
        <v>124</v>
      </c>
      <c r="X1699" s="19">
        <f t="shared" si="98"/>
        <v>0.91034482758620694</v>
      </c>
      <c r="Y1699" s="19">
        <f t="shared" si="99"/>
        <v>1.2527634487840777E-2</v>
      </c>
      <c r="Z1699" s="26"/>
    </row>
    <row r="1700" spans="1:26" x14ac:dyDescent="0.35">
      <c r="A1700" t="s">
        <v>122</v>
      </c>
      <c r="B1700" t="s">
        <v>122</v>
      </c>
      <c r="C1700" t="s">
        <v>123</v>
      </c>
      <c r="D1700" t="s">
        <v>101</v>
      </c>
      <c r="E1700" t="s">
        <v>99</v>
      </c>
      <c r="F1700" t="s">
        <v>12</v>
      </c>
      <c r="G1700">
        <v>1</v>
      </c>
      <c r="H1700">
        <v>132</v>
      </c>
      <c r="I1700">
        <v>0.91034482758620605</v>
      </c>
      <c r="J1700" s="25">
        <f t="shared" si="101"/>
        <v>0.91034482758620694</v>
      </c>
      <c r="K1700">
        <v>1340</v>
      </c>
      <c r="L1700">
        <v>17</v>
      </c>
      <c r="M1700">
        <v>1.25276344878408E-2</v>
      </c>
      <c r="N1700" s="25">
        <f t="shared" si="100"/>
        <v>1.2527634487840777E-2</v>
      </c>
      <c r="O1700">
        <v>0.987472365512159</v>
      </c>
      <c r="P1700" s="25">
        <f t="shared" si="102"/>
        <v>0.98747236551215922</v>
      </c>
      <c r="Q1700">
        <v>13</v>
      </c>
      <c r="R1700" t="s">
        <v>124</v>
      </c>
      <c r="S1700" t="s">
        <v>124</v>
      </c>
      <c r="T1700" t="s">
        <v>124</v>
      </c>
      <c r="U1700" t="s">
        <v>124</v>
      </c>
      <c r="X1700" s="19">
        <f t="shared" si="98"/>
        <v>0.91034482758620694</v>
      </c>
      <c r="Y1700" s="19">
        <f t="shared" si="99"/>
        <v>1.2527634487840777E-2</v>
      </c>
      <c r="Z1700" s="26"/>
    </row>
    <row r="1701" spans="1:26" x14ac:dyDescent="0.35">
      <c r="A1701" t="s">
        <v>122</v>
      </c>
      <c r="B1701" t="s">
        <v>122</v>
      </c>
      <c r="C1701" t="s">
        <v>123</v>
      </c>
      <c r="D1701" t="s">
        <v>101</v>
      </c>
      <c r="E1701" t="s">
        <v>99</v>
      </c>
      <c r="F1701" t="s">
        <v>12</v>
      </c>
      <c r="G1701">
        <v>1</v>
      </c>
      <c r="H1701">
        <v>132</v>
      </c>
      <c r="I1701">
        <v>0.91034482758620605</v>
      </c>
      <c r="J1701" s="25">
        <f t="shared" si="101"/>
        <v>0.91034482758620694</v>
      </c>
      <c r="K1701">
        <v>1340</v>
      </c>
      <c r="L1701">
        <v>17</v>
      </c>
      <c r="M1701">
        <v>1.25276344878408E-2</v>
      </c>
      <c r="N1701" s="25">
        <f t="shared" si="100"/>
        <v>1.2527634487840777E-2</v>
      </c>
      <c r="O1701">
        <v>0.987472365512159</v>
      </c>
      <c r="P1701" s="25">
        <f t="shared" si="102"/>
        <v>0.98747236551215922</v>
      </c>
      <c r="Q1701">
        <v>13</v>
      </c>
      <c r="R1701" t="s">
        <v>124</v>
      </c>
      <c r="S1701" t="s">
        <v>124</v>
      </c>
      <c r="T1701" t="s">
        <v>124</v>
      </c>
      <c r="U1701" t="s">
        <v>124</v>
      </c>
      <c r="X1701" s="19">
        <f t="shared" si="98"/>
        <v>0.91034482758620694</v>
      </c>
      <c r="Y1701" s="19">
        <f t="shared" si="99"/>
        <v>1.2527634487840777E-2</v>
      </c>
      <c r="Z1701" s="26"/>
    </row>
    <row r="1702" spans="1:26" x14ac:dyDescent="0.35">
      <c r="A1702" t="s">
        <v>122</v>
      </c>
      <c r="B1702" t="s">
        <v>122</v>
      </c>
      <c r="C1702" t="s">
        <v>123</v>
      </c>
      <c r="D1702" t="s">
        <v>101</v>
      </c>
      <c r="E1702" t="s">
        <v>99</v>
      </c>
      <c r="F1702" t="s">
        <v>12</v>
      </c>
      <c r="G1702">
        <v>1</v>
      </c>
      <c r="H1702">
        <v>132</v>
      </c>
      <c r="I1702">
        <v>0.91034482758620605</v>
      </c>
      <c r="J1702" s="25">
        <f t="shared" si="101"/>
        <v>0.91034482758620694</v>
      </c>
      <c r="K1702">
        <v>1340</v>
      </c>
      <c r="L1702">
        <v>17</v>
      </c>
      <c r="M1702">
        <v>1.25276344878408E-2</v>
      </c>
      <c r="N1702" s="25">
        <f t="shared" si="100"/>
        <v>1.2527634487840777E-2</v>
      </c>
      <c r="O1702">
        <v>0.987472365512159</v>
      </c>
      <c r="P1702" s="25">
        <f t="shared" si="102"/>
        <v>0.98747236551215922</v>
      </c>
      <c r="Q1702">
        <v>13</v>
      </c>
      <c r="R1702" t="s">
        <v>124</v>
      </c>
      <c r="S1702" t="s">
        <v>124</v>
      </c>
      <c r="T1702" t="s">
        <v>124</v>
      </c>
      <c r="U1702" t="s">
        <v>124</v>
      </c>
      <c r="X1702" s="19">
        <f t="shared" si="98"/>
        <v>0.91034482758620694</v>
      </c>
      <c r="Y1702" s="19">
        <f t="shared" si="99"/>
        <v>1.2527634487840777E-2</v>
      </c>
      <c r="Z1702" s="26"/>
    </row>
    <row r="1703" spans="1:26" x14ac:dyDescent="0.35">
      <c r="A1703" t="s">
        <v>122</v>
      </c>
      <c r="B1703" t="s">
        <v>122</v>
      </c>
      <c r="C1703" t="s">
        <v>123</v>
      </c>
      <c r="D1703" t="s">
        <v>101</v>
      </c>
      <c r="E1703" t="s">
        <v>99</v>
      </c>
      <c r="F1703" t="s">
        <v>12</v>
      </c>
      <c r="G1703">
        <v>1</v>
      </c>
      <c r="H1703">
        <v>132</v>
      </c>
      <c r="I1703">
        <v>0.91034482758620605</v>
      </c>
      <c r="J1703" s="25">
        <f t="shared" si="101"/>
        <v>0.91034482758620694</v>
      </c>
      <c r="K1703">
        <v>1340</v>
      </c>
      <c r="L1703">
        <v>17</v>
      </c>
      <c r="M1703">
        <v>1.25276344878408E-2</v>
      </c>
      <c r="N1703" s="25">
        <f t="shared" si="100"/>
        <v>1.2527634487840777E-2</v>
      </c>
      <c r="O1703">
        <v>0.987472365512159</v>
      </c>
      <c r="P1703" s="25">
        <f t="shared" si="102"/>
        <v>0.98747236551215922</v>
      </c>
      <c r="Q1703">
        <v>13</v>
      </c>
      <c r="R1703" t="s">
        <v>124</v>
      </c>
      <c r="S1703" t="s">
        <v>124</v>
      </c>
      <c r="T1703" t="s">
        <v>124</v>
      </c>
      <c r="U1703" t="s">
        <v>124</v>
      </c>
      <c r="X1703" s="19">
        <f t="shared" si="98"/>
        <v>0.91034482758620694</v>
      </c>
      <c r="Y1703" s="19">
        <f t="shared" si="99"/>
        <v>1.2527634487840777E-2</v>
      </c>
      <c r="Z1703" s="26"/>
    </row>
    <row r="1704" spans="1:26" x14ac:dyDescent="0.35">
      <c r="A1704" t="s">
        <v>122</v>
      </c>
      <c r="B1704" t="s">
        <v>122</v>
      </c>
      <c r="C1704" t="s">
        <v>123</v>
      </c>
      <c r="D1704" t="s">
        <v>101</v>
      </c>
      <c r="E1704" t="s">
        <v>99</v>
      </c>
      <c r="F1704" t="s">
        <v>12</v>
      </c>
      <c r="G1704">
        <v>1</v>
      </c>
      <c r="H1704">
        <v>132</v>
      </c>
      <c r="I1704">
        <v>0.91034482758620605</v>
      </c>
      <c r="J1704" s="25">
        <f t="shared" si="101"/>
        <v>0.91034482758620694</v>
      </c>
      <c r="K1704">
        <v>1340</v>
      </c>
      <c r="L1704">
        <v>17</v>
      </c>
      <c r="M1704">
        <v>1.25276344878408E-2</v>
      </c>
      <c r="N1704" s="25">
        <f t="shared" si="100"/>
        <v>1.2527634487840777E-2</v>
      </c>
      <c r="O1704">
        <v>0.987472365512159</v>
      </c>
      <c r="P1704" s="25">
        <f t="shared" si="102"/>
        <v>0.98747236551215922</v>
      </c>
      <c r="Q1704">
        <v>13</v>
      </c>
      <c r="R1704" t="s">
        <v>124</v>
      </c>
      <c r="S1704" t="s">
        <v>124</v>
      </c>
      <c r="T1704" t="s">
        <v>124</v>
      </c>
      <c r="U1704" t="s">
        <v>124</v>
      </c>
      <c r="X1704" s="19">
        <f t="shared" si="98"/>
        <v>0.91034482758620694</v>
      </c>
      <c r="Y1704" s="19">
        <f t="shared" si="99"/>
        <v>1.2527634487840777E-2</v>
      </c>
      <c r="Z1704" s="26"/>
    </row>
    <row r="1705" spans="1:26" x14ac:dyDescent="0.35">
      <c r="A1705" t="s">
        <v>122</v>
      </c>
      <c r="B1705" t="s">
        <v>122</v>
      </c>
      <c r="C1705" t="s">
        <v>123</v>
      </c>
      <c r="D1705" t="s">
        <v>101</v>
      </c>
      <c r="E1705" t="s">
        <v>99</v>
      </c>
      <c r="F1705" t="s">
        <v>12</v>
      </c>
      <c r="G1705">
        <v>1</v>
      </c>
      <c r="H1705">
        <v>132</v>
      </c>
      <c r="I1705">
        <v>0.91034482758620605</v>
      </c>
      <c r="J1705" s="25">
        <f t="shared" si="101"/>
        <v>0.91034482758620694</v>
      </c>
      <c r="K1705">
        <v>1340</v>
      </c>
      <c r="L1705">
        <v>17</v>
      </c>
      <c r="M1705">
        <v>1.25276344878408E-2</v>
      </c>
      <c r="N1705" s="25">
        <f t="shared" si="100"/>
        <v>1.2527634487840777E-2</v>
      </c>
      <c r="O1705">
        <v>0.987472365512159</v>
      </c>
      <c r="P1705" s="25">
        <f t="shared" si="102"/>
        <v>0.98747236551215922</v>
      </c>
      <c r="Q1705">
        <v>13</v>
      </c>
      <c r="R1705" t="s">
        <v>124</v>
      </c>
      <c r="S1705" t="s">
        <v>124</v>
      </c>
      <c r="T1705" t="s">
        <v>124</v>
      </c>
      <c r="U1705" t="s">
        <v>124</v>
      </c>
      <c r="X1705" s="19">
        <f t="shared" si="98"/>
        <v>0.91034482758620694</v>
      </c>
      <c r="Y1705" s="19">
        <f t="shared" si="99"/>
        <v>1.2527634487840777E-2</v>
      </c>
      <c r="Z1705" s="26"/>
    </row>
    <row r="1706" spans="1:26" x14ac:dyDescent="0.35">
      <c r="A1706" t="s">
        <v>122</v>
      </c>
      <c r="B1706" t="s">
        <v>122</v>
      </c>
      <c r="C1706" t="s">
        <v>123</v>
      </c>
      <c r="D1706" t="s">
        <v>101</v>
      </c>
      <c r="E1706" t="s">
        <v>99</v>
      </c>
      <c r="F1706" t="s">
        <v>12</v>
      </c>
      <c r="G1706">
        <v>1</v>
      </c>
      <c r="H1706">
        <v>132</v>
      </c>
      <c r="I1706">
        <v>0.91034482758620605</v>
      </c>
      <c r="J1706" s="25">
        <f t="shared" si="101"/>
        <v>0.91034482758620694</v>
      </c>
      <c r="K1706">
        <v>1340</v>
      </c>
      <c r="L1706">
        <v>17</v>
      </c>
      <c r="M1706">
        <v>1.25276344878408E-2</v>
      </c>
      <c r="N1706" s="25">
        <f t="shared" si="100"/>
        <v>1.2527634487840777E-2</v>
      </c>
      <c r="O1706">
        <v>0.987472365512159</v>
      </c>
      <c r="P1706" s="25">
        <f t="shared" si="102"/>
        <v>0.98747236551215922</v>
      </c>
      <c r="Q1706">
        <v>13</v>
      </c>
      <c r="R1706" t="s">
        <v>124</v>
      </c>
      <c r="S1706" t="s">
        <v>124</v>
      </c>
      <c r="T1706" t="s">
        <v>124</v>
      </c>
      <c r="U1706" t="s">
        <v>124</v>
      </c>
      <c r="X1706" s="19">
        <f t="shared" si="98"/>
        <v>0.91034482758620694</v>
      </c>
      <c r="Y1706" s="19">
        <f t="shared" si="99"/>
        <v>1.2527634487840777E-2</v>
      </c>
      <c r="Z1706" s="26"/>
    </row>
    <row r="1707" spans="1:26" x14ac:dyDescent="0.35">
      <c r="A1707" t="s">
        <v>122</v>
      </c>
      <c r="B1707" t="s">
        <v>122</v>
      </c>
      <c r="C1707" t="s">
        <v>123</v>
      </c>
      <c r="D1707" t="s">
        <v>101</v>
      </c>
      <c r="E1707" t="s">
        <v>99</v>
      </c>
      <c r="F1707" t="s">
        <v>12</v>
      </c>
      <c r="G1707">
        <v>1</v>
      </c>
      <c r="H1707">
        <v>132</v>
      </c>
      <c r="I1707">
        <v>0.91034482758620605</v>
      </c>
      <c r="J1707" s="25">
        <f t="shared" si="101"/>
        <v>0.91034482758620694</v>
      </c>
      <c r="K1707">
        <v>1340</v>
      </c>
      <c r="L1707">
        <v>17</v>
      </c>
      <c r="M1707">
        <v>1.25276344878408E-2</v>
      </c>
      <c r="N1707" s="25">
        <f t="shared" si="100"/>
        <v>1.2527634487840777E-2</v>
      </c>
      <c r="O1707">
        <v>0.987472365512159</v>
      </c>
      <c r="P1707" s="25">
        <f t="shared" si="102"/>
        <v>0.98747236551215922</v>
      </c>
      <c r="Q1707">
        <v>13</v>
      </c>
      <c r="R1707" t="s">
        <v>124</v>
      </c>
      <c r="S1707" t="s">
        <v>124</v>
      </c>
      <c r="T1707" t="s">
        <v>124</v>
      </c>
      <c r="U1707" t="s">
        <v>124</v>
      </c>
      <c r="X1707" s="19">
        <f t="shared" si="98"/>
        <v>0.91034482758620694</v>
      </c>
      <c r="Y1707" s="19">
        <f t="shared" si="99"/>
        <v>1.2527634487840777E-2</v>
      </c>
      <c r="Z1707" s="26"/>
    </row>
    <row r="1708" spans="1:26" x14ac:dyDescent="0.35">
      <c r="A1708" t="s">
        <v>122</v>
      </c>
      <c r="B1708" t="s">
        <v>122</v>
      </c>
      <c r="C1708" t="s">
        <v>123</v>
      </c>
      <c r="D1708" t="s">
        <v>101</v>
      </c>
      <c r="E1708" t="s">
        <v>99</v>
      </c>
      <c r="F1708" t="s">
        <v>12</v>
      </c>
      <c r="G1708">
        <v>1</v>
      </c>
      <c r="H1708">
        <v>132</v>
      </c>
      <c r="I1708">
        <v>0.91034482758620605</v>
      </c>
      <c r="J1708" s="25">
        <f t="shared" si="101"/>
        <v>0.91034482758620694</v>
      </c>
      <c r="K1708">
        <v>1340</v>
      </c>
      <c r="L1708">
        <v>17</v>
      </c>
      <c r="M1708">
        <v>1.25276344878408E-2</v>
      </c>
      <c r="N1708" s="25">
        <f t="shared" si="100"/>
        <v>1.2527634487840777E-2</v>
      </c>
      <c r="O1708">
        <v>0.987472365512159</v>
      </c>
      <c r="P1708" s="25">
        <f t="shared" si="102"/>
        <v>0.98747236551215922</v>
      </c>
      <c r="Q1708">
        <v>13</v>
      </c>
      <c r="R1708" t="s">
        <v>124</v>
      </c>
      <c r="S1708" t="s">
        <v>124</v>
      </c>
      <c r="T1708" t="s">
        <v>124</v>
      </c>
      <c r="U1708" t="s">
        <v>124</v>
      </c>
      <c r="X1708" s="19">
        <f t="shared" si="98"/>
        <v>0.91034482758620694</v>
      </c>
      <c r="Y1708" s="19">
        <f t="shared" si="99"/>
        <v>1.2527634487840777E-2</v>
      </c>
      <c r="Z1708" s="26"/>
    </row>
    <row r="1709" spans="1:26" x14ac:dyDescent="0.35">
      <c r="A1709" t="s">
        <v>122</v>
      </c>
      <c r="B1709" t="s">
        <v>122</v>
      </c>
      <c r="C1709" t="s">
        <v>123</v>
      </c>
      <c r="D1709" t="s">
        <v>101</v>
      </c>
      <c r="E1709" t="s">
        <v>99</v>
      </c>
      <c r="F1709" t="s">
        <v>12</v>
      </c>
      <c r="G1709">
        <v>1</v>
      </c>
      <c r="H1709">
        <v>132</v>
      </c>
      <c r="I1709">
        <v>0.91034482758620605</v>
      </c>
      <c r="J1709" s="25">
        <f t="shared" si="101"/>
        <v>0.91034482758620694</v>
      </c>
      <c r="K1709">
        <v>1340</v>
      </c>
      <c r="L1709">
        <v>17</v>
      </c>
      <c r="M1709">
        <v>1.25276344878408E-2</v>
      </c>
      <c r="N1709" s="25">
        <f t="shared" si="100"/>
        <v>1.2527634487840777E-2</v>
      </c>
      <c r="O1709">
        <v>0.987472365512159</v>
      </c>
      <c r="P1709" s="25">
        <f t="shared" si="102"/>
        <v>0.98747236551215922</v>
      </c>
      <c r="Q1709">
        <v>13</v>
      </c>
      <c r="R1709" t="s">
        <v>124</v>
      </c>
      <c r="S1709" t="s">
        <v>124</v>
      </c>
      <c r="T1709" t="s">
        <v>124</v>
      </c>
      <c r="U1709" t="s">
        <v>124</v>
      </c>
      <c r="X1709" s="19">
        <f t="shared" si="98"/>
        <v>0.91034482758620694</v>
      </c>
      <c r="Y1709" s="19">
        <f t="shared" si="99"/>
        <v>1.2527634487840777E-2</v>
      </c>
      <c r="Z1709" s="26"/>
    </row>
    <row r="1710" spans="1:26" x14ac:dyDescent="0.35">
      <c r="A1710" t="s">
        <v>122</v>
      </c>
      <c r="B1710" t="s">
        <v>122</v>
      </c>
      <c r="C1710" t="s">
        <v>123</v>
      </c>
      <c r="D1710" t="s">
        <v>101</v>
      </c>
      <c r="E1710" t="s">
        <v>99</v>
      </c>
      <c r="F1710" t="s">
        <v>12</v>
      </c>
      <c r="G1710">
        <v>1</v>
      </c>
      <c r="H1710">
        <v>132</v>
      </c>
      <c r="I1710">
        <v>0.91034482758620605</v>
      </c>
      <c r="J1710" s="25">
        <f t="shared" si="101"/>
        <v>0.91034482758620694</v>
      </c>
      <c r="K1710">
        <v>1340</v>
      </c>
      <c r="L1710">
        <v>17</v>
      </c>
      <c r="M1710">
        <v>1.25276344878408E-2</v>
      </c>
      <c r="N1710" s="25">
        <f t="shared" si="100"/>
        <v>1.2527634487840777E-2</v>
      </c>
      <c r="O1710">
        <v>0.987472365512159</v>
      </c>
      <c r="P1710" s="25">
        <f t="shared" si="102"/>
        <v>0.98747236551215922</v>
      </c>
      <c r="Q1710">
        <v>13</v>
      </c>
      <c r="R1710" t="s">
        <v>124</v>
      </c>
      <c r="S1710" t="s">
        <v>124</v>
      </c>
      <c r="T1710" t="s">
        <v>124</v>
      </c>
      <c r="U1710" t="s">
        <v>124</v>
      </c>
      <c r="X1710" s="19">
        <f t="shared" ref="X1710:X1773" si="103">J1710</f>
        <v>0.91034482758620694</v>
      </c>
      <c r="Y1710" s="19">
        <f t="shared" ref="Y1710:Y1773" si="104">N1710</f>
        <v>1.2527634487840777E-2</v>
      </c>
      <c r="Z1710" s="26"/>
    </row>
    <row r="1711" spans="1:26" x14ac:dyDescent="0.35">
      <c r="A1711" t="s">
        <v>122</v>
      </c>
      <c r="B1711" t="s">
        <v>122</v>
      </c>
      <c r="C1711" t="s">
        <v>123</v>
      </c>
      <c r="D1711" t="s">
        <v>101</v>
      </c>
      <c r="E1711" t="s">
        <v>99</v>
      </c>
      <c r="F1711" t="s">
        <v>12</v>
      </c>
      <c r="G1711">
        <v>1</v>
      </c>
      <c r="H1711">
        <v>132</v>
      </c>
      <c r="I1711">
        <v>0.91034482758620605</v>
      </c>
      <c r="J1711" s="25">
        <f t="shared" si="101"/>
        <v>0.91034482758620694</v>
      </c>
      <c r="K1711">
        <v>1340</v>
      </c>
      <c r="L1711">
        <v>17</v>
      </c>
      <c r="M1711">
        <v>1.25276344878408E-2</v>
      </c>
      <c r="N1711" s="25">
        <f t="shared" si="100"/>
        <v>1.2527634487840777E-2</v>
      </c>
      <c r="O1711">
        <v>0.987472365512159</v>
      </c>
      <c r="P1711" s="25">
        <f t="shared" si="102"/>
        <v>0.98747236551215922</v>
      </c>
      <c r="Q1711">
        <v>13</v>
      </c>
      <c r="R1711" t="s">
        <v>124</v>
      </c>
      <c r="S1711" t="s">
        <v>124</v>
      </c>
      <c r="T1711" t="s">
        <v>124</v>
      </c>
      <c r="U1711" t="s">
        <v>124</v>
      </c>
      <c r="X1711" s="19">
        <f t="shared" si="103"/>
        <v>0.91034482758620694</v>
      </c>
      <c r="Y1711" s="19">
        <f t="shared" si="104"/>
        <v>1.2527634487840777E-2</v>
      </c>
      <c r="Z1711" s="26"/>
    </row>
    <row r="1712" spans="1:26" x14ac:dyDescent="0.35">
      <c r="A1712" t="s">
        <v>122</v>
      </c>
      <c r="B1712" t="s">
        <v>122</v>
      </c>
      <c r="C1712" t="s">
        <v>123</v>
      </c>
      <c r="D1712" t="s">
        <v>101</v>
      </c>
      <c r="E1712" t="s">
        <v>99</v>
      </c>
      <c r="F1712" t="s">
        <v>12</v>
      </c>
      <c r="G1712">
        <v>1</v>
      </c>
      <c r="H1712">
        <v>132</v>
      </c>
      <c r="I1712">
        <v>0.91034482758620605</v>
      </c>
      <c r="J1712" s="25">
        <f t="shared" si="101"/>
        <v>0.91034482758620694</v>
      </c>
      <c r="K1712">
        <v>1340</v>
      </c>
      <c r="L1712">
        <v>17</v>
      </c>
      <c r="M1712">
        <v>1.25276344878408E-2</v>
      </c>
      <c r="N1712" s="25">
        <f t="shared" si="100"/>
        <v>1.2527634487840777E-2</v>
      </c>
      <c r="O1712">
        <v>0.987472365512159</v>
      </c>
      <c r="P1712" s="25">
        <f t="shared" si="102"/>
        <v>0.98747236551215922</v>
      </c>
      <c r="Q1712">
        <v>13</v>
      </c>
      <c r="R1712" t="s">
        <v>124</v>
      </c>
      <c r="S1712" t="s">
        <v>124</v>
      </c>
      <c r="T1712" t="s">
        <v>124</v>
      </c>
      <c r="U1712" t="s">
        <v>124</v>
      </c>
      <c r="X1712" s="19">
        <f t="shared" si="103"/>
        <v>0.91034482758620694</v>
      </c>
      <c r="Y1712" s="19">
        <f t="shared" si="104"/>
        <v>1.2527634487840777E-2</v>
      </c>
      <c r="Z1712" s="26"/>
    </row>
    <row r="1713" spans="1:26" x14ac:dyDescent="0.35">
      <c r="A1713" t="s">
        <v>122</v>
      </c>
      <c r="B1713" t="s">
        <v>122</v>
      </c>
      <c r="C1713" t="s">
        <v>123</v>
      </c>
      <c r="D1713" t="s">
        <v>101</v>
      </c>
      <c r="E1713" t="s">
        <v>99</v>
      </c>
      <c r="F1713" t="s">
        <v>12</v>
      </c>
      <c r="G1713">
        <v>1</v>
      </c>
      <c r="H1713">
        <v>132</v>
      </c>
      <c r="I1713">
        <v>0.91034482758620605</v>
      </c>
      <c r="J1713" s="25">
        <f t="shared" si="101"/>
        <v>0.91034482758620694</v>
      </c>
      <c r="K1713">
        <v>1340</v>
      </c>
      <c r="L1713">
        <v>17</v>
      </c>
      <c r="M1713">
        <v>1.25276344878408E-2</v>
      </c>
      <c r="N1713" s="25">
        <f t="shared" si="100"/>
        <v>1.2527634487840777E-2</v>
      </c>
      <c r="O1713">
        <v>0.987472365512159</v>
      </c>
      <c r="P1713" s="25">
        <f t="shared" si="102"/>
        <v>0.98747236551215922</v>
      </c>
      <c r="Q1713">
        <v>13</v>
      </c>
      <c r="R1713" t="s">
        <v>124</v>
      </c>
      <c r="S1713" t="s">
        <v>124</v>
      </c>
      <c r="T1713" t="s">
        <v>124</v>
      </c>
      <c r="U1713" t="s">
        <v>124</v>
      </c>
      <c r="X1713" s="19">
        <f t="shared" si="103"/>
        <v>0.91034482758620694</v>
      </c>
      <c r="Y1713" s="19">
        <f t="shared" si="104"/>
        <v>1.2527634487840777E-2</v>
      </c>
      <c r="Z1713" s="26"/>
    </row>
    <row r="1714" spans="1:26" x14ac:dyDescent="0.35">
      <c r="A1714" t="s">
        <v>122</v>
      </c>
      <c r="B1714" t="s">
        <v>122</v>
      </c>
      <c r="C1714" t="s">
        <v>123</v>
      </c>
      <c r="D1714" t="s">
        <v>101</v>
      </c>
      <c r="E1714" t="s">
        <v>99</v>
      </c>
      <c r="F1714" t="s">
        <v>12</v>
      </c>
      <c r="G1714">
        <v>1</v>
      </c>
      <c r="H1714">
        <v>132</v>
      </c>
      <c r="I1714">
        <v>0.91034482758620605</v>
      </c>
      <c r="J1714" s="25">
        <f t="shared" si="101"/>
        <v>0.91034482758620694</v>
      </c>
      <c r="K1714">
        <v>1340</v>
      </c>
      <c r="L1714">
        <v>17</v>
      </c>
      <c r="M1714">
        <v>1.25276344878408E-2</v>
      </c>
      <c r="N1714" s="25">
        <f t="shared" si="100"/>
        <v>1.2527634487840777E-2</v>
      </c>
      <c r="O1714">
        <v>0.987472365512159</v>
      </c>
      <c r="P1714" s="25">
        <f t="shared" si="102"/>
        <v>0.98747236551215922</v>
      </c>
      <c r="Q1714">
        <v>13</v>
      </c>
      <c r="R1714" t="s">
        <v>124</v>
      </c>
      <c r="S1714" t="s">
        <v>124</v>
      </c>
      <c r="T1714" t="s">
        <v>124</v>
      </c>
      <c r="U1714" t="s">
        <v>124</v>
      </c>
      <c r="X1714" s="19">
        <f t="shared" si="103"/>
        <v>0.91034482758620694</v>
      </c>
      <c r="Y1714" s="19">
        <f t="shared" si="104"/>
        <v>1.2527634487840777E-2</v>
      </c>
      <c r="Z1714" s="26"/>
    </row>
    <row r="1715" spans="1:26" x14ac:dyDescent="0.35">
      <c r="A1715" t="s">
        <v>122</v>
      </c>
      <c r="B1715" t="s">
        <v>122</v>
      </c>
      <c r="C1715" t="s">
        <v>123</v>
      </c>
      <c r="D1715" t="s">
        <v>101</v>
      </c>
      <c r="E1715" t="s">
        <v>99</v>
      </c>
      <c r="F1715" t="s">
        <v>12</v>
      </c>
      <c r="G1715">
        <v>1</v>
      </c>
      <c r="H1715">
        <v>132</v>
      </c>
      <c r="I1715">
        <v>0.91034482758620605</v>
      </c>
      <c r="J1715" s="25">
        <f t="shared" si="101"/>
        <v>0.91034482758620694</v>
      </c>
      <c r="K1715">
        <v>1340</v>
      </c>
      <c r="L1715">
        <v>17</v>
      </c>
      <c r="M1715">
        <v>1.25276344878408E-2</v>
      </c>
      <c r="N1715" s="25">
        <f t="shared" si="100"/>
        <v>1.2527634487840777E-2</v>
      </c>
      <c r="O1715">
        <v>0.987472365512159</v>
      </c>
      <c r="P1715" s="25">
        <f t="shared" si="102"/>
        <v>0.98747236551215922</v>
      </c>
      <c r="Q1715">
        <v>13</v>
      </c>
      <c r="R1715" t="s">
        <v>124</v>
      </c>
      <c r="S1715" t="s">
        <v>124</v>
      </c>
      <c r="T1715" t="s">
        <v>124</v>
      </c>
      <c r="U1715" t="s">
        <v>124</v>
      </c>
      <c r="X1715" s="19">
        <f t="shared" si="103"/>
        <v>0.91034482758620694</v>
      </c>
      <c r="Y1715" s="19">
        <f t="shared" si="104"/>
        <v>1.2527634487840777E-2</v>
      </c>
      <c r="Z1715" s="26"/>
    </row>
    <row r="1716" spans="1:26" x14ac:dyDescent="0.35">
      <c r="A1716" t="s">
        <v>122</v>
      </c>
      <c r="B1716" t="s">
        <v>122</v>
      </c>
      <c r="C1716" t="s">
        <v>123</v>
      </c>
      <c r="D1716" t="s">
        <v>101</v>
      </c>
      <c r="E1716" t="s">
        <v>99</v>
      </c>
      <c r="F1716" t="s">
        <v>12</v>
      </c>
      <c r="G1716">
        <v>1</v>
      </c>
      <c r="H1716">
        <v>132</v>
      </c>
      <c r="I1716">
        <v>0.91034482758620605</v>
      </c>
      <c r="J1716" s="25">
        <f t="shared" si="101"/>
        <v>0.91034482758620694</v>
      </c>
      <c r="K1716">
        <v>1340</v>
      </c>
      <c r="L1716">
        <v>17</v>
      </c>
      <c r="M1716">
        <v>1.25276344878408E-2</v>
      </c>
      <c r="N1716" s="25">
        <f t="shared" si="100"/>
        <v>1.2527634487840777E-2</v>
      </c>
      <c r="O1716">
        <v>0.987472365512159</v>
      </c>
      <c r="P1716" s="25">
        <f t="shared" si="102"/>
        <v>0.98747236551215922</v>
      </c>
      <c r="Q1716">
        <v>13</v>
      </c>
      <c r="R1716" t="s">
        <v>124</v>
      </c>
      <c r="S1716" t="s">
        <v>124</v>
      </c>
      <c r="T1716" t="s">
        <v>124</v>
      </c>
      <c r="U1716" t="s">
        <v>124</v>
      </c>
      <c r="X1716" s="19">
        <f t="shared" si="103"/>
        <v>0.91034482758620694</v>
      </c>
      <c r="Y1716" s="19">
        <f t="shared" si="104"/>
        <v>1.2527634487840777E-2</v>
      </c>
      <c r="Z1716" s="26"/>
    </row>
    <row r="1717" spans="1:26" x14ac:dyDescent="0.35">
      <c r="A1717" t="s">
        <v>122</v>
      </c>
      <c r="B1717" t="s">
        <v>122</v>
      </c>
      <c r="C1717" t="s">
        <v>123</v>
      </c>
      <c r="D1717" t="s">
        <v>101</v>
      </c>
      <c r="E1717" t="s">
        <v>99</v>
      </c>
      <c r="F1717" t="s">
        <v>12</v>
      </c>
      <c r="G1717">
        <v>1</v>
      </c>
      <c r="H1717">
        <v>132</v>
      </c>
      <c r="I1717">
        <v>0.91034482758620605</v>
      </c>
      <c r="J1717" s="25">
        <f t="shared" si="101"/>
        <v>0.91034482758620694</v>
      </c>
      <c r="K1717">
        <v>1340</v>
      </c>
      <c r="L1717">
        <v>17</v>
      </c>
      <c r="M1717">
        <v>1.25276344878408E-2</v>
      </c>
      <c r="N1717" s="25">
        <f t="shared" si="100"/>
        <v>1.2527634487840777E-2</v>
      </c>
      <c r="O1717">
        <v>0.987472365512159</v>
      </c>
      <c r="P1717" s="25">
        <f t="shared" si="102"/>
        <v>0.98747236551215922</v>
      </c>
      <c r="Q1717">
        <v>13</v>
      </c>
      <c r="R1717" t="s">
        <v>124</v>
      </c>
      <c r="S1717" t="s">
        <v>124</v>
      </c>
      <c r="T1717" t="s">
        <v>124</v>
      </c>
      <c r="U1717" t="s">
        <v>124</v>
      </c>
      <c r="X1717" s="19">
        <f t="shared" si="103"/>
        <v>0.91034482758620694</v>
      </c>
      <c r="Y1717" s="19">
        <f t="shared" si="104"/>
        <v>1.2527634487840777E-2</v>
      </c>
      <c r="Z1717" s="26"/>
    </row>
    <row r="1718" spans="1:26" x14ac:dyDescent="0.35">
      <c r="A1718" t="s">
        <v>122</v>
      </c>
      <c r="B1718" t="s">
        <v>122</v>
      </c>
      <c r="C1718" t="s">
        <v>123</v>
      </c>
      <c r="D1718" t="s">
        <v>101</v>
      </c>
      <c r="E1718" t="s">
        <v>99</v>
      </c>
      <c r="F1718" t="s">
        <v>12</v>
      </c>
      <c r="G1718">
        <v>1</v>
      </c>
      <c r="H1718">
        <v>132</v>
      </c>
      <c r="I1718">
        <v>0.91034482758620605</v>
      </c>
      <c r="J1718" s="25">
        <f t="shared" si="101"/>
        <v>0.91034482758620694</v>
      </c>
      <c r="K1718">
        <v>1340</v>
      </c>
      <c r="L1718">
        <v>17</v>
      </c>
      <c r="M1718">
        <v>1.25276344878408E-2</v>
      </c>
      <c r="N1718" s="25">
        <f t="shared" si="100"/>
        <v>1.2527634487840777E-2</v>
      </c>
      <c r="O1718">
        <v>0.987472365512159</v>
      </c>
      <c r="P1718" s="25">
        <f t="shared" si="102"/>
        <v>0.98747236551215922</v>
      </c>
      <c r="Q1718">
        <v>13</v>
      </c>
      <c r="R1718" t="s">
        <v>124</v>
      </c>
      <c r="S1718" t="s">
        <v>124</v>
      </c>
      <c r="T1718" t="s">
        <v>124</v>
      </c>
      <c r="U1718" t="s">
        <v>124</v>
      </c>
      <c r="X1718" s="19">
        <f t="shared" si="103"/>
        <v>0.91034482758620694</v>
      </c>
      <c r="Y1718" s="19">
        <f t="shared" si="104"/>
        <v>1.2527634487840777E-2</v>
      </c>
      <c r="Z1718" s="26"/>
    </row>
    <row r="1719" spans="1:26" x14ac:dyDescent="0.35">
      <c r="A1719" t="s">
        <v>122</v>
      </c>
      <c r="B1719" t="s">
        <v>122</v>
      </c>
      <c r="C1719" t="s">
        <v>123</v>
      </c>
      <c r="D1719" t="s">
        <v>101</v>
      </c>
      <c r="E1719" t="s">
        <v>99</v>
      </c>
      <c r="F1719" t="s">
        <v>12</v>
      </c>
      <c r="G1719">
        <v>1</v>
      </c>
      <c r="H1719">
        <v>132</v>
      </c>
      <c r="I1719">
        <v>0.91034482758620605</v>
      </c>
      <c r="J1719" s="25">
        <f t="shared" si="101"/>
        <v>0.91034482758620694</v>
      </c>
      <c r="K1719">
        <v>1340</v>
      </c>
      <c r="L1719">
        <v>17</v>
      </c>
      <c r="M1719">
        <v>1.25276344878408E-2</v>
      </c>
      <c r="N1719" s="25">
        <f t="shared" si="100"/>
        <v>1.2527634487840777E-2</v>
      </c>
      <c r="O1719">
        <v>0.987472365512159</v>
      </c>
      <c r="P1719" s="25">
        <f t="shared" si="102"/>
        <v>0.98747236551215922</v>
      </c>
      <c r="Q1719">
        <v>13</v>
      </c>
      <c r="R1719" t="s">
        <v>124</v>
      </c>
      <c r="S1719" t="s">
        <v>124</v>
      </c>
      <c r="T1719" t="s">
        <v>124</v>
      </c>
      <c r="U1719" t="s">
        <v>124</v>
      </c>
      <c r="X1719" s="19">
        <f t="shared" si="103"/>
        <v>0.91034482758620694</v>
      </c>
      <c r="Y1719" s="19">
        <f t="shared" si="104"/>
        <v>1.2527634487840777E-2</v>
      </c>
      <c r="Z1719" s="26"/>
    </row>
    <row r="1720" spans="1:26" x14ac:dyDescent="0.35">
      <c r="A1720" t="s">
        <v>122</v>
      </c>
      <c r="B1720" t="s">
        <v>122</v>
      </c>
      <c r="C1720" t="s">
        <v>123</v>
      </c>
      <c r="D1720" t="s">
        <v>101</v>
      </c>
      <c r="E1720" t="s">
        <v>99</v>
      </c>
      <c r="F1720" t="s">
        <v>12</v>
      </c>
      <c r="G1720">
        <v>1</v>
      </c>
      <c r="H1720">
        <v>132</v>
      </c>
      <c r="I1720">
        <v>0.91034482758620605</v>
      </c>
      <c r="J1720" s="25">
        <f t="shared" si="101"/>
        <v>0.91034482758620694</v>
      </c>
      <c r="K1720">
        <v>1340</v>
      </c>
      <c r="L1720">
        <v>17</v>
      </c>
      <c r="M1720">
        <v>1.25276344878408E-2</v>
      </c>
      <c r="N1720" s="25">
        <f t="shared" si="100"/>
        <v>1.2527634487840777E-2</v>
      </c>
      <c r="O1720">
        <v>0.987472365512159</v>
      </c>
      <c r="P1720" s="25">
        <f t="shared" si="102"/>
        <v>0.98747236551215922</v>
      </c>
      <c r="Q1720">
        <v>13</v>
      </c>
      <c r="R1720" t="s">
        <v>124</v>
      </c>
      <c r="S1720" t="s">
        <v>124</v>
      </c>
      <c r="T1720" t="s">
        <v>124</v>
      </c>
      <c r="U1720" t="s">
        <v>124</v>
      </c>
      <c r="X1720" s="19">
        <f t="shared" si="103"/>
        <v>0.91034482758620694</v>
      </c>
      <c r="Y1720" s="19">
        <f t="shared" si="104"/>
        <v>1.2527634487840777E-2</v>
      </c>
      <c r="Z1720" s="26"/>
    </row>
    <row r="1721" spans="1:26" x14ac:dyDescent="0.35">
      <c r="A1721" t="s">
        <v>122</v>
      </c>
      <c r="B1721" t="s">
        <v>122</v>
      </c>
      <c r="C1721" t="s">
        <v>123</v>
      </c>
      <c r="D1721" t="s">
        <v>101</v>
      </c>
      <c r="E1721" t="s">
        <v>99</v>
      </c>
      <c r="F1721" t="s">
        <v>12</v>
      </c>
      <c r="G1721">
        <v>1</v>
      </c>
      <c r="H1721">
        <v>132</v>
      </c>
      <c r="I1721">
        <v>0.91034482758620605</v>
      </c>
      <c r="J1721" s="25">
        <f t="shared" si="101"/>
        <v>0.91034482758620694</v>
      </c>
      <c r="K1721">
        <v>1340</v>
      </c>
      <c r="L1721">
        <v>17</v>
      </c>
      <c r="M1721">
        <v>1.25276344878408E-2</v>
      </c>
      <c r="N1721" s="25">
        <f t="shared" si="100"/>
        <v>1.2527634487840777E-2</v>
      </c>
      <c r="O1721">
        <v>0.987472365512159</v>
      </c>
      <c r="P1721" s="25">
        <f t="shared" si="102"/>
        <v>0.98747236551215922</v>
      </c>
      <c r="Q1721">
        <v>13</v>
      </c>
      <c r="R1721" t="s">
        <v>124</v>
      </c>
      <c r="S1721" t="s">
        <v>124</v>
      </c>
      <c r="T1721" t="s">
        <v>124</v>
      </c>
      <c r="U1721" t="s">
        <v>124</v>
      </c>
      <c r="X1721" s="19">
        <f t="shared" si="103"/>
        <v>0.91034482758620694</v>
      </c>
      <c r="Y1721" s="19">
        <f t="shared" si="104"/>
        <v>1.2527634487840777E-2</v>
      </c>
      <c r="Z1721" s="26"/>
    </row>
    <row r="1722" spans="1:26" x14ac:dyDescent="0.35">
      <c r="A1722" t="s">
        <v>122</v>
      </c>
      <c r="B1722" t="s">
        <v>122</v>
      </c>
      <c r="C1722" t="s">
        <v>123</v>
      </c>
      <c r="D1722" t="s">
        <v>101</v>
      </c>
      <c r="E1722" t="s">
        <v>99</v>
      </c>
      <c r="F1722" t="s">
        <v>12</v>
      </c>
      <c r="G1722">
        <v>1</v>
      </c>
      <c r="H1722">
        <v>132</v>
      </c>
      <c r="I1722">
        <v>0.91034482758620605</v>
      </c>
      <c r="J1722" s="25">
        <f t="shared" si="101"/>
        <v>0.91034482758620694</v>
      </c>
      <c r="K1722">
        <v>1340</v>
      </c>
      <c r="L1722">
        <v>17</v>
      </c>
      <c r="M1722">
        <v>1.25276344878408E-2</v>
      </c>
      <c r="N1722" s="25">
        <f t="shared" si="100"/>
        <v>1.2527634487840777E-2</v>
      </c>
      <c r="O1722">
        <v>0.987472365512159</v>
      </c>
      <c r="P1722" s="25">
        <f t="shared" si="102"/>
        <v>0.98747236551215922</v>
      </c>
      <c r="Q1722">
        <v>13</v>
      </c>
      <c r="R1722" t="s">
        <v>124</v>
      </c>
      <c r="S1722" t="s">
        <v>124</v>
      </c>
      <c r="T1722" t="s">
        <v>124</v>
      </c>
      <c r="U1722" t="s">
        <v>124</v>
      </c>
      <c r="X1722" s="19">
        <f t="shared" si="103"/>
        <v>0.91034482758620694</v>
      </c>
      <c r="Y1722" s="19">
        <f t="shared" si="104"/>
        <v>1.2527634487840777E-2</v>
      </c>
      <c r="Z1722" s="26"/>
    </row>
    <row r="1723" spans="1:26" x14ac:dyDescent="0.35">
      <c r="A1723" t="s">
        <v>122</v>
      </c>
      <c r="B1723" t="s">
        <v>122</v>
      </c>
      <c r="C1723" t="s">
        <v>123</v>
      </c>
      <c r="D1723" t="s">
        <v>101</v>
      </c>
      <c r="E1723" t="s">
        <v>99</v>
      </c>
      <c r="F1723" t="s">
        <v>12</v>
      </c>
      <c r="G1723">
        <v>1</v>
      </c>
      <c r="H1723">
        <v>132</v>
      </c>
      <c r="I1723">
        <v>0.91034482758620605</v>
      </c>
      <c r="J1723" s="25">
        <f t="shared" si="101"/>
        <v>0.91034482758620694</v>
      </c>
      <c r="K1723">
        <v>1340</v>
      </c>
      <c r="L1723">
        <v>17</v>
      </c>
      <c r="M1723">
        <v>1.25276344878408E-2</v>
      </c>
      <c r="N1723" s="25">
        <f t="shared" si="100"/>
        <v>1.2527634487840777E-2</v>
      </c>
      <c r="O1723">
        <v>0.987472365512159</v>
      </c>
      <c r="P1723" s="25">
        <f t="shared" si="102"/>
        <v>0.98747236551215922</v>
      </c>
      <c r="Q1723">
        <v>13</v>
      </c>
      <c r="R1723" t="s">
        <v>124</v>
      </c>
      <c r="S1723" t="s">
        <v>124</v>
      </c>
      <c r="T1723" t="s">
        <v>124</v>
      </c>
      <c r="U1723" t="s">
        <v>124</v>
      </c>
      <c r="X1723" s="19">
        <f t="shared" si="103"/>
        <v>0.91034482758620694</v>
      </c>
      <c r="Y1723" s="19">
        <f t="shared" si="104"/>
        <v>1.2527634487840777E-2</v>
      </c>
      <c r="Z1723" s="26"/>
    </row>
    <row r="1724" spans="1:26" x14ac:dyDescent="0.35">
      <c r="A1724" t="s">
        <v>122</v>
      </c>
      <c r="B1724" t="s">
        <v>122</v>
      </c>
      <c r="C1724" t="s">
        <v>123</v>
      </c>
      <c r="D1724" t="s">
        <v>101</v>
      </c>
      <c r="E1724" t="s">
        <v>99</v>
      </c>
      <c r="F1724" t="s">
        <v>12</v>
      </c>
      <c r="G1724">
        <v>1</v>
      </c>
      <c r="H1724">
        <v>132</v>
      </c>
      <c r="I1724">
        <v>0.91034482758620605</v>
      </c>
      <c r="J1724" s="25">
        <f t="shared" si="101"/>
        <v>0.91034482758620694</v>
      </c>
      <c r="K1724">
        <v>1340</v>
      </c>
      <c r="L1724">
        <v>17</v>
      </c>
      <c r="M1724">
        <v>1.25276344878408E-2</v>
      </c>
      <c r="N1724" s="25">
        <f t="shared" si="100"/>
        <v>1.2527634487840777E-2</v>
      </c>
      <c r="O1724">
        <v>0.987472365512159</v>
      </c>
      <c r="P1724" s="25">
        <f t="shared" si="102"/>
        <v>0.98747236551215922</v>
      </c>
      <c r="Q1724">
        <v>13</v>
      </c>
      <c r="R1724" t="s">
        <v>124</v>
      </c>
      <c r="S1724" t="s">
        <v>124</v>
      </c>
      <c r="T1724" t="s">
        <v>124</v>
      </c>
      <c r="U1724" t="s">
        <v>124</v>
      </c>
      <c r="X1724" s="19">
        <f t="shared" si="103"/>
        <v>0.91034482758620694</v>
      </c>
      <c r="Y1724" s="19">
        <f t="shared" si="104"/>
        <v>1.2527634487840777E-2</v>
      </c>
      <c r="Z1724" s="26"/>
    </row>
    <row r="1725" spans="1:26" x14ac:dyDescent="0.35">
      <c r="A1725" t="s">
        <v>122</v>
      </c>
      <c r="B1725" t="s">
        <v>122</v>
      </c>
      <c r="C1725" t="s">
        <v>123</v>
      </c>
      <c r="D1725" t="s">
        <v>101</v>
      </c>
      <c r="E1725" t="s">
        <v>99</v>
      </c>
      <c r="F1725" t="s">
        <v>12</v>
      </c>
      <c r="G1725">
        <v>1</v>
      </c>
      <c r="H1725">
        <v>132</v>
      </c>
      <c r="I1725">
        <v>0.91034482758620605</v>
      </c>
      <c r="J1725" s="25">
        <f t="shared" si="101"/>
        <v>0.91034482758620694</v>
      </c>
      <c r="K1725">
        <v>1340</v>
      </c>
      <c r="L1725">
        <v>17</v>
      </c>
      <c r="M1725">
        <v>1.25276344878408E-2</v>
      </c>
      <c r="N1725" s="25">
        <f t="shared" si="100"/>
        <v>1.2527634487840777E-2</v>
      </c>
      <c r="O1725">
        <v>0.987472365512159</v>
      </c>
      <c r="P1725" s="25">
        <f t="shared" si="102"/>
        <v>0.98747236551215922</v>
      </c>
      <c r="Q1725">
        <v>13</v>
      </c>
      <c r="R1725" t="s">
        <v>124</v>
      </c>
      <c r="S1725" t="s">
        <v>124</v>
      </c>
      <c r="T1725" t="s">
        <v>124</v>
      </c>
      <c r="U1725" t="s">
        <v>124</v>
      </c>
      <c r="X1725" s="19">
        <f t="shared" si="103"/>
        <v>0.91034482758620694</v>
      </c>
      <c r="Y1725" s="19">
        <f t="shared" si="104"/>
        <v>1.2527634487840777E-2</v>
      </c>
      <c r="Z1725" s="26"/>
    </row>
    <row r="1726" spans="1:26" x14ac:dyDescent="0.35">
      <c r="A1726" t="s">
        <v>122</v>
      </c>
      <c r="B1726" t="s">
        <v>122</v>
      </c>
      <c r="C1726" t="s">
        <v>123</v>
      </c>
      <c r="D1726" t="s">
        <v>101</v>
      </c>
      <c r="E1726" t="s">
        <v>99</v>
      </c>
      <c r="F1726" t="s">
        <v>12</v>
      </c>
      <c r="G1726">
        <v>1</v>
      </c>
      <c r="H1726">
        <v>132</v>
      </c>
      <c r="I1726">
        <v>0.91034482758620605</v>
      </c>
      <c r="J1726" s="25">
        <f t="shared" si="101"/>
        <v>0.91034482758620694</v>
      </c>
      <c r="K1726">
        <v>1340</v>
      </c>
      <c r="L1726">
        <v>17</v>
      </c>
      <c r="M1726">
        <v>1.25276344878408E-2</v>
      </c>
      <c r="N1726" s="25">
        <f t="shared" si="100"/>
        <v>1.2527634487840777E-2</v>
      </c>
      <c r="O1726">
        <v>0.987472365512159</v>
      </c>
      <c r="P1726" s="25">
        <f t="shared" si="102"/>
        <v>0.98747236551215922</v>
      </c>
      <c r="Q1726">
        <v>13</v>
      </c>
      <c r="R1726" t="s">
        <v>124</v>
      </c>
      <c r="S1726" t="s">
        <v>124</v>
      </c>
      <c r="T1726" t="s">
        <v>124</v>
      </c>
      <c r="U1726" t="s">
        <v>124</v>
      </c>
      <c r="X1726" s="19">
        <f t="shared" si="103"/>
        <v>0.91034482758620694</v>
      </c>
      <c r="Y1726" s="19">
        <f t="shared" si="104"/>
        <v>1.2527634487840777E-2</v>
      </c>
      <c r="Z1726" s="26"/>
    </row>
    <row r="1727" spans="1:26" x14ac:dyDescent="0.35">
      <c r="A1727" t="s">
        <v>122</v>
      </c>
      <c r="B1727" t="s">
        <v>122</v>
      </c>
      <c r="C1727" t="s">
        <v>123</v>
      </c>
      <c r="D1727" t="s">
        <v>101</v>
      </c>
      <c r="E1727" t="s">
        <v>99</v>
      </c>
      <c r="F1727" t="s">
        <v>12</v>
      </c>
      <c r="G1727">
        <v>1</v>
      </c>
      <c r="H1727">
        <v>132</v>
      </c>
      <c r="I1727">
        <v>0.91034482758620605</v>
      </c>
      <c r="J1727" s="25">
        <f t="shared" si="101"/>
        <v>0.91034482758620694</v>
      </c>
      <c r="K1727">
        <v>1340</v>
      </c>
      <c r="L1727">
        <v>17</v>
      </c>
      <c r="M1727">
        <v>1.25276344878408E-2</v>
      </c>
      <c r="N1727" s="25">
        <f t="shared" si="100"/>
        <v>1.2527634487840777E-2</v>
      </c>
      <c r="O1727">
        <v>0.987472365512159</v>
      </c>
      <c r="P1727" s="25">
        <f t="shared" si="102"/>
        <v>0.98747236551215922</v>
      </c>
      <c r="Q1727">
        <v>13</v>
      </c>
      <c r="R1727" t="s">
        <v>124</v>
      </c>
      <c r="S1727" t="s">
        <v>124</v>
      </c>
      <c r="T1727" t="s">
        <v>124</v>
      </c>
      <c r="U1727" t="s">
        <v>124</v>
      </c>
      <c r="X1727" s="19">
        <f t="shared" si="103"/>
        <v>0.91034482758620694</v>
      </c>
      <c r="Y1727" s="19">
        <f t="shared" si="104"/>
        <v>1.2527634487840777E-2</v>
      </c>
      <c r="Z1727" s="26"/>
    </row>
    <row r="1728" spans="1:26" x14ac:dyDescent="0.35">
      <c r="A1728" t="s">
        <v>122</v>
      </c>
      <c r="B1728" t="s">
        <v>122</v>
      </c>
      <c r="C1728" t="s">
        <v>123</v>
      </c>
      <c r="D1728" t="s">
        <v>101</v>
      </c>
      <c r="E1728" t="s">
        <v>99</v>
      </c>
      <c r="F1728" t="s">
        <v>12</v>
      </c>
      <c r="G1728">
        <v>1</v>
      </c>
      <c r="H1728">
        <v>132</v>
      </c>
      <c r="I1728">
        <v>0.91034482758620605</v>
      </c>
      <c r="J1728" s="25">
        <f t="shared" si="101"/>
        <v>0.91034482758620694</v>
      </c>
      <c r="K1728">
        <v>1340</v>
      </c>
      <c r="L1728">
        <v>17</v>
      </c>
      <c r="M1728">
        <v>1.25276344878408E-2</v>
      </c>
      <c r="N1728" s="25">
        <f t="shared" si="100"/>
        <v>1.2527634487840777E-2</v>
      </c>
      <c r="O1728">
        <v>0.987472365512159</v>
      </c>
      <c r="P1728" s="25">
        <f t="shared" si="102"/>
        <v>0.98747236551215922</v>
      </c>
      <c r="Q1728">
        <v>13</v>
      </c>
      <c r="R1728" t="s">
        <v>124</v>
      </c>
      <c r="S1728" t="s">
        <v>124</v>
      </c>
      <c r="T1728" t="s">
        <v>124</v>
      </c>
      <c r="U1728" t="s">
        <v>124</v>
      </c>
      <c r="X1728" s="19">
        <f t="shared" si="103"/>
        <v>0.91034482758620694</v>
      </c>
      <c r="Y1728" s="19">
        <f t="shared" si="104"/>
        <v>1.2527634487840777E-2</v>
      </c>
      <c r="Z1728" s="26"/>
    </row>
    <row r="1729" spans="1:26" x14ac:dyDescent="0.35">
      <c r="A1729" t="s">
        <v>122</v>
      </c>
      <c r="B1729" t="s">
        <v>122</v>
      </c>
      <c r="C1729" t="s">
        <v>123</v>
      </c>
      <c r="D1729" t="s">
        <v>101</v>
      </c>
      <c r="E1729" t="s">
        <v>99</v>
      </c>
      <c r="F1729" t="s">
        <v>12</v>
      </c>
      <c r="G1729">
        <v>1</v>
      </c>
      <c r="H1729">
        <v>132</v>
      </c>
      <c r="I1729">
        <v>0.91034482758620605</v>
      </c>
      <c r="J1729" s="25">
        <f t="shared" si="101"/>
        <v>0.91034482758620694</v>
      </c>
      <c r="K1729">
        <v>1340</v>
      </c>
      <c r="L1729">
        <v>17</v>
      </c>
      <c r="M1729">
        <v>1.25276344878408E-2</v>
      </c>
      <c r="N1729" s="25">
        <f t="shared" si="100"/>
        <v>1.2527634487840777E-2</v>
      </c>
      <c r="O1729">
        <v>0.987472365512159</v>
      </c>
      <c r="P1729" s="25">
        <f t="shared" si="102"/>
        <v>0.98747236551215922</v>
      </c>
      <c r="Q1729">
        <v>13</v>
      </c>
      <c r="R1729" t="s">
        <v>124</v>
      </c>
      <c r="S1729" t="s">
        <v>124</v>
      </c>
      <c r="T1729" t="s">
        <v>124</v>
      </c>
      <c r="U1729" t="s">
        <v>124</v>
      </c>
      <c r="X1729" s="19">
        <f t="shared" si="103"/>
        <v>0.91034482758620694</v>
      </c>
      <c r="Y1729" s="19">
        <f t="shared" si="104"/>
        <v>1.2527634487840777E-2</v>
      </c>
      <c r="Z1729" s="26"/>
    </row>
    <row r="1730" spans="1:26" x14ac:dyDescent="0.35">
      <c r="A1730" t="s">
        <v>122</v>
      </c>
      <c r="B1730" t="s">
        <v>122</v>
      </c>
      <c r="C1730" t="s">
        <v>123</v>
      </c>
      <c r="D1730" t="s">
        <v>101</v>
      </c>
      <c r="E1730" t="s">
        <v>99</v>
      </c>
      <c r="F1730" t="s">
        <v>12</v>
      </c>
      <c r="G1730">
        <v>1</v>
      </c>
      <c r="H1730">
        <v>132</v>
      </c>
      <c r="I1730">
        <v>0.91034482758620605</v>
      </c>
      <c r="J1730" s="25">
        <f t="shared" si="101"/>
        <v>0.91034482758620694</v>
      </c>
      <c r="K1730">
        <v>1340</v>
      </c>
      <c r="L1730">
        <v>17</v>
      </c>
      <c r="M1730">
        <v>1.25276344878408E-2</v>
      </c>
      <c r="N1730" s="25">
        <f t="shared" ref="N1730:N1793" si="105">1-P1730</f>
        <v>1.2527634487840777E-2</v>
      </c>
      <c r="O1730">
        <v>0.987472365512159</v>
      </c>
      <c r="P1730" s="25">
        <f t="shared" si="102"/>
        <v>0.98747236551215922</v>
      </c>
      <c r="Q1730">
        <v>13</v>
      </c>
      <c r="R1730" t="s">
        <v>124</v>
      </c>
      <c r="S1730" t="s">
        <v>124</v>
      </c>
      <c r="T1730" t="s">
        <v>124</v>
      </c>
      <c r="U1730" t="s">
        <v>124</v>
      </c>
      <c r="X1730" s="19">
        <f t="shared" si="103"/>
        <v>0.91034482758620694</v>
      </c>
      <c r="Y1730" s="19">
        <f t="shared" si="104"/>
        <v>1.2527634487840777E-2</v>
      </c>
      <c r="Z1730" s="26"/>
    </row>
    <row r="1731" spans="1:26" x14ac:dyDescent="0.35">
      <c r="A1731" t="s">
        <v>122</v>
      </c>
      <c r="B1731" t="s">
        <v>122</v>
      </c>
      <c r="C1731" t="s">
        <v>123</v>
      </c>
      <c r="D1731" t="s">
        <v>101</v>
      </c>
      <c r="E1731" t="s">
        <v>99</v>
      </c>
      <c r="F1731" t="s">
        <v>12</v>
      </c>
      <c r="G1731">
        <v>1</v>
      </c>
      <c r="H1731">
        <v>132</v>
      </c>
      <c r="I1731">
        <v>0.91034482758620605</v>
      </c>
      <c r="J1731" s="25">
        <f t="shared" ref="J1731:J1794" si="106">H1731/(H1731+Q1731)</f>
        <v>0.91034482758620694</v>
      </c>
      <c r="K1731">
        <v>1340</v>
      </c>
      <c r="L1731">
        <v>17</v>
      </c>
      <c r="M1731">
        <v>1.25276344878408E-2</v>
      </c>
      <c r="N1731" s="25">
        <f t="shared" si="105"/>
        <v>1.2527634487840777E-2</v>
      </c>
      <c r="O1731">
        <v>0.987472365512159</v>
      </c>
      <c r="P1731" s="25">
        <f t="shared" ref="P1731:P1794" si="107">K1731/(K1731+L1731)</f>
        <v>0.98747236551215922</v>
      </c>
      <c r="Q1731">
        <v>13</v>
      </c>
      <c r="R1731" t="s">
        <v>124</v>
      </c>
      <c r="S1731" t="s">
        <v>124</v>
      </c>
      <c r="T1731" t="s">
        <v>124</v>
      </c>
      <c r="U1731" t="s">
        <v>124</v>
      </c>
      <c r="X1731" s="19">
        <f t="shared" si="103"/>
        <v>0.91034482758620694</v>
      </c>
      <c r="Y1731" s="19">
        <f t="shared" si="104"/>
        <v>1.2527634487840777E-2</v>
      </c>
      <c r="Z1731" s="26"/>
    </row>
    <row r="1732" spans="1:26" x14ac:dyDescent="0.35">
      <c r="A1732" t="s">
        <v>122</v>
      </c>
      <c r="B1732" t="s">
        <v>122</v>
      </c>
      <c r="C1732" t="s">
        <v>123</v>
      </c>
      <c r="D1732" t="s">
        <v>101</v>
      </c>
      <c r="E1732" t="s">
        <v>99</v>
      </c>
      <c r="F1732" t="s">
        <v>12</v>
      </c>
      <c r="G1732">
        <v>1</v>
      </c>
      <c r="H1732">
        <v>132</v>
      </c>
      <c r="I1732">
        <v>0.91034482758620605</v>
      </c>
      <c r="J1732" s="25">
        <f t="shared" si="106"/>
        <v>0.91034482758620694</v>
      </c>
      <c r="K1732">
        <v>1340</v>
      </c>
      <c r="L1732">
        <v>17</v>
      </c>
      <c r="M1732">
        <v>1.25276344878408E-2</v>
      </c>
      <c r="N1732" s="25">
        <f t="shared" si="105"/>
        <v>1.2527634487840777E-2</v>
      </c>
      <c r="O1732">
        <v>0.987472365512159</v>
      </c>
      <c r="P1732" s="25">
        <f t="shared" si="107"/>
        <v>0.98747236551215922</v>
      </c>
      <c r="Q1732">
        <v>13</v>
      </c>
      <c r="R1732" t="s">
        <v>124</v>
      </c>
      <c r="S1732" t="s">
        <v>124</v>
      </c>
      <c r="T1732" t="s">
        <v>124</v>
      </c>
      <c r="U1732" t="s">
        <v>124</v>
      </c>
      <c r="X1732" s="19">
        <f t="shared" si="103"/>
        <v>0.91034482758620694</v>
      </c>
      <c r="Y1732" s="19">
        <f t="shared" si="104"/>
        <v>1.2527634487840777E-2</v>
      </c>
      <c r="Z1732" s="26"/>
    </row>
    <row r="1733" spans="1:26" x14ac:dyDescent="0.35">
      <c r="A1733" t="s">
        <v>122</v>
      </c>
      <c r="B1733" t="s">
        <v>122</v>
      </c>
      <c r="C1733" t="s">
        <v>123</v>
      </c>
      <c r="D1733" t="s">
        <v>101</v>
      </c>
      <c r="E1733" t="s">
        <v>99</v>
      </c>
      <c r="F1733" t="s">
        <v>12</v>
      </c>
      <c r="G1733">
        <v>1</v>
      </c>
      <c r="H1733">
        <v>132</v>
      </c>
      <c r="I1733">
        <v>0.91034482758620605</v>
      </c>
      <c r="J1733" s="25">
        <f t="shared" si="106"/>
        <v>0.91034482758620694</v>
      </c>
      <c r="K1733">
        <v>1340</v>
      </c>
      <c r="L1733">
        <v>17</v>
      </c>
      <c r="M1733">
        <v>1.25276344878408E-2</v>
      </c>
      <c r="N1733" s="25">
        <f t="shared" si="105"/>
        <v>1.2527634487840777E-2</v>
      </c>
      <c r="O1733">
        <v>0.987472365512159</v>
      </c>
      <c r="P1733" s="25">
        <f t="shared" si="107"/>
        <v>0.98747236551215922</v>
      </c>
      <c r="Q1733">
        <v>13</v>
      </c>
      <c r="R1733" t="s">
        <v>124</v>
      </c>
      <c r="S1733" t="s">
        <v>124</v>
      </c>
      <c r="T1733" t="s">
        <v>124</v>
      </c>
      <c r="U1733" t="s">
        <v>124</v>
      </c>
      <c r="X1733" s="19">
        <f t="shared" si="103"/>
        <v>0.91034482758620694</v>
      </c>
      <c r="Y1733" s="19">
        <f t="shared" si="104"/>
        <v>1.2527634487840777E-2</v>
      </c>
      <c r="Z1733" s="26"/>
    </row>
    <row r="1734" spans="1:26" x14ac:dyDescent="0.35">
      <c r="A1734" t="s">
        <v>122</v>
      </c>
      <c r="B1734" t="s">
        <v>122</v>
      </c>
      <c r="C1734" t="s">
        <v>123</v>
      </c>
      <c r="D1734" t="s">
        <v>101</v>
      </c>
      <c r="E1734" t="s">
        <v>99</v>
      </c>
      <c r="F1734" t="s">
        <v>12</v>
      </c>
      <c r="G1734">
        <v>1</v>
      </c>
      <c r="H1734">
        <v>132</v>
      </c>
      <c r="I1734">
        <v>0.91034482758620605</v>
      </c>
      <c r="J1734" s="25">
        <f t="shared" si="106"/>
        <v>0.91034482758620694</v>
      </c>
      <c r="K1734">
        <v>1340</v>
      </c>
      <c r="L1734">
        <v>17</v>
      </c>
      <c r="M1734">
        <v>1.25276344878408E-2</v>
      </c>
      <c r="N1734" s="25">
        <f t="shared" si="105"/>
        <v>1.2527634487840777E-2</v>
      </c>
      <c r="O1734">
        <v>0.987472365512159</v>
      </c>
      <c r="P1734" s="25">
        <f t="shared" si="107"/>
        <v>0.98747236551215922</v>
      </c>
      <c r="Q1734">
        <v>13</v>
      </c>
      <c r="R1734" t="s">
        <v>124</v>
      </c>
      <c r="S1734" t="s">
        <v>124</v>
      </c>
      <c r="T1734" t="s">
        <v>124</v>
      </c>
      <c r="U1734" t="s">
        <v>124</v>
      </c>
      <c r="X1734" s="19">
        <f t="shared" si="103"/>
        <v>0.91034482758620694</v>
      </c>
      <c r="Y1734" s="19">
        <f t="shared" si="104"/>
        <v>1.2527634487840777E-2</v>
      </c>
      <c r="Z1734" s="26"/>
    </row>
    <row r="1735" spans="1:26" x14ac:dyDescent="0.35">
      <c r="A1735" t="s">
        <v>122</v>
      </c>
      <c r="B1735" t="s">
        <v>122</v>
      </c>
      <c r="C1735" t="s">
        <v>123</v>
      </c>
      <c r="D1735" t="s">
        <v>101</v>
      </c>
      <c r="E1735" t="s">
        <v>99</v>
      </c>
      <c r="F1735" t="s">
        <v>12</v>
      </c>
      <c r="G1735">
        <v>1</v>
      </c>
      <c r="H1735">
        <v>132</v>
      </c>
      <c r="I1735">
        <v>0.91034482758620605</v>
      </c>
      <c r="J1735" s="25">
        <f t="shared" si="106"/>
        <v>0.91034482758620694</v>
      </c>
      <c r="K1735">
        <v>1340</v>
      </c>
      <c r="L1735">
        <v>17</v>
      </c>
      <c r="M1735">
        <v>1.25276344878408E-2</v>
      </c>
      <c r="N1735" s="25">
        <f t="shared" si="105"/>
        <v>1.2527634487840777E-2</v>
      </c>
      <c r="O1735">
        <v>0.987472365512159</v>
      </c>
      <c r="P1735" s="25">
        <f t="shared" si="107"/>
        <v>0.98747236551215922</v>
      </c>
      <c r="Q1735">
        <v>13</v>
      </c>
      <c r="R1735" t="s">
        <v>124</v>
      </c>
      <c r="S1735" t="s">
        <v>124</v>
      </c>
      <c r="T1735" t="s">
        <v>124</v>
      </c>
      <c r="U1735" t="s">
        <v>124</v>
      </c>
      <c r="X1735" s="19">
        <f t="shared" si="103"/>
        <v>0.91034482758620694</v>
      </c>
      <c r="Y1735" s="19">
        <f t="shared" si="104"/>
        <v>1.2527634487840777E-2</v>
      </c>
      <c r="Z1735" s="26"/>
    </row>
    <row r="1736" spans="1:26" x14ac:dyDescent="0.35">
      <c r="A1736" t="s">
        <v>122</v>
      </c>
      <c r="B1736" t="s">
        <v>122</v>
      </c>
      <c r="C1736" t="s">
        <v>123</v>
      </c>
      <c r="D1736" t="s">
        <v>101</v>
      </c>
      <c r="E1736" t="s">
        <v>99</v>
      </c>
      <c r="F1736" t="s">
        <v>12</v>
      </c>
      <c r="G1736">
        <v>1</v>
      </c>
      <c r="H1736">
        <v>132</v>
      </c>
      <c r="I1736">
        <v>0.91034482758620605</v>
      </c>
      <c r="J1736" s="25">
        <f t="shared" si="106"/>
        <v>0.91034482758620694</v>
      </c>
      <c r="K1736">
        <v>1340</v>
      </c>
      <c r="L1736">
        <v>17</v>
      </c>
      <c r="M1736">
        <v>1.25276344878408E-2</v>
      </c>
      <c r="N1736" s="25">
        <f t="shared" si="105"/>
        <v>1.2527634487840777E-2</v>
      </c>
      <c r="O1736">
        <v>0.987472365512159</v>
      </c>
      <c r="P1736" s="25">
        <f t="shared" si="107"/>
        <v>0.98747236551215922</v>
      </c>
      <c r="Q1736">
        <v>13</v>
      </c>
      <c r="R1736" t="s">
        <v>124</v>
      </c>
      <c r="S1736" t="s">
        <v>124</v>
      </c>
      <c r="T1736" t="s">
        <v>124</v>
      </c>
      <c r="U1736" t="s">
        <v>124</v>
      </c>
      <c r="X1736" s="19">
        <f t="shared" si="103"/>
        <v>0.91034482758620694</v>
      </c>
      <c r="Y1736" s="19">
        <f t="shared" si="104"/>
        <v>1.2527634487840777E-2</v>
      </c>
      <c r="Z1736" s="26"/>
    </row>
    <row r="1737" spans="1:26" x14ac:dyDescent="0.35">
      <c r="A1737" t="s">
        <v>122</v>
      </c>
      <c r="B1737" t="s">
        <v>122</v>
      </c>
      <c r="C1737" t="s">
        <v>123</v>
      </c>
      <c r="D1737" t="s">
        <v>101</v>
      </c>
      <c r="E1737" t="s">
        <v>99</v>
      </c>
      <c r="F1737" t="s">
        <v>12</v>
      </c>
      <c r="G1737">
        <v>1</v>
      </c>
      <c r="H1737">
        <v>132</v>
      </c>
      <c r="I1737">
        <v>0.91034482758620605</v>
      </c>
      <c r="J1737" s="25">
        <f t="shared" si="106"/>
        <v>0.91034482758620694</v>
      </c>
      <c r="K1737">
        <v>1340</v>
      </c>
      <c r="L1737">
        <v>17</v>
      </c>
      <c r="M1737">
        <v>1.25276344878408E-2</v>
      </c>
      <c r="N1737" s="25">
        <f t="shared" si="105"/>
        <v>1.2527634487840777E-2</v>
      </c>
      <c r="O1737">
        <v>0.987472365512159</v>
      </c>
      <c r="P1737" s="25">
        <f t="shared" si="107"/>
        <v>0.98747236551215922</v>
      </c>
      <c r="Q1737">
        <v>13</v>
      </c>
      <c r="R1737" t="s">
        <v>124</v>
      </c>
      <c r="S1737" t="s">
        <v>124</v>
      </c>
      <c r="T1737" t="s">
        <v>124</v>
      </c>
      <c r="U1737" t="s">
        <v>124</v>
      </c>
      <c r="X1737" s="19">
        <f t="shared" si="103"/>
        <v>0.91034482758620694</v>
      </c>
      <c r="Y1737" s="19">
        <f t="shared" si="104"/>
        <v>1.2527634487840777E-2</v>
      </c>
      <c r="Z1737" s="26"/>
    </row>
    <row r="1738" spans="1:26" x14ac:dyDescent="0.35">
      <c r="A1738" t="s">
        <v>122</v>
      </c>
      <c r="B1738" t="s">
        <v>122</v>
      </c>
      <c r="C1738" t="s">
        <v>123</v>
      </c>
      <c r="D1738" t="s">
        <v>101</v>
      </c>
      <c r="E1738" t="s">
        <v>99</v>
      </c>
      <c r="F1738" t="s">
        <v>12</v>
      </c>
      <c r="G1738">
        <v>1</v>
      </c>
      <c r="H1738">
        <v>132</v>
      </c>
      <c r="I1738">
        <v>0.91034482758620605</v>
      </c>
      <c r="J1738" s="25">
        <f t="shared" si="106"/>
        <v>0.91034482758620694</v>
      </c>
      <c r="K1738">
        <v>1340</v>
      </c>
      <c r="L1738">
        <v>17</v>
      </c>
      <c r="M1738">
        <v>1.25276344878408E-2</v>
      </c>
      <c r="N1738" s="25">
        <f t="shared" si="105"/>
        <v>1.2527634487840777E-2</v>
      </c>
      <c r="O1738">
        <v>0.987472365512159</v>
      </c>
      <c r="P1738" s="25">
        <f t="shared" si="107"/>
        <v>0.98747236551215922</v>
      </c>
      <c r="Q1738">
        <v>13</v>
      </c>
      <c r="R1738" t="s">
        <v>124</v>
      </c>
      <c r="S1738" t="s">
        <v>124</v>
      </c>
      <c r="T1738" t="s">
        <v>124</v>
      </c>
      <c r="U1738" t="s">
        <v>124</v>
      </c>
      <c r="X1738" s="19">
        <f t="shared" si="103"/>
        <v>0.91034482758620694</v>
      </c>
      <c r="Y1738" s="19">
        <f t="shared" si="104"/>
        <v>1.2527634487840777E-2</v>
      </c>
      <c r="Z1738" s="26"/>
    </row>
    <row r="1739" spans="1:26" x14ac:dyDescent="0.35">
      <c r="A1739" t="s">
        <v>122</v>
      </c>
      <c r="B1739" t="s">
        <v>122</v>
      </c>
      <c r="C1739" t="s">
        <v>123</v>
      </c>
      <c r="D1739" t="s">
        <v>101</v>
      </c>
      <c r="E1739" t="s">
        <v>99</v>
      </c>
      <c r="F1739" t="s">
        <v>12</v>
      </c>
      <c r="G1739">
        <v>1</v>
      </c>
      <c r="H1739">
        <v>132</v>
      </c>
      <c r="I1739">
        <v>0.91034482758620605</v>
      </c>
      <c r="J1739" s="25">
        <f t="shared" si="106"/>
        <v>0.91034482758620694</v>
      </c>
      <c r="K1739">
        <v>1340</v>
      </c>
      <c r="L1739">
        <v>17</v>
      </c>
      <c r="M1739">
        <v>1.25276344878408E-2</v>
      </c>
      <c r="N1739" s="25">
        <f t="shared" si="105"/>
        <v>1.2527634487840777E-2</v>
      </c>
      <c r="O1739">
        <v>0.987472365512159</v>
      </c>
      <c r="P1739" s="25">
        <f t="shared" si="107"/>
        <v>0.98747236551215922</v>
      </c>
      <c r="Q1739">
        <v>13</v>
      </c>
      <c r="R1739" t="s">
        <v>124</v>
      </c>
      <c r="S1739" t="s">
        <v>124</v>
      </c>
      <c r="T1739" t="s">
        <v>124</v>
      </c>
      <c r="U1739" t="s">
        <v>124</v>
      </c>
      <c r="X1739" s="19">
        <f t="shared" si="103"/>
        <v>0.91034482758620694</v>
      </c>
      <c r="Y1739" s="19">
        <f t="shared" si="104"/>
        <v>1.2527634487840777E-2</v>
      </c>
      <c r="Z1739" s="26"/>
    </row>
    <row r="1740" spans="1:26" x14ac:dyDescent="0.35">
      <c r="A1740" t="s">
        <v>122</v>
      </c>
      <c r="B1740" t="s">
        <v>122</v>
      </c>
      <c r="C1740" t="s">
        <v>123</v>
      </c>
      <c r="D1740" t="s">
        <v>101</v>
      </c>
      <c r="E1740" t="s">
        <v>99</v>
      </c>
      <c r="F1740" t="s">
        <v>12</v>
      </c>
      <c r="G1740">
        <v>1</v>
      </c>
      <c r="H1740">
        <v>132</v>
      </c>
      <c r="I1740">
        <v>0.91034482758620605</v>
      </c>
      <c r="J1740" s="25">
        <f t="shared" si="106"/>
        <v>0.91034482758620694</v>
      </c>
      <c r="K1740">
        <v>1340</v>
      </c>
      <c r="L1740">
        <v>17</v>
      </c>
      <c r="M1740">
        <v>1.25276344878408E-2</v>
      </c>
      <c r="N1740" s="25">
        <f t="shared" si="105"/>
        <v>1.2527634487840777E-2</v>
      </c>
      <c r="O1740">
        <v>0.987472365512159</v>
      </c>
      <c r="P1740" s="25">
        <f t="shared" si="107"/>
        <v>0.98747236551215922</v>
      </c>
      <c r="Q1740">
        <v>13</v>
      </c>
      <c r="R1740" t="s">
        <v>124</v>
      </c>
      <c r="S1740" t="s">
        <v>124</v>
      </c>
      <c r="T1740" t="s">
        <v>124</v>
      </c>
      <c r="U1740" t="s">
        <v>124</v>
      </c>
      <c r="X1740" s="19">
        <f t="shared" si="103"/>
        <v>0.91034482758620694</v>
      </c>
      <c r="Y1740" s="19">
        <f t="shared" si="104"/>
        <v>1.2527634487840777E-2</v>
      </c>
      <c r="Z1740" s="26"/>
    </row>
    <row r="1741" spans="1:26" x14ac:dyDescent="0.35">
      <c r="A1741" t="s">
        <v>122</v>
      </c>
      <c r="B1741" t="s">
        <v>122</v>
      </c>
      <c r="C1741" t="s">
        <v>123</v>
      </c>
      <c r="D1741" t="s">
        <v>101</v>
      </c>
      <c r="E1741" t="s">
        <v>99</v>
      </c>
      <c r="F1741" t="s">
        <v>12</v>
      </c>
      <c r="G1741">
        <v>1</v>
      </c>
      <c r="H1741">
        <v>132</v>
      </c>
      <c r="I1741">
        <v>0.91034482758620605</v>
      </c>
      <c r="J1741" s="25">
        <f t="shared" si="106"/>
        <v>0.91034482758620694</v>
      </c>
      <c r="K1741">
        <v>1340</v>
      </c>
      <c r="L1741">
        <v>17</v>
      </c>
      <c r="M1741">
        <v>1.25276344878408E-2</v>
      </c>
      <c r="N1741" s="25">
        <f t="shared" si="105"/>
        <v>1.2527634487840777E-2</v>
      </c>
      <c r="O1741">
        <v>0.987472365512159</v>
      </c>
      <c r="P1741" s="25">
        <f t="shared" si="107"/>
        <v>0.98747236551215922</v>
      </c>
      <c r="Q1741">
        <v>13</v>
      </c>
      <c r="R1741" t="s">
        <v>124</v>
      </c>
      <c r="S1741" t="s">
        <v>124</v>
      </c>
      <c r="T1741" t="s">
        <v>124</v>
      </c>
      <c r="U1741" t="s">
        <v>124</v>
      </c>
      <c r="X1741" s="19">
        <f t="shared" si="103"/>
        <v>0.91034482758620694</v>
      </c>
      <c r="Y1741" s="19">
        <f t="shared" si="104"/>
        <v>1.2527634487840777E-2</v>
      </c>
      <c r="Z1741" s="26"/>
    </row>
    <row r="1742" spans="1:26" x14ac:dyDescent="0.35">
      <c r="A1742" t="s">
        <v>122</v>
      </c>
      <c r="B1742" t="s">
        <v>122</v>
      </c>
      <c r="C1742" t="s">
        <v>123</v>
      </c>
      <c r="D1742" t="s">
        <v>101</v>
      </c>
      <c r="E1742" t="s">
        <v>99</v>
      </c>
      <c r="F1742" t="s">
        <v>12</v>
      </c>
      <c r="G1742">
        <v>1</v>
      </c>
      <c r="H1742">
        <v>132</v>
      </c>
      <c r="I1742">
        <v>0.91034482758620605</v>
      </c>
      <c r="J1742" s="25">
        <f t="shared" si="106"/>
        <v>0.91034482758620694</v>
      </c>
      <c r="K1742">
        <v>1340</v>
      </c>
      <c r="L1742">
        <v>17</v>
      </c>
      <c r="M1742">
        <v>1.25276344878408E-2</v>
      </c>
      <c r="N1742" s="25">
        <f t="shared" si="105"/>
        <v>1.2527634487840777E-2</v>
      </c>
      <c r="O1742">
        <v>0.987472365512159</v>
      </c>
      <c r="P1742" s="25">
        <f t="shared" si="107"/>
        <v>0.98747236551215922</v>
      </c>
      <c r="Q1742">
        <v>13</v>
      </c>
      <c r="R1742" t="s">
        <v>124</v>
      </c>
      <c r="S1742" t="s">
        <v>124</v>
      </c>
      <c r="T1742" t="s">
        <v>124</v>
      </c>
      <c r="U1742" t="s">
        <v>124</v>
      </c>
      <c r="X1742" s="19">
        <f t="shared" si="103"/>
        <v>0.91034482758620694</v>
      </c>
      <c r="Y1742" s="19">
        <f t="shared" si="104"/>
        <v>1.2527634487840777E-2</v>
      </c>
      <c r="Z1742" s="26"/>
    </row>
    <row r="1743" spans="1:26" x14ac:dyDescent="0.35">
      <c r="A1743" t="s">
        <v>122</v>
      </c>
      <c r="B1743" t="s">
        <v>122</v>
      </c>
      <c r="C1743" t="s">
        <v>123</v>
      </c>
      <c r="D1743" t="s">
        <v>101</v>
      </c>
      <c r="E1743" t="s">
        <v>99</v>
      </c>
      <c r="F1743" t="s">
        <v>12</v>
      </c>
      <c r="G1743">
        <v>1</v>
      </c>
      <c r="H1743">
        <v>132</v>
      </c>
      <c r="I1743">
        <v>0.91034482758620605</v>
      </c>
      <c r="J1743" s="25">
        <f t="shared" si="106"/>
        <v>0.91034482758620694</v>
      </c>
      <c r="K1743">
        <v>1340</v>
      </c>
      <c r="L1743">
        <v>17</v>
      </c>
      <c r="M1743">
        <v>1.25276344878408E-2</v>
      </c>
      <c r="N1743" s="25">
        <f t="shared" si="105"/>
        <v>1.2527634487840777E-2</v>
      </c>
      <c r="O1743">
        <v>0.987472365512159</v>
      </c>
      <c r="P1743" s="25">
        <f t="shared" si="107"/>
        <v>0.98747236551215922</v>
      </c>
      <c r="Q1743">
        <v>13</v>
      </c>
      <c r="R1743" t="s">
        <v>124</v>
      </c>
      <c r="S1743" t="s">
        <v>124</v>
      </c>
      <c r="T1743" t="s">
        <v>124</v>
      </c>
      <c r="U1743" t="s">
        <v>124</v>
      </c>
      <c r="X1743" s="19">
        <f t="shared" si="103"/>
        <v>0.91034482758620694</v>
      </c>
      <c r="Y1743" s="19">
        <f t="shared" si="104"/>
        <v>1.2527634487840777E-2</v>
      </c>
      <c r="Z1743" s="26"/>
    </row>
    <row r="1744" spans="1:26" x14ac:dyDescent="0.35">
      <c r="A1744" t="s">
        <v>122</v>
      </c>
      <c r="B1744" t="s">
        <v>122</v>
      </c>
      <c r="C1744" t="s">
        <v>123</v>
      </c>
      <c r="D1744" t="s">
        <v>101</v>
      </c>
      <c r="E1744" t="s">
        <v>99</v>
      </c>
      <c r="F1744" t="s">
        <v>12</v>
      </c>
      <c r="G1744">
        <v>1</v>
      </c>
      <c r="H1744">
        <v>132</v>
      </c>
      <c r="I1744">
        <v>0.91034482758620605</v>
      </c>
      <c r="J1744" s="25">
        <f t="shared" si="106"/>
        <v>0.91034482758620694</v>
      </c>
      <c r="K1744">
        <v>1340</v>
      </c>
      <c r="L1744">
        <v>17</v>
      </c>
      <c r="M1744">
        <v>1.25276344878408E-2</v>
      </c>
      <c r="N1744" s="25">
        <f t="shared" si="105"/>
        <v>1.2527634487840777E-2</v>
      </c>
      <c r="O1744">
        <v>0.987472365512159</v>
      </c>
      <c r="P1744" s="25">
        <f t="shared" si="107"/>
        <v>0.98747236551215922</v>
      </c>
      <c r="Q1744">
        <v>13</v>
      </c>
      <c r="R1744" t="s">
        <v>124</v>
      </c>
      <c r="S1744" t="s">
        <v>124</v>
      </c>
      <c r="T1744" t="s">
        <v>124</v>
      </c>
      <c r="U1744" t="s">
        <v>124</v>
      </c>
      <c r="X1744" s="19">
        <f t="shared" si="103"/>
        <v>0.91034482758620694</v>
      </c>
      <c r="Y1744" s="19">
        <f t="shared" si="104"/>
        <v>1.2527634487840777E-2</v>
      </c>
      <c r="Z1744" s="26"/>
    </row>
    <row r="1745" spans="1:26" x14ac:dyDescent="0.35">
      <c r="A1745" t="s">
        <v>122</v>
      </c>
      <c r="B1745" t="s">
        <v>122</v>
      </c>
      <c r="C1745" t="s">
        <v>123</v>
      </c>
      <c r="D1745" t="s">
        <v>101</v>
      </c>
      <c r="E1745" t="s">
        <v>99</v>
      </c>
      <c r="F1745" t="s">
        <v>12</v>
      </c>
      <c r="G1745">
        <v>1</v>
      </c>
      <c r="H1745">
        <v>132</v>
      </c>
      <c r="I1745">
        <v>0.91034482758620605</v>
      </c>
      <c r="J1745" s="25">
        <f t="shared" si="106"/>
        <v>0.91034482758620694</v>
      </c>
      <c r="K1745">
        <v>1340</v>
      </c>
      <c r="L1745">
        <v>17</v>
      </c>
      <c r="M1745">
        <v>1.25276344878408E-2</v>
      </c>
      <c r="N1745" s="25">
        <f t="shared" si="105"/>
        <v>1.2527634487840777E-2</v>
      </c>
      <c r="O1745">
        <v>0.987472365512159</v>
      </c>
      <c r="P1745" s="25">
        <f t="shared" si="107"/>
        <v>0.98747236551215922</v>
      </c>
      <c r="Q1745">
        <v>13</v>
      </c>
      <c r="R1745" t="s">
        <v>124</v>
      </c>
      <c r="S1745" t="s">
        <v>124</v>
      </c>
      <c r="T1745" t="s">
        <v>124</v>
      </c>
      <c r="U1745" t="s">
        <v>124</v>
      </c>
      <c r="X1745" s="19">
        <f t="shared" si="103"/>
        <v>0.91034482758620694</v>
      </c>
      <c r="Y1745" s="19">
        <f t="shared" si="104"/>
        <v>1.2527634487840777E-2</v>
      </c>
      <c r="Z1745" s="26"/>
    </row>
    <row r="1746" spans="1:26" x14ac:dyDescent="0.35">
      <c r="A1746" t="s">
        <v>122</v>
      </c>
      <c r="B1746" t="s">
        <v>122</v>
      </c>
      <c r="C1746" t="s">
        <v>123</v>
      </c>
      <c r="D1746" t="s">
        <v>101</v>
      </c>
      <c r="E1746" t="s">
        <v>99</v>
      </c>
      <c r="F1746" t="s">
        <v>12</v>
      </c>
      <c r="G1746">
        <v>1</v>
      </c>
      <c r="H1746">
        <v>132</v>
      </c>
      <c r="I1746">
        <v>0.91034482758620605</v>
      </c>
      <c r="J1746" s="25">
        <f t="shared" si="106"/>
        <v>0.91034482758620694</v>
      </c>
      <c r="K1746">
        <v>1340</v>
      </c>
      <c r="L1746">
        <v>17</v>
      </c>
      <c r="M1746">
        <v>1.25276344878408E-2</v>
      </c>
      <c r="N1746" s="25">
        <f t="shared" si="105"/>
        <v>1.2527634487840777E-2</v>
      </c>
      <c r="O1746">
        <v>0.987472365512159</v>
      </c>
      <c r="P1746" s="25">
        <f t="shared" si="107"/>
        <v>0.98747236551215922</v>
      </c>
      <c r="Q1746">
        <v>13</v>
      </c>
      <c r="R1746" t="s">
        <v>124</v>
      </c>
      <c r="S1746" t="s">
        <v>124</v>
      </c>
      <c r="T1746" t="s">
        <v>124</v>
      </c>
      <c r="U1746" t="s">
        <v>124</v>
      </c>
      <c r="X1746" s="19">
        <f t="shared" si="103"/>
        <v>0.91034482758620694</v>
      </c>
      <c r="Y1746" s="19">
        <f t="shared" si="104"/>
        <v>1.2527634487840777E-2</v>
      </c>
      <c r="Z1746" s="26"/>
    </row>
    <row r="1747" spans="1:26" x14ac:dyDescent="0.35">
      <c r="A1747" t="s">
        <v>122</v>
      </c>
      <c r="B1747" t="s">
        <v>122</v>
      </c>
      <c r="C1747" t="s">
        <v>123</v>
      </c>
      <c r="D1747" t="s">
        <v>101</v>
      </c>
      <c r="E1747" t="s">
        <v>99</v>
      </c>
      <c r="F1747" t="s">
        <v>12</v>
      </c>
      <c r="G1747">
        <v>1</v>
      </c>
      <c r="H1747">
        <v>132</v>
      </c>
      <c r="I1747">
        <v>0.91034482758620605</v>
      </c>
      <c r="J1747" s="25">
        <f t="shared" si="106"/>
        <v>0.91034482758620694</v>
      </c>
      <c r="K1747">
        <v>1340</v>
      </c>
      <c r="L1747">
        <v>17</v>
      </c>
      <c r="M1747">
        <v>1.25276344878408E-2</v>
      </c>
      <c r="N1747" s="25">
        <f t="shared" si="105"/>
        <v>1.2527634487840777E-2</v>
      </c>
      <c r="O1747">
        <v>0.987472365512159</v>
      </c>
      <c r="P1747" s="25">
        <f t="shared" si="107"/>
        <v>0.98747236551215922</v>
      </c>
      <c r="Q1747">
        <v>13</v>
      </c>
      <c r="R1747" t="s">
        <v>124</v>
      </c>
      <c r="S1747" t="s">
        <v>124</v>
      </c>
      <c r="T1747" t="s">
        <v>124</v>
      </c>
      <c r="U1747" t="s">
        <v>124</v>
      </c>
      <c r="X1747" s="19">
        <f t="shared" si="103"/>
        <v>0.91034482758620694</v>
      </c>
      <c r="Y1747" s="19">
        <f t="shared" si="104"/>
        <v>1.2527634487840777E-2</v>
      </c>
      <c r="Z1747" s="26"/>
    </row>
    <row r="1748" spans="1:26" x14ac:dyDescent="0.35">
      <c r="A1748" t="s">
        <v>122</v>
      </c>
      <c r="B1748" t="s">
        <v>122</v>
      </c>
      <c r="C1748" t="s">
        <v>123</v>
      </c>
      <c r="D1748" t="s">
        <v>101</v>
      </c>
      <c r="E1748" t="s">
        <v>99</v>
      </c>
      <c r="F1748" t="s">
        <v>12</v>
      </c>
      <c r="G1748">
        <v>1</v>
      </c>
      <c r="H1748">
        <v>132</v>
      </c>
      <c r="I1748">
        <v>0.91034482758620605</v>
      </c>
      <c r="J1748" s="25">
        <f t="shared" si="106"/>
        <v>0.91034482758620694</v>
      </c>
      <c r="K1748">
        <v>1340</v>
      </c>
      <c r="L1748">
        <v>17</v>
      </c>
      <c r="M1748">
        <v>1.25276344878408E-2</v>
      </c>
      <c r="N1748" s="25">
        <f t="shared" si="105"/>
        <v>1.2527634487840777E-2</v>
      </c>
      <c r="O1748">
        <v>0.987472365512159</v>
      </c>
      <c r="P1748" s="25">
        <f t="shared" si="107"/>
        <v>0.98747236551215922</v>
      </c>
      <c r="Q1748">
        <v>13</v>
      </c>
      <c r="R1748" t="s">
        <v>124</v>
      </c>
      <c r="S1748" t="s">
        <v>124</v>
      </c>
      <c r="T1748" t="s">
        <v>124</v>
      </c>
      <c r="U1748" t="s">
        <v>124</v>
      </c>
      <c r="X1748" s="19">
        <f t="shared" si="103"/>
        <v>0.91034482758620694</v>
      </c>
      <c r="Y1748" s="19">
        <f t="shared" si="104"/>
        <v>1.2527634487840777E-2</v>
      </c>
      <c r="Z1748" s="26"/>
    </row>
    <row r="1749" spans="1:26" x14ac:dyDescent="0.35">
      <c r="A1749" t="s">
        <v>122</v>
      </c>
      <c r="B1749" t="s">
        <v>122</v>
      </c>
      <c r="C1749" t="s">
        <v>123</v>
      </c>
      <c r="D1749" t="s">
        <v>101</v>
      </c>
      <c r="E1749" t="s">
        <v>99</v>
      </c>
      <c r="F1749" t="s">
        <v>12</v>
      </c>
      <c r="G1749">
        <v>1</v>
      </c>
      <c r="H1749">
        <v>132</v>
      </c>
      <c r="I1749">
        <v>0.91034482758620605</v>
      </c>
      <c r="J1749" s="25">
        <f t="shared" si="106"/>
        <v>0.91034482758620694</v>
      </c>
      <c r="K1749">
        <v>1340</v>
      </c>
      <c r="L1749">
        <v>17</v>
      </c>
      <c r="M1749">
        <v>1.25276344878408E-2</v>
      </c>
      <c r="N1749" s="25">
        <f t="shared" si="105"/>
        <v>1.2527634487840777E-2</v>
      </c>
      <c r="O1749">
        <v>0.987472365512159</v>
      </c>
      <c r="P1749" s="25">
        <f t="shared" si="107"/>
        <v>0.98747236551215922</v>
      </c>
      <c r="Q1749">
        <v>13</v>
      </c>
      <c r="R1749" t="s">
        <v>124</v>
      </c>
      <c r="S1749" t="s">
        <v>124</v>
      </c>
      <c r="T1749" t="s">
        <v>124</v>
      </c>
      <c r="U1749" t="s">
        <v>124</v>
      </c>
      <c r="X1749" s="19">
        <f t="shared" si="103"/>
        <v>0.91034482758620694</v>
      </c>
      <c r="Y1749" s="19">
        <f t="shared" si="104"/>
        <v>1.2527634487840777E-2</v>
      </c>
      <c r="Z1749" s="26"/>
    </row>
    <row r="1750" spans="1:26" x14ac:dyDescent="0.35">
      <c r="A1750" t="s">
        <v>122</v>
      </c>
      <c r="B1750" t="s">
        <v>122</v>
      </c>
      <c r="C1750" t="s">
        <v>123</v>
      </c>
      <c r="D1750" t="s">
        <v>101</v>
      </c>
      <c r="E1750" t="s">
        <v>99</v>
      </c>
      <c r="F1750" t="s">
        <v>12</v>
      </c>
      <c r="G1750">
        <v>1</v>
      </c>
      <c r="H1750">
        <v>132</v>
      </c>
      <c r="I1750">
        <v>0.91034482758620605</v>
      </c>
      <c r="J1750" s="25">
        <f t="shared" si="106"/>
        <v>0.91034482758620694</v>
      </c>
      <c r="K1750">
        <v>1340</v>
      </c>
      <c r="L1750">
        <v>17</v>
      </c>
      <c r="M1750">
        <v>1.25276344878408E-2</v>
      </c>
      <c r="N1750" s="25">
        <f t="shared" si="105"/>
        <v>1.2527634487840777E-2</v>
      </c>
      <c r="O1750">
        <v>0.987472365512159</v>
      </c>
      <c r="P1750" s="25">
        <f t="shared" si="107"/>
        <v>0.98747236551215922</v>
      </c>
      <c r="Q1750">
        <v>13</v>
      </c>
      <c r="R1750" t="s">
        <v>124</v>
      </c>
      <c r="S1750" t="s">
        <v>124</v>
      </c>
      <c r="T1750" t="s">
        <v>124</v>
      </c>
      <c r="U1750" t="s">
        <v>124</v>
      </c>
      <c r="X1750" s="19">
        <f t="shared" si="103"/>
        <v>0.91034482758620694</v>
      </c>
      <c r="Y1750" s="19">
        <f t="shared" si="104"/>
        <v>1.2527634487840777E-2</v>
      </c>
      <c r="Z1750" s="26"/>
    </row>
    <row r="1751" spans="1:26" x14ac:dyDescent="0.35">
      <c r="A1751" t="s">
        <v>122</v>
      </c>
      <c r="B1751" t="s">
        <v>122</v>
      </c>
      <c r="C1751" t="s">
        <v>123</v>
      </c>
      <c r="D1751" t="s">
        <v>101</v>
      </c>
      <c r="E1751" t="s">
        <v>99</v>
      </c>
      <c r="F1751" t="s">
        <v>12</v>
      </c>
      <c r="G1751">
        <v>1</v>
      </c>
      <c r="H1751">
        <v>132</v>
      </c>
      <c r="I1751">
        <v>0.91034482758620605</v>
      </c>
      <c r="J1751" s="25">
        <f t="shared" si="106"/>
        <v>0.91034482758620694</v>
      </c>
      <c r="K1751">
        <v>1340</v>
      </c>
      <c r="L1751">
        <v>17</v>
      </c>
      <c r="M1751">
        <v>1.25276344878408E-2</v>
      </c>
      <c r="N1751" s="25">
        <f t="shared" si="105"/>
        <v>1.2527634487840777E-2</v>
      </c>
      <c r="O1751">
        <v>0.987472365512159</v>
      </c>
      <c r="P1751" s="25">
        <f t="shared" si="107"/>
        <v>0.98747236551215922</v>
      </c>
      <c r="Q1751">
        <v>13</v>
      </c>
      <c r="R1751" t="s">
        <v>124</v>
      </c>
      <c r="S1751" t="s">
        <v>124</v>
      </c>
      <c r="T1751" t="s">
        <v>124</v>
      </c>
      <c r="U1751" t="s">
        <v>124</v>
      </c>
      <c r="X1751" s="19">
        <f t="shared" si="103"/>
        <v>0.91034482758620694</v>
      </c>
      <c r="Y1751" s="19">
        <f t="shared" si="104"/>
        <v>1.2527634487840777E-2</v>
      </c>
      <c r="Z1751" s="26"/>
    </row>
    <row r="1752" spans="1:26" x14ac:dyDescent="0.35">
      <c r="A1752" t="s">
        <v>122</v>
      </c>
      <c r="B1752" t="s">
        <v>122</v>
      </c>
      <c r="C1752" t="s">
        <v>123</v>
      </c>
      <c r="D1752" t="s">
        <v>101</v>
      </c>
      <c r="E1752" t="s">
        <v>99</v>
      </c>
      <c r="F1752" t="s">
        <v>12</v>
      </c>
      <c r="G1752">
        <v>1</v>
      </c>
      <c r="H1752">
        <v>132</v>
      </c>
      <c r="I1752">
        <v>0.91034482758620605</v>
      </c>
      <c r="J1752" s="25">
        <f t="shared" si="106"/>
        <v>0.91034482758620694</v>
      </c>
      <c r="K1752">
        <v>1340</v>
      </c>
      <c r="L1752">
        <v>17</v>
      </c>
      <c r="M1752">
        <v>1.25276344878408E-2</v>
      </c>
      <c r="N1752" s="25">
        <f t="shared" si="105"/>
        <v>1.2527634487840777E-2</v>
      </c>
      <c r="O1752">
        <v>0.987472365512159</v>
      </c>
      <c r="P1752" s="25">
        <f t="shared" si="107"/>
        <v>0.98747236551215922</v>
      </c>
      <c r="Q1752">
        <v>13</v>
      </c>
      <c r="R1752" t="s">
        <v>124</v>
      </c>
      <c r="S1752" t="s">
        <v>124</v>
      </c>
      <c r="T1752" t="s">
        <v>124</v>
      </c>
      <c r="U1752" t="s">
        <v>124</v>
      </c>
      <c r="X1752" s="19">
        <f t="shared" si="103"/>
        <v>0.91034482758620694</v>
      </c>
      <c r="Y1752" s="19">
        <f t="shared" si="104"/>
        <v>1.2527634487840777E-2</v>
      </c>
      <c r="Z1752" s="26"/>
    </row>
    <row r="1753" spans="1:26" x14ac:dyDescent="0.35">
      <c r="A1753" t="s">
        <v>122</v>
      </c>
      <c r="B1753" t="s">
        <v>122</v>
      </c>
      <c r="C1753" t="s">
        <v>123</v>
      </c>
      <c r="D1753" t="s">
        <v>101</v>
      </c>
      <c r="E1753" t="s">
        <v>99</v>
      </c>
      <c r="F1753" t="s">
        <v>12</v>
      </c>
      <c r="G1753">
        <v>1</v>
      </c>
      <c r="H1753">
        <v>132</v>
      </c>
      <c r="I1753">
        <v>0.91034482758620605</v>
      </c>
      <c r="J1753" s="25">
        <f t="shared" si="106"/>
        <v>0.91034482758620694</v>
      </c>
      <c r="K1753">
        <v>1340</v>
      </c>
      <c r="L1753">
        <v>17</v>
      </c>
      <c r="M1753">
        <v>1.25276344878408E-2</v>
      </c>
      <c r="N1753" s="25">
        <f t="shared" si="105"/>
        <v>1.2527634487840777E-2</v>
      </c>
      <c r="O1753">
        <v>0.987472365512159</v>
      </c>
      <c r="P1753" s="25">
        <f t="shared" si="107"/>
        <v>0.98747236551215922</v>
      </c>
      <c r="Q1753">
        <v>13</v>
      </c>
      <c r="R1753" t="s">
        <v>124</v>
      </c>
      <c r="S1753" t="s">
        <v>124</v>
      </c>
      <c r="T1753" t="s">
        <v>124</v>
      </c>
      <c r="U1753" t="s">
        <v>124</v>
      </c>
      <c r="X1753" s="19">
        <f t="shared" si="103"/>
        <v>0.91034482758620694</v>
      </c>
      <c r="Y1753" s="19">
        <f t="shared" si="104"/>
        <v>1.2527634487840777E-2</v>
      </c>
      <c r="Z1753" s="26"/>
    </row>
    <row r="1754" spans="1:26" x14ac:dyDescent="0.35">
      <c r="A1754" t="s">
        <v>122</v>
      </c>
      <c r="B1754" t="s">
        <v>122</v>
      </c>
      <c r="C1754" t="s">
        <v>123</v>
      </c>
      <c r="D1754" t="s">
        <v>101</v>
      </c>
      <c r="E1754" t="s">
        <v>99</v>
      </c>
      <c r="F1754" t="s">
        <v>12</v>
      </c>
      <c r="G1754">
        <v>1</v>
      </c>
      <c r="H1754">
        <v>132</v>
      </c>
      <c r="I1754">
        <v>0.91034482758620605</v>
      </c>
      <c r="J1754" s="25">
        <f t="shared" si="106"/>
        <v>0.91034482758620694</v>
      </c>
      <c r="K1754">
        <v>1340</v>
      </c>
      <c r="L1754">
        <v>17</v>
      </c>
      <c r="M1754">
        <v>1.25276344878408E-2</v>
      </c>
      <c r="N1754" s="25">
        <f t="shared" si="105"/>
        <v>1.2527634487840777E-2</v>
      </c>
      <c r="O1754">
        <v>0.987472365512159</v>
      </c>
      <c r="P1754" s="25">
        <f t="shared" si="107"/>
        <v>0.98747236551215922</v>
      </c>
      <c r="Q1754">
        <v>13</v>
      </c>
      <c r="R1754" t="s">
        <v>124</v>
      </c>
      <c r="S1754" t="s">
        <v>124</v>
      </c>
      <c r="T1754" t="s">
        <v>124</v>
      </c>
      <c r="U1754" t="s">
        <v>124</v>
      </c>
      <c r="X1754" s="19">
        <f t="shared" si="103"/>
        <v>0.91034482758620694</v>
      </c>
      <c r="Y1754" s="19">
        <f t="shared" si="104"/>
        <v>1.2527634487840777E-2</v>
      </c>
      <c r="Z1754" s="26"/>
    </row>
    <row r="1755" spans="1:26" x14ac:dyDescent="0.35">
      <c r="A1755" t="s">
        <v>122</v>
      </c>
      <c r="B1755" t="s">
        <v>122</v>
      </c>
      <c r="C1755" t="s">
        <v>123</v>
      </c>
      <c r="D1755" t="s">
        <v>101</v>
      </c>
      <c r="E1755" t="s">
        <v>99</v>
      </c>
      <c r="F1755" t="s">
        <v>12</v>
      </c>
      <c r="G1755">
        <v>1</v>
      </c>
      <c r="H1755">
        <v>132</v>
      </c>
      <c r="I1755">
        <v>0.91034482758620605</v>
      </c>
      <c r="J1755" s="25">
        <f t="shared" si="106"/>
        <v>0.91034482758620694</v>
      </c>
      <c r="K1755">
        <v>1340</v>
      </c>
      <c r="L1755">
        <v>17</v>
      </c>
      <c r="M1755">
        <v>1.25276344878408E-2</v>
      </c>
      <c r="N1755" s="25">
        <f t="shared" si="105"/>
        <v>1.2527634487840777E-2</v>
      </c>
      <c r="O1755">
        <v>0.987472365512159</v>
      </c>
      <c r="P1755" s="25">
        <f t="shared" si="107"/>
        <v>0.98747236551215922</v>
      </c>
      <c r="Q1755">
        <v>13</v>
      </c>
      <c r="R1755" t="s">
        <v>124</v>
      </c>
      <c r="S1755" t="s">
        <v>124</v>
      </c>
      <c r="T1755" t="s">
        <v>124</v>
      </c>
      <c r="U1755" t="s">
        <v>124</v>
      </c>
      <c r="X1755" s="19">
        <f t="shared" si="103"/>
        <v>0.91034482758620694</v>
      </c>
      <c r="Y1755" s="19">
        <f t="shared" si="104"/>
        <v>1.2527634487840777E-2</v>
      </c>
      <c r="Z1755" s="26"/>
    </row>
    <row r="1756" spans="1:26" x14ac:dyDescent="0.35">
      <c r="A1756" t="s">
        <v>122</v>
      </c>
      <c r="B1756" t="s">
        <v>122</v>
      </c>
      <c r="C1756" t="s">
        <v>123</v>
      </c>
      <c r="D1756" t="s">
        <v>101</v>
      </c>
      <c r="E1756" t="s">
        <v>99</v>
      </c>
      <c r="F1756" t="s">
        <v>12</v>
      </c>
      <c r="G1756">
        <v>1</v>
      </c>
      <c r="H1756">
        <v>132</v>
      </c>
      <c r="I1756">
        <v>0.91034482758620605</v>
      </c>
      <c r="J1756" s="25">
        <f t="shared" si="106"/>
        <v>0.91034482758620694</v>
      </c>
      <c r="K1756">
        <v>1340</v>
      </c>
      <c r="L1756">
        <v>17</v>
      </c>
      <c r="M1756">
        <v>1.25276344878408E-2</v>
      </c>
      <c r="N1756" s="25">
        <f t="shared" si="105"/>
        <v>1.2527634487840777E-2</v>
      </c>
      <c r="O1756">
        <v>0.987472365512159</v>
      </c>
      <c r="P1756" s="25">
        <f t="shared" si="107"/>
        <v>0.98747236551215922</v>
      </c>
      <c r="Q1756">
        <v>13</v>
      </c>
      <c r="R1756" t="s">
        <v>124</v>
      </c>
      <c r="S1756" t="s">
        <v>124</v>
      </c>
      <c r="T1756" t="s">
        <v>124</v>
      </c>
      <c r="U1756" t="s">
        <v>124</v>
      </c>
      <c r="X1756" s="19">
        <f t="shared" si="103"/>
        <v>0.91034482758620694</v>
      </c>
      <c r="Y1756" s="19">
        <f t="shared" si="104"/>
        <v>1.2527634487840777E-2</v>
      </c>
      <c r="Z1756" s="26"/>
    </row>
    <row r="1757" spans="1:26" x14ac:dyDescent="0.35">
      <c r="A1757" t="s">
        <v>122</v>
      </c>
      <c r="B1757" t="s">
        <v>122</v>
      </c>
      <c r="C1757" t="s">
        <v>123</v>
      </c>
      <c r="D1757" t="s">
        <v>101</v>
      </c>
      <c r="E1757" t="s">
        <v>99</v>
      </c>
      <c r="F1757" t="s">
        <v>12</v>
      </c>
      <c r="G1757">
        <v>1</v>
      </c>
      <c r="H1757">
        <v>132</v>
      </c>
      <c r="I1757">
        <v>0.91034482758620605</v>
      </c>
      <c r="J1757" s="25">
        <f t="shared" si="106"/>
        <v>0.91034482758620694</v>
      </c>
      <c r="K1757">
        <v>1340</v>
      </c>
      <c r="L1757">
        <v>17</v>
      </c>
      <c r="M1757">
        <v>1.25276344878408E-2</v>
      </c>
      <c r="N1757" s="25">
        <f t="shared" si="105"/>
        <v>1.2527634487840777E-2</v>
      </c>
      <c r="O1757">
        <v>0.987472365512159</v>
      </c>
      <c r="P1757" s="25">
        <f t="shared" si="107"/>
        <v>0.98747236551215922</v>
      </c>
      <c r="Q1757">
        <v>13</v>
      </c>
      <c r="R1757" t="s">
        <v>124</v>
      </c>
      <c r="S1757" t="s">
        <v>124</v>
      </c>
      <c r="T1757" t="s">
        <v>124</v>
      </c>
      <c r="U1757" t="s">
        <v>124</v>
      </c>
      <c r="X1757" s="19">
        <f t="shared" si="103"/>
        <v>0.91034482758620694</v>
      </c>
      <c r="Y1757" s="19">
        <f t="shared" si="104"/>
        <v>1.2527634487840777E-2</v>
      </c>
      <c r="Z1757" s="26"/>
    </row>
    <row r="1758" spans="1:26" x14ac:dyDescent="0.35">
      <c r="A1758" t="s">
        <v>122</v>
      </c>
      <c r="B1758" t="s">
        <v>122</v>
      </c>
      <c r="C1758" t="s">
        <v>123</v>
      </c>
      <c r="D1758" t="s">
        <v>101</v>
      </c>
      <c r="E1758" t="s">
        <v>99</v>
      </c>
      <c r="F1758" t="s">
        <v>12</v>
      </c>
      <c r="G1758">
        <v>1</v>
      </c>
      <c r="H1758">
        <v>132</v>
      </c>
      <c r="I1758">
        <v>0.91034482758620605</v>
      </c>
      <c r="J1758" s="25">
        <f t="shared" si="106"/>
        <v>0.91034482758620694</v>
      </c>
      <c r="K1758">
        <v>1340</v>
      </c>
      <c r="L1758">
        <v>17</v>
      </c>
      <c r="M1758">
        <v>1.25276344878408E-2</v>
      </c>
      <c r="N1758" s="25">
        <f t="shared" si="105"/>
        <v>1.2527634487840777E-2</v>
      </c>
      <c r="O1758">
        <v>0.987472365512159</v>
      </c>
      <c r="P1758" s="25">
        <f t="shared" si="107"/>
        <v>0.98747236551215922</v>
      </c>
      <c r="Q1758">
        <v>13</v>
      </c>
      <c r="R1758" t="s">
        <v>124</v>
      </c>
      <c r="S1758" t="s">
        <v>124</v>
      </c>
      <c r="T1758" t="s">
        <v>124</v>
      </c>
      <c r="U1758" t="s">
        <v>124</v>
      </c>
      <c r="X1758" s="19">
        <f t="shared" si="103"/>
        <v>0.91034482758620694</v>
      </c>
      <c r="Y1758" s="19">
        <f t="shared" si="104"/>
        <v>1.2527634487840777E-2</v>
      </c>
      <c r="Z1758" s="26"/>
    </row>
    <row r="1759" spans="1:26" x14ac:dyDescent="0.35">
      <c r="A1759" t="s">
        <v>122</v>
      </c>
      <c r="B1759" t="s">
        <v>122</v>
      </c>
      <c r="C1759" t="s">
        <v>123</v>
      </c>
      <c r="D1759" t="s">
        <v>101</v>
      </c>
      <c r="E1759" t="s">
        <v>99</v>
      </c>
      <c r="F1759" t="s">
        <v>12</v>
      </c>
      <c r="G1759">
        <v>1</v>
      </c>
      <c r="H1759">
        <v>132</v>
      </c>
      <c r="I1759">
        <v>0.91034482758620605</v>
      </c>
      <c r="J1759" s="25">
        <f t="shared" si="106"/>
        <v>0.91034482758620694</v>
      </c>
      <c r="K1759">
        <v>1340</v>
      </c>
      <c r="L1759">
        <v>17</v>
      </c>
      <c r="M1759">
        <v>1.25276344878408E-2</v>
      </c>
      <c r="N1759" s="25">
        <f t="shared" si="105"/>
        <v>1.2527634487840777E-2</v>
      </c>
      <c r="O1759">
        <v>0.987472365512159</v>
      </c>
      <c r="P1759" s="25">
        <f t="shared" si="107"/>
        <v>0.98747236551215922</v>
      </c>
      <c r="Q1759">
        <v>13</v>
      </c>
      <c r="R1759" t="s">
        <v>124</v>
      </c>
      <c r="S1759" t="s">
        <v>124</v>
      </c>
      <c r="T1759" t="s">
        <v>124</v>
      </c>
      <c r="U1759" t="s">
        <v>124</v>
      </c>
      <c r="X1759" s="19">
        <f t="shared" si="103"/>
        <v>0.91034482758620694</v>
      </c>
      <c r="Y1759" s="19">
        <f t="shared" si="104"/>
        <v>1.2527634487840777E-2</v>
      </c>
      <c r="Z1759" s="26"/>
    </row>
    <row r="1760" spans="1:26" x14ac:dyDescent="0.35">
      <c r="A1760" t="s">
        <v>122</v>
      </c>
      <c r="B1760" t="s">
        <v>122</v>
      </c>
      <c r="C1760" t="s">
        <v>123</v>
      </c>
      <c r="D1760" t="s">
        <v>101</v>
      </c>
      <c r="E1760" t="s">
        <v>99</v>
      </c>
      <c r="F1760" t="s">
        <v>12</v>
      </c>
      <c r="G1760">
        <v>1</v>
      </c>
      <c r="H1760">
        <v>132</v>
      </c>
      <c r="I1760">
        <v>0.91034482758620605</v>
      </c>
      <c r="J1760" s="25">
        <f t="shared" si="106"/>
        <v>0.91034482758620694</v>
      </c>
      <c r="K1760">
        <v>1340</v>
      </c>
      <c r="L1760">
        <v>17</v>
      </c>
      <c r="M1760">
        <v>1.25276344878408E-2</v>
      </c>
      <c r="N1760" s="25">
        <f t="shared" si="105"/>
        <v>1.2527634487840777E-2</v>
      </c>
      <c r="O1760">
        <v>0.987472365512159</v>
      </c>
      <c r="P1760" s="25">
        <f t="shared" si="107"/>
        <v>0.98747236551215922</v>
      </c>
      <c r="Q1760">
        <v>13</v>
      </c>
      <c r="R1760" t="s">
        <v>124</v>
      </c>
      <c r="S1760" t="s">
        <v>124</v>
      </c>
      <c r="T1760" t="s">
        <v>124</v>
      </c>
      <c r="U1760" t="s">
        <v>124</v>
      </c>
      <c r="X1760" s="19">
        <f t="shared" si="103"/>
        <v>0.91034482758620694</v>
      </c>
      <c r="Y1760" s="19">
        <f t="shared" si="104"/>
        <v>1.2527634487840777E-2</v>
      </c>
      <c r="Z1760" s="26"/>
    </row>
    <row r="1761" spans="1:26" x14ac:dyDescent="0.35">
      <c r="A1761" t="s">
        <v>122</v>
      </c>
      <c r="B1761" t="s">
        <v>122</v>
      </c>
      <c r="C1761" t="s">
        <v>123</v>
      </c>
      <c r="D1761" t="s">
        <v>101</v>
      </c>
      <c r="E1761" t="s">
        <v>99</v>
      </c>
      <c r="F1761" t="s">
        <v>12</v>
      </c>
      <c r="G1761">
        <v>1</v>
      </c>
      <c r="H1761">
        <v>132</v>
      </c>
      <c r="I1761">
        <v>0.91034482758620605</v>
      </c>
      <c r="J1761" s="25">
        <f t="shared" si="106"/>
        <v>0.91034482758620694</v>
      </c>
      <c r="K1761">
        <v>1340</v>
      </c>
      <c r="L1761">
        <v>17</v>
      </c>
      <c r="M1761">
        <v>1.25276344878408E-2</v>
      </c>
      <c r="N1761" s="25">
        <f t="shared" si="105"/>
        <v>1.2527634487840777E-2</v>
      </c>
      <c r="O1761">
        <v>0.987472365512159</v>
      </c>
      <c r="P1761" s="25">
        <f t="shared" si="107"/>
        <v>0.98747236551215922</v>
      </c>
      <c r="Q1761">
        <v>13</v>
      </c>
      <c r="R1761" t="s">
        <v>124</v>
      </c>
      <c r="S1761" t="s">
        <v>124</v>
      </c>
      <c r="T1761" t="s">
        <v>124</v>
      </c>
      <c r="U1761" t="s">
        <v>124</v>
      </c>
      <c r="X1761" s="19">
        <f t="shared" si="103"/>
        <v>0.91034482758620694</v>
      </c>
      <c r="Y1761" s="19">
        <f t="shared" si="104"/>
        <v>1.2527634487840777E-2</v>
      </c>
      <c r="Z1761" s="26"/>
    </row>
    <row r="1762" spans="1:26" x14ac:dyDescent="0.35">
      <c r="A1762" t="s">
        <v>122</v>
      </c>
      <c r="B1762" t="s">
        <v>122</v>
      </c>
      <c r="C1762" t="s">
        <v>123</v>
      </c>
      <c r="D1762" t="s">
        <v>101</v>
      </c>
      <c r="E1762" t="s">
        <v>99</v>
      </c>
      <c r="F1762" t="s">
        <v>12</v>
      </c>
      <c r="G1762">
        <v>1</v>
      </c>
      <c r="H1762">
        <v>132</v>
      </c>
      <c r="I1762">
        <v>0.91034482758620605</v>
      </c>
      <c r="J1762" s="25">
        <f t="shared" si="106"/>
        <v>0.91034482758620694</v>
      </c>
      <c r="K1762">
        <v>1340</v>
      </c>
      <c r="L1762">
        <v>17</v>
      </c>
      <c r="M1762">
        <v>1.25276344878408E-2</v>
      </c>
      <c r="N1762" s="25">
        <f t="shared" si="105"/>
        <v>1.2527634487840777E-2</v>
      </c>
      <c r="O1762">
        <v>0.987472365512159</v>
      </c>
      <c r="P1762" s="25">
        <f t="shared" si="107"/>
        <v>0.98747236551215922</v>
      </c>
      <c r="Q1762">
        <v>13</v>
      </c>
      <c r="R1762" t="s">
        <v>124</v>
      </c>
      <c r="S1762" t="s">
        <v>124</v>
      </c>
      <c r="T1762" t="s">
        <v>124</v>
      </c>
      <c r="U1762" t="s">
        <v>124</v>
      </c>
      <c r="X1762" s="19">
        <f t="shared" si="103"/>
        <v>0.91034482758620694</v>
      </c>
      <c r="Y1762" s="19">
        <f t="shared" si="104"/>
        <v>1.2527634487840777E-2</v>
      </c>
      <c r="Z1762" s="26"/>
    </row>
    <row r="1763" spans="1:26" x14ac:dyDescent="0.35">
      <c r="A1763" t="s">
        <v>122</v>
      </c>
      <c r="B1763" t="s">
        <v>122</v>
      </c>
      <c r="C1763" t="s">
        <v>123</v>
      </c>
      <c r="D1763" t="s">
        <v>101</v>
      </c>
      <c r="E1763" t="s">
        <v>99</v>
      </c>
      <c r="F1763" t="s">
        <v>12</v>
      </c>
      <c r="G1763">
        <v>1</v>
      </c>
      <c r="H1763">
        <v>132</v>
      </c>
      <c r="I1763">
        <v>0.91034482758620605</v>
      </c>
      <c r="J1763" s="25">
        <f t="shared" si="106"/>
        <v>0.91034482758620694</v>
      </c>
      <c r="K1763">
        <v>1340</v>
      </c>
      <c r="L1763">
        <v>17</v>
      </c>
      <c r="M1763">
        <v>1.25276344878408E-2</v>
      </c>
      <c r="N1763" s="25">
        <f t="shared" si="105"/>
        <v>1.2527634487840777E-2</v>
      </c>
      <c r="O1763">
        <v>0.987472365512159</v>
      </c>
      <c r="P1763" s="25">
        <f t="shared" si="107"/>
        <v>0.98747236551215922</v>
      </c>
      <c r="Q1763">
        <v>13</v>
      </c>
      <c r="R1763" t="s">
        <v>124</v>
      </c>
      <c r="S1763" t="s">
        <v>124</v>
      </c>
      <c r="T1763" t="s">
        <v>124</v>
      </c>
      <c r="U1763" t="s">
        <v>124</v>
      </c>
      <c r="X1763" s="19">
        <f t="shared" si="103"/>
        <v>0.91034482758620694</v>
      </c>
      <c r="Y1763" s="19">
        <f t="shared" si="104"/>
        <v>1.2527634487840777E-2</v>
      </c>
      <c r="Z1763" s="26"/>
    </row>
    <row r="1764" spans="1:26" x14ac:dyDescent="0.35">
      <c r="A1764" t="s">
        <v>122</v>
      </c>
      <c r="B1764" t="s">
        <v>122</v>
      </c>
      <c r="C1764" t="s">
        <v>123</v>
      </c>
      <c r="D1764" t="s">
        <v>101</v>
      </c>
      <c r="E1764" t="s">
        <v>99</v>
      </c>
      <c r="F1764" t="s">
        <v>12</v>
      </c>
      <c r="G1764">
        <v>1</v>
      </c>
      <c r="H1764">
        <v>132</v>
      </c>
      <c r="I1764">
        <v>0.91034482758620605</v>
      </c>
      <c r="J1764" s="25">
        <f t="shared" si="106"/>
        <v>0.91034482758620694</v>
      </c>
      <c r="K1764">
        <v>1340</v>
      </c>
      <c r="L1764">
        <v>17</v>
      </c>
      <c r="M1764">
        <v>1.25276344878408E-2</v>
      </c>
      <c r="N1764" s="25">
        <f t="shared" si="105"/>
        <v>1.2527634487840777E-2</v>
      </c>
      <c r="O1764">
        <v>0.987472365512159</v>
      </c>
      <c r="P1764" s="25">
        <f t="shared" si="107"/>
        <v>0.98747236551215922</v>
      </c>
      <c r="Q1764">
        <v>13</v>
      </c>
      <c r="R1764" t="s">
        <v>124</v>
      </c>
      <c r="S1764" t="s">
        <v>124</v>
      </c>
      <c r="T1764" t="s">
        <v>124</v>
      </c>
      <c r="U1764" t="s">
        <v>124</v>
      </c>
      <c r="X1764" s="19">
        <f t="shared" si="103"/>
        <v>0.91034482758620694</v>
      </c>
      <c r="Y1764" s="19">
        <f t="shared" si="104"/>
        <v>1.2527634487840777E-2</v>
      </c>
      <c r="Z1764" s="26"/>
    </row>
    <row r="1765" spans="1:26" x14ac:dyDescent="0.35">
      <c r="A1765" t="s">
        <v>122</v>
      </c>
      <c r="B1765" t="s">
        <v>122</v>
      </c>
      <c r="C1765" t="s">
        <v>123</v>
      </c>
      <c r="D1765" t="s">
        <v>101</v>
      </c>
      <c r="E1765" t="s">
        <v>99</v>
      </c>
      <c r="F1765" t="s">
        <v>12</v>
      </c>
      <c r="G1765">
        <v>1</v>
      </c>
      <c r="H1765">
        <v>132</v>
      </c>
      <c r="I1765">
        <v>0.91034482758620605</v>
      </c>
      <c r="J1765" s="25">
        <f t="shared" si="106"/>
        <v>0.91034482758620694</v>
      </c>
      <c r="K1765">
        <v>1340</v>
      </c>
      <c r="L1765">
        <v>17</v>
      </c>
      <c r="M1765">
        <v>1.25276344878408E-2</v>
      </c>
      <c r="N1765" s="25">
        <f t="shared" si="105"/>
        <v>1.2527634487840777E-2</v>
      </c>
      <c r="O1765">
        <v>0.987472365512159</v>
      </c>
      <c r="P1765" s="25">
        <f t="shared" si="107"/>
        <v>0.98747236551215922</v>
      </c>
      <c r="Q1765">
        <v>13</v>
      </c>
      <c r="R1765" t="s">
        <v>124</v>
      </c>
      <c r="S1765" t="s">
        <v>124</v>
      </c>
      <c r="T1765" t="s">
        <v>124</v>
      </c>
      <c r="U1765" t="s">
        <v>124</v>
      </c>
      <c r="X1765" s="19">
        <f t="shared" si="103"/>
        <v>0.91034482758620694</v>
      </c>
      <c r="Y1765" s="19">
        <f t="shared" si="104"/>
        <v>1.2527634487840777E-2</v>
      </c>
      <c r="Z1765" s="26"/>
    </row>
    <row r="1766" spans="1:26" x14ac:dyDescent="0.35">
      <c r="A1766" t="s">
        <v>122</v>
      </c>
      <c r="B1766" t="s">
        <v>122</v>
      </c>
      <c r="C1766" t="s">
        <v>123</v>
      </c>
      <c r="D1766" t="s">
        <v>101</v>
      </c>
      <c r="E1766" t="s">
        <v>99</v>
      </c>
      <c r="F1766" t="s">
        <v>12</v>
      </c>
      <c r="G1766">
        <v>1</v>
      </c>
      <c r="H1766">
        <v>132</v>
      </c>
      <c r="I1766">
        <v>0.91034482758620605</v>
      </c>
      <c r="J1766" s="25">
        <f t="shared" si="106"/>
        <v>0.91034482758620694</v>
      </c>
      <c r="K1766">
        <v>1340</v>
      </c>
      <c r="L1766">
        <v>17</v>
      </c>
      <c r="M1766">
        <v>1.25276344878408E-2</v>
      </c>
      <c r="N1766" s="25">
        <f t="shared" si="105"/>
        <v>1.2527634487840777E-2</v>
      </c>
      <c r="O1766">
        <v>0.987472365512159</v>
      </c>
      <c r="P1766" s="25">
        <f t="shared" si="107"/>
        <v>0.98747236551215922</v>
      </c>
      <c r="Q1766">
        <v>13</v>
      </c>
      <c r="R1766" t="s">
        <v>124</v>
      </c>
      <c r="S1766" t="s">
        <v>124</v>
      </c>
      <c r="T1766" t="s">
        <v>124</v>
      </c>
      <c r="U1766" t="s">
        <v>124</v>
      </c>
      <c r="X1766" s="19">
        <f t="shared" si="103"/>
        <v>0.91034482758620694</v>
      </c>
      <c r="Y1766" s="19">
        <f t="shared" si="104"/>
        <v>1.2527634487840777E-2</v>
      </c>
      <c r="Z1766" s="26"/>
    </row>
    <row r="1767" spans="1:26" x14ac:dyDescent="0.35">
      <c r="A1767" t="s">
        <v>122</v>
      </c>
      <c r="B1767" t="s">
        <v>122</v>
      </c>
      <c r="C1767" t="s">
        <v>123</v>
      </c>
      <c r="D1767" t="s">
        <v>101</v>
      </c>
      <c r="E1767" t="s">
        <v>99</v>
      </c>
      <c r="F1767" t="s">
        <v>12</v>
      </c>
      <c r="G1767">
        <v>1</v>
      </c>
      <c r="H1767">
        <v>132</v>
      </c>
      <c r="I1767">
        <v>0.91034482758620605</v>
      </c>
      <c r="J1767" s="25">
        <f t="shared" si="106"/>
        <v>0.91034482758620694</v>
      </c>
      <c r="K1767">
        <v>1340</v>
      </c>
      <c r="L1767">
        <v>17</v>
      </c>
      <c r="M1767">
        <v>1.25276344878408E-2</v>
      </c>
      <c r="N1767" s="25">
        <f t="shared" si="105"/>
        <v>1.2527634487840777E-2</v>
      </c>
      <c r="O1767">
        <v>0.987472365512159</v>
      </c>
      <c r="P1767" s="25">
        <f t="shared" si="107"/>
        <v>0.98747236551215922</v>
      </c>
      <c r="Q1767">
        <v>13</v>
      </c>
      <c r="R1767" t="s">
        <v>124</v>
      </c>
      <c r="S1767" t="s">
        <v>124</v>
      </c>
      <c r="T1767" t="s">
        <v>124</v>
      </c>
      <c r="U1767" t="s">
        <v>124</v>
      </c>
      <c r="X1767" s="19">
        <f t="shared" si="103"/>
        <v>0.91034482758620694</v>
      </c>
      <c r="Y1767" s="19">
        <f t="shared" si="104"/>
        <v>1.2527634487840777E-2</v>
      </c>
      <c r="Z1767" s="26"/>
    </row>
    <row r="1768" spans="1:26" x14ac:dyDescent="0.35">
      <c r="A1768" t="s">
        <v>122</v>
      </c>
      <c r="B1768" t="s">
        <v>122</v>
      </c>
      <c r="C1768" t="s">
        <v>123</v>
      </c>
      <c r="D1768" t="s">
        <v>101</v>
      </c>
      <c r="E1768" t="s">
        <v>99</v>
      </c>
      <c r="F1768" t="s">
        <v>12</v>
      </c>
      <c r="G1768">
        <v>1</v>
      </c>
      <c r="H1768">
        <v>132</v>
      </c>
      <c r="I1768">
        <v>0.91034482758620605</v>
      </c>
      <c r="J1768" s="25">
        <f t="shared" si="106"/>
        <v>0.91034482758620694</v>
      </c>
      <c r="K1768">
        <v>1340</v>
      </c>
      <c r="L1768">
        <v>17</v>
      </c>
      <c r="M1768">
        <v>1.25276344878408E-2</v>
      </c>
      <c r="N1768" s="25">
        <f t="shared" si="105"/>
        <v>1.2527634487840777E-2</v>
      </c>
      <c r="O1768">
        <v>0.987472365512159</v>
      </c>
      <c r="P1768" s="25">
        <f t="shared" si="107"/>
        <v>0.98747236551215922</v>
      </c>
      <c r="Q1768">
        <v>13</v>
      </c>
      <c r="R1768" t="s">
        <v>124</v>
      </c>
      <c r="S1768" t="s">
        <v>124</v>
      </c>
      <c r="T1768" t="s">
        <v>124</v>
      </c>
      <c r="U1768" t="s">
        <v>124</v>
      </c>
      <c r="X1768" s="19">
        <f t="shared" si="103"/>
        <v>0.91034482758620694</v>
      </c>
      <c r="Y1768" s="19">
        <f t="shared" si="104"/>
        <v>1.2527634487840777E-2</v>
      </c>
      <c r="Z1768" s="26"/>
    </row>
    <row r="1769" spans="1:26" x14ac:dyDescent="0.35">
      <c r="A1769" t="s">
        <v>122</v>
      </c>
      <c r="B1769" t="s">
        <v>122</v>
      </c>
      <c r="C1769" t="s">
        <v>123</v>
      </c>
      <c r="D1769" t="s">
        <v>101</v>
      </c>
      <c r="E1769" t="s">
        <v>99</v>
      </c>
      <c r="F1769" t="s">
        <v>12</v>
      </c>
      <c r="G1769">
        <v>1</v>
      </c>
      <c r="H1769">
        <v>132</v>
      </c>
      <c r="I1769">
        <v>0.91034482758620605</v>
      </c>
      <c r="J1769" s="25">
        <f t="shared" si="106"/>
        <v>0.91034482758620694</v>
      </c>
      <c r="K1769">
        <v>1340</v>
      </c>
      <c r="L1769">
        <v>17</v>
      </c>
      <c r="M1769">
        <v>1.25276344878408E-2</v>
      </c>
      <c r="N1769" s="25">
        <f t="shared" si="105"/>
        <v>1.2527634487840777E-2</v>
      </c>
      <c r="O1769">
        <v>0.987472365512159</v>
      </c>
      <c r="P1769" s="25">
        <f t="shared" si="107"/>
        <v>0.98747236551215922</v>
      </c>
      <c r="Q1769">
        <v>13</v>
      </c>
      <c r="R1769" t="s">
        <v>124</v>
      </c>
      <c r="S1769" t="s">
        <v>124</v>
      </c>
      <c r="T1769" t="s">
        <v>124</v>
      </c>
      <c r="U1769" t="s">
        <v>124</v>
      </c>
      <c r="X1769" s="19">
        <f t="shared" si="103"/>
        <v>0.91034482758620694</v>
      </c>
      <c r="Y1769" s="19">
        <f t="shared" si="104"/>
        <v>1.2527634487840777E-2</v>
      </c>
      <c r="Z1769" s="26"/>
    </row>
    <row r="1770" spans="1:26" x14ac:dyDescent="0.35">
      <c r="A1770" t="s">
        <v>122</v>
      </c>
      <c r="B1770" t="s">
        <v>122</v>
      </c>
      <c r="C1770" t="s">
        <v>123</v>
      </c>
      <c r="D1770" t="s">
        <v>101</v>
      </c>
      <c r="E1770" t="s">
        <v>99</v>
      </c>
      <c r="F1770" t="s">
        <v>12</v>
      </c>
      <c r="G1770">
        <v>1</v>
      </c>
      <c r="H1770">
        <v>132</v>
      </c>
      <c r="I1770">
        <v>0.91034482758620605</v>
      </c>
      <c r="J1770" s="25">
        <f t="shared" si="106"/>
        <v>0.91034482758620694</v>
      </c>
      <c r="K1770">
        <v>1340</v>
      </c>
      <c r="L1770">
        <v>17</v>
      </c>
      <c r="M1770">
        <v>1.25276344878408E-2</v>
      </c>
      <c r="N1770" s="25">
        <f t="shared" si="105"/>
        <v>1.2527634487840777E-2</v>
      </c>
      <c r="O1770">
        <v>0.987472365512159</v>
      </c>
      <c r="P1770" s="25">
        <f t="shared" si="107"/>
        <v>0.98747236551215922</v>
      </c>
      <c r="Q1770">
        <v>13</v>
      </c>
      <c r="R1770" t="s">
        <v>124</v>
      </c>
      <c r="S1770" t="s">
        <v>124</v>
      </c>
      <c r="T1770" t="s">
        <v>124</v>
      </c>
      <c r="U1770" t="s">
        <v>124</v>
      </c>
      <c r="X1770" s="19">
        <f t="shared" si="103"/>
        <v>0.91034482758620694</v>
      </c>
      <c r="Y1770" s="19">
        <f t="shared" si="104"/>
        <v>1.2527634487840777E-2</v>
      </c>
      <c r="Z1770" s="26"/>
    </row>
    <row r="1771" spans="1:26" x14ac:dyDescent="0.35">
      <c r="A1771" t="s">
        <v>122</v>
      </c>
      <c r="B1771" t="s">
        <v>122</v>
      </c>
      <c r="C1771" t="s">
        <v>123</v>
      </c>
      <c r="D1771" t="s">
        <v>101</v>
      </c>
      <c r="E1771" t="s">
        <v>99</v>
      </c>
      <c r="F1771" t="s">
        <v>12</v>
      </c>
      <c r="G1771">
        <v>1</v>
      </c>
      <c r="H1771">
        <v>132</v>
      </c>
      <c r="I1771">
        <v>0.91034482758620605</v>
      </c>
      <c r="J1771" s="25">
        <f t="shared" si="106"/>
        <v>0.91034482758620694</v>
      </c>
      <c r="K1771">
        <v>1340</v>
      </c>
      <c r="L1771">
        <v>17</v>
      </c>
      <c r="M1771">
        <v>1.25276344878408E-2</v>
      </c>
      <c r="N1771" s="25">
        <f t="shared" si="105"/>
        <v>1.2527634487840777E-2</v>
      </c>
      <c r="O1771">
        <v>0.987472365512159</v>
      </c>
      <c r="P1771" s="25">
        <f t="shared" si="107"/>
        <v>0.98747236551215922</v>
      </c>
      <c r="Q1771">
        <v>13</v>
      </c>
      <c r="R1771" t="s">
        <v>124</v>
      </c>
      <c r="S1771" t="s">
        <v>124</v>
      </c>
      <c r="T1771" t="s">
        <v>124</v>
      </c>
      <c r="U1771" t="s">
        <v>124</v>
      </c>
      <c r="X1771" s="19">
        <f t="shared" si="103"/>
        <v>0.91034482758620694</v>
      </c>
      <c r="Y1771" s="19">
        <f t="shared" si="104"/>
        <v>1.2527634487840777E-2</v>
      </c>
      <c r="Z1771" s="26"/>
    </row>
    <row r="1772" spans="1:26" x14ac:dyDescent="0.35">
      <c r="A1772" t="s">
        <v>122</v>
      </c>
      <c r="B1772" t="s">
        <v>122</v>
      </c>
      <c r="C1772" t="s">
        <v>123</v>
      </c>
      <c r="D1772" t="s">
        <v>101</v>
      </c>
      <c r="E1772" t="s">
        <v>99</v>
      </c>
      <c r="F1772" t="s">
        <v>12</v>
      </c>
      <c r="G1772">
        <v>1</v>
      </c>
      <c r="H1772">
        <v>132</v>
      </c>
      <c r="I1772">
        <v>0.91034482758620605</v>
      </c>
      <c r="J1772" s="25">
        <f t="shared" si="106"/>
        <v>0.91034482758620694</v>
      </c>
      <c r="K1772">
        <v>1340</v>
      </c>
      <c r="L1772">
        <v>17</v>
      </c>
      <c r="M1772">
        <v>1.25276344878408E-2</v>
      </c>
      <c r="N1772" s="25">
        <f t="shared" si="105"/>
        <v>1.2527634487840777E-2</v>
      </c>
      <c r="O1772">
        <v>0.987472365512159</v>
      </c>
      <c r="P1772" s="25">
        <f t="shared" si="107"/>
        <v>0.98747236551215922</v>
      </c>
      <c r="Q1772">
        <v>13</v>
      </c>
      <c r="R1772" t="s">
        <v>124</v>
      </c>
      <c r="S1772" t="s">
        <v>124</v>
      </c>
      <c r="T1772" t="s">
        <v>124</v>
      </c>
      <c r="U1772" t="s">
        <v>124</v>
      </c>
      <c r="X1772" s="19">
        <f t="shared" si="103"/>
        <v>0.91034482758620694</v>
      </c>
      <c r="Y1772" s="19">
        <f t="shared" si="104"/>
        <v>1.2527634487840777E-2</v>
      </c>
      <c r="Z1772" s="26"/>
    </row>
    <row r="1773" spans="1:26" x14ac:dyDescent="0.35">
      <c r="A1773" t="s">
        <v>122</v>
      </c>
      <c r="B1773" t="s">
        <v>122</v>
      </c>
      <c r="C1773" t="s">
        <v>123</v>
      </c>
      <c r="D1773" t="s">
        <v>101</v>
      </c>
      <c r="E1773" t="s">
        <v>99</v>
      </c>
      <c r="F1773" t="s">
        <v>12</v>
      </c>
      <c r="G1773">
        <v>1</v>
      </c>
      <c r="H1773">
        <v>132</v>
      </c>
      <c r="I1773">
        <v>0.91034482758620605</v>
      </c>
      <c r="J1773" s="25">
        <f t="shared" si="106"/>
        <v>0.91034482758620694</v>
      </c>
      <c r="K1773">
        <v>1340</v>
      </c>
      <c r="L1773">
        <v>17</v>
      </c>
      <c r="M1773">
        <v>1.25276344878408E-2</v>
      </c>
      <c r="N1773" s="25">
        <f t="shared" si="105"/>
        <v>1.2527634487840777E-2</v>
      </c>
      <c r="O1773">
        <v>0.987472365512159</v>
      </c>
      <c r="P1773" s="25">
        <f t="shared" si="107"/>
        <v>0.98747236551215922</v>
      </c>
      <c r="Q1773">
        <v>13</v>
      </c>
      <c r="R1773" t="s">
        <v>124</v>
      </c>
      <c r="S1773" t="s">
        <v>124</v>
      </c>
      <c r="T1773" t="s">
        <v>124</v>
      </c>
      <c r="U1773" t="s">
        <v>124</v>
      </c>
      <c r="X1773" s="19">
        <f t="shared" si="103"/>
        <v>0.91034482758620694</v>
      </c>
      <c r="Y1773" s="19">
        <f t="shared" si="104"/>
        <v>1.2527634487840777E-2</v>
      </c>
      <c r="Z1773" s="26"/>
    </row>
    <row r="1774" spans="1:26" x14ac:dyDescent="0.35">
      <c r="A1774" t="s">
        <v>122</v>
      </c>
      <c r="B1774" t="s">
        <v>122</v>
      </c>
      <c r="C1774" t="s">
        <v>123</v>
      </c>
      <c r="D1774" t="s">
        <v>101</v>
      </c>
      <c r="E1774" t="s">
        <v>99</v>
      </c>
      <c r="F1774" t="s">
        <v>12</v>
      </c>
      <c r="G1774">
        <v>1</v>
      </c>
      <c r="H1774">
        <v>132</v>
      </c>
      <c r="I1774">
        <v>0.91034482758620605</v>
      </c>
      <c r="J1774" s="25">
        <f t="shared" si="106"/>
        <v>0.91034482758620694</v>
      </c>
      <c r="K1774">
        <v>1340</v>
      </c>
      <c r="L1774">
        <v>17</v>
      </c>
      <c r="M1774">
        <v>1.25276344878408E-2</v>
      </c>
      <c r="N1774" s="25">
        <f t="shared" si="105"/>
        <v>1.2527634487840777E-2</v>
      </c>
      <c r="O1774">
        <v>0.987472365512159</v>
      </c>
      <c r="P1774" s="25">
        <f t="shared" si="107"/>
        <v>0.98747236551215922</v>
      </c>
      <c r="Q1774">
        <v>13</v>
      </c>
      <c r="R1774" t="s">
        <v>124</v>
      </c>
      <c r="S1774" t="s">
        <v>124</v>
      </c>
      <c r="T1774" t="s">
        <v>124</v>
      </c>
      <c r="U1774" t="s">
        <v>124</v>
      </c>
      <c r="X1774" s="19">
        <f t="shared" ref="X1774:X1837" si="108">J1774</f>
        <v>0.91034482758620694</v>
      </c>
      <c r="Y1774" s="19">
        <f t="shared" ref="Y1774:Y1837" si="109">N1774</f>
        <v>1.2527634487840777E-2</v>
      </c>
      <c r="Z1774" s="26"/>
    </row>
    <row r="1775" spans="1:26" x14ac:dyDescent="0.35">
      <c r="A1775" t="s">
        <v>122</v>
      </c>
      <c r="B1775" t="s">
        <v>122</v>
      </c>
      <c r="C1775" t="s">
        <v>123</v>
      </c>
      <c r="D1775" t="s">
        <v>101</v>
      </c>
      <c r="E1775" t="s">
        <v>99</v>
      </c>
      <c r="F1775" t="s">
        <v>12</v>
      </c>
      <c r="G1775">
        <v>1</v>
      </c>
      <c r="H1775">
        <v>132</v>
      </c>
      <c r="I1775">
        <v>0.91034482758620605</v>
      </c>
      <c r="J1775" s="25">
        <f t="shared" si="106"/>
        <v>0.91034482758620694</v>
      </c>
      <c r="K1775">
        <v>1340</v>
      </c>
      <c r="L1775">
        <v>17</v>
      </c>
      <c r="M1775">
        <v>1.25276344878408E-2</v>
      </c>
      <c r="N1775" s="25">
        <f t="shared" si="105"/>
        <v>1.2527634487840777E-2</v>
      </c>
      <c r="O1775">
        <v>0.987472365512159</v>
      </c>
      <c r="P1775" s="25">
        <f t="shared" si="107"/>
        <v>0.98747236551215922</v>
      </c>
      <c r="Q1775">
        <v>13</v>
      </c>
      <c r="R1775" t="s">
        <v>124</v>
      </c>
      <c r="S1775" t="s">
        <v>124</v>
      </c>
      <c r="T1775" t="s">
        <v>124</v>
      </c>
      <c r="U1775" t="s">
        <v>124</v>
      </c>
      <c r="X1775" s="19">
        <f t="shared" si="108"/>
        <v>0.91034482758620694</v>
      </c>
      <c r="Y1775" s="19">
        <f t="shared" si="109"/>
        <v>1.2527634487840777E-2</v>
      </c>
      <c r="Z1775" s="26"/>
    </row>
    <row r="1776" spans="1:26" x14ac:dyDescent="0.35">
      <c r="A1776" t="s">
        <v>122</v>
      </c>
      <c r="B1776" t="s">
        <v>122</v>
      </c>
      <c r="C1776" t="s">
        <v>123</v>
      </c>
      <c r="D1776" t="s">
        <v>101</v>
      </c>
      <c r="E1776" t="s">
        <v>99</v>
      </c>
      <c r="F1776" t="s">
        <v>12</v>
      </c>
      <c r="G1776">
        <v>1</v>
      </c>
      <c r="H1776">
        <v>132</v>
      </c>
      <c r="I1776">
        <v>0.91034482758620605</v>
      </c>
      <c r="J1776" s="25">
        <f t="shared" si="106"/>
        <v>0.91034482758620694</v>
      </c>
      <c r="K1776">
        <v>1340</v>
      </c>
      <c r="L1776">
        <v>17</v>
      </c>
      <c r="M1776">
        <v>1.25276344878408E-2</v>
      </c>
      <c r="N1776" s="25">
        <f t="shared" si="105"/>
        <v>1.2527634487840777E-2</v>
      </c>
      <c r="O1776">
        <v>0.987472365512159</v>
      </c>
      <c r="P1776" s="25">
        <f t="shared" si="107"/>
        <v>0.98747236551215922</v>
      </c>
      <c r="Q1776">
        <v>13</v>
      </c>
      <c r="R1776" t="s">
        <v>124</v>
      </c>
      <c r="S1776" t="s">
        <v>124</v>
      </c>
      <c r="T1776" t="s">
        <v>124</v>
      </c>
      <c r="U1776" t="s">
        <v>124</v>
      </c>
      <c r="X1776" s="19">
        <f t="shared" si="108"/>
        <v>0.91034482758620694</v>
      </c>
      <c r="Y1776" s="19">
        <f t="shared" si="109"/>
        <v>1.2527634487840777E-2</v>
      </c>
      <c r="Z1776" s="26"/>
    </row>
    <row r="1777" spans="1:26" x14ac:dyDescent="0.35">
      <c r="A1777" t="s">
        <v>122</v>
      </c>
      <c r="B1777" t="s">
        <v>122</v>
      </c>
      <c r="C1777" t="s">
        <v>123</v>
      </c>
      <c r="D1777" t="s">
        <v>101</v>
      </c>
      <c r="E1777" t="s">
        <v>99</v>
      </c>
      <c r="F1777" t="s">
        <v>12</v>
      </c>
      <c r="G1777">
        <v>1</v>
      </c>
      <c r="H1777">
        <v>132</v>
      </c>
      <c r="I1777">
        <v>0.91034482758620605</v>
      </c>
      <c r="J1777" s="25">
        <f t="shared" si="106"/>
        <v>0.91034482758620694</v>
      </c>
      <c r="K1777">
        <v>1340</v>
      </c>
      <c r="L1777">
        <v>17</v>
      </c>
      <c r="M1777">
        <v>1.25276344878408E-2</v>
      </c>
      <c r="N1777" s="25">
        <f t="shared" si="105"/>
        <v>1.2527634487840777E-2</v>
      </c>
      <c r="O1777">
        <v>0.987472365512159</v>
      </c>
      <c r="P1777" s="25">
        <f t="shared" si="107"/>
        <v>0.98747236551215922</v>
      </c>
      <c r="Q1777">
        <v>13</v>
      </c>
      <c r="R1777" t="s">
        <v>124</v>
      </c>
      <c r="S1777" t="s">
        <v>124</v>
      </c>
      <c r="T1777" t="s">
        <v>124</v>
      </c>
      <c r="U1777" t="s">
        <v>124</v>
      </c>
      <c r="X1777" s="19">
        <f t="shared" si="108"/>
        <v>0.91034482758620694</v>
      </c>
      <c r="Y1777" s="19">
        <f t="shared" si="109"/>
        <v>1.2527634487840777E-2</v>
      </c>
      <c r="Z1777" s="26"/>
    </row>
    <row r="1778" spans="1:26" x14ac:dyDescent="0.35">
      <c r="A1778" t="s">
        <v>122</v>
      </c>
      <c r="B1778" t="s">
        <v>122</v>
      </c>
      <c r="C1778" t="s">
        <v>123</v>
      </c>
      <c r="D1778" t="s">
        <v>101</v>
      </c>
      <c r="E1778" t="s">
        <v>99</v>
      </c>
      <c r="F1778" t="s">
        <v>12</v>
      </c>
      <c r="G1778">
        <v>1</v>
      </c>
      <c r="H1778">
        <v>132</v>
      </c>
      <c r="I1778">
        <v>0.91034482758620605</v>
      </c>
      <c r="J1778" s="25">
        <f t="shared" si="106"/>
        <v>0.91034482758620694</v>
      </c>
      <c r="K1778">
        <v>1340</v>
      </c>
      <c r="L1778">
        <v>17</v>
      </c>
      <c r="M1778">
        <v>1.25276344878408E-2</v>
      </c>
      <c r="N1778" s="25">
        <f t="shared" si="105"/>
        <v>1.2527634487840777E-2</v>
      </c>
      <c r="O1778">
        <v>0.987472365512159</v>
      </c>
      <c r="P1778" s="25">
        <f t="shared" si="107"/>
        <v>0.98747236551215922</v>
      </c>
      <c r="Q1778">
        <v>13</v>
      </c>
      <c r="R1778" t="s">
        <v>124</v>
      </c>
      <c r="S1778" t="s">
        <v>124</v>
      </c>
      <c r="T1778" t="s">
        <v>124</v>
      </c>
      <c r="U1778" t="s">
        <v>124</v>
      </c>
      <c r="X1778" s="19">
        <f t="shared" si="108"/>
        <v>0.91034482758620694</v>
      </c>
      <c r="Y1778" s="19">
        <f t="shared" si="109"/>
        <v>1.2527634487840777E-2</v>
      </c>
      <c r="Z1778" s="26"/>
    </row>
    <row r="1779" spans="1:26" x14ac:dyDescent="0.35">
      <c r="A1779" t="s">
        <v>122</v>
      </c>
      <c r="B1779" t="s">
        <v>122</v>
      </c>
      <c r="C1779" t="s">
        <v>123</v>
      </c>
      <c r="D1779" t="s">
        <v>101</v>
      </c>
      <c r="E1779" t="s">
        <v>99</v>
      </c>
      <c r="F1779" t="s">
        <v>12</v>
      </c>
      <c r="G1779">
        <v>1</v>
      </c>
      <c r="H1779">
        <v>132</v>
      </c>
      <c r="I1779">
        <v>0.91034482758620605</v>
      </c>
      <c r="J1779" s="25">
        <f t="shared" si="106"/>
        <v>0.91034482758620694</v>
      </c>
      <c r="K1779">
        <v>1340</v>
      </c>
      <c r="L1779">
        <v>17</v>
      </c>
      <c r="M1779">
        <v>1.25276344878408E-2</v>
      </c>
      <c r="N1779" s="25">
        <f t="shared" si="105"/>
        <v>1.2527634487840777E-2</v>
      </c>
      <c r="O1779">
        <v>0.987472365512159</v>
      </c>
      <c r="P1779" s="25">
        <f t="shared" si="107"/>
        <v>0.98747236551215922</v>
      </c>
      <c r="Q1779">
        <v>13</v>
      </c>
      <c r="R1779" t="s">
        <v>124</v>
      </c>
      <c r="S1779" t="s">
        <v>124</v>
      </c>
      <c r="T1779" t="s">
        <v>124</v>
      </c>
      <c r="U1779" t="s">
        <v>124</v>
      </c>
      <c r="X1779" s="19">
        <f t="shared" si="108"/>
        <v>0.91034482758620694</v>
      </c>
      <c r="Y1779" s="19">
        <f t="shared" si="109"/>
        <v>1.2527634487840777E-2</v>
      </c>
      <c r="Z1779" s="26"/>
    </row>
    <row r="1780" spans="1:26" x14ac:dyDescent="0.35">
      <c r="A1780" t="s">
        <v>122</v>
      </c>
      <c r="B1780" t="s">
        <v>122</v>
      </c>
      <c r="C1780" t="s">
        <v>123</v>
      </c>
      <c r="D1780" t="s">
        <v>101</v>
      </c>
      <c r="E1780" t="s">
        <v>99</v>
      </c>
      <c r="F1780" t="s">
        <v>12</v>
      </c>
      <c r="G1780">
        <v>1</v>
      </c>
      <c r="H1780">
        <v>132</v>
      </c>
      <c r="I1780">
        <v>0.91034482758620605</v>
      </c>
      <c r="J1780" s="25">
        <f t="shared" si="106"/>
        <v>0.91034482758620694</v>
      </c>
      <c r="K1780">
        <v>1340</v>
      </c>
      <c r="L1780">
        <v>17</v>
      </c>
      <c r="M1780">
        <v>1.25276344878408E-2</v>
      </c>
      <c r="N1780" s="25">
        <f t="shared" si="105"/>
        <v>1.2527634487840777E-2</v>
      </c>
      <c r="O1780">
        <v>0.987472365512159</v>
      </c>
      <c r="P1780" s="25">
        <f t="shared" si="107"/>
        <v>0.98747236551215922</v>
      </c>
      <c r="Q1780">
        <v>13</v>
      </c>
      <c r="R1780" t="s">
        <v>124</v>
      </c>
      <c r="S1780" t="s">
        <v>124</v>
      </c>
      <c r="T1780" t="s">
        <v>124</v>
      </c>
      <c r="U1780" t="s">
        <v>124</v>
      </c>
      <c r="X1780" s="19">
        <f t="shared" si="108"/>
        <v>0.91034482758620694</v>
      </c>
      <c r="Y1780" s="19">
        <f t="shared" si="109"/>
        <v>1.2527634487840777E-2</v>
      </c>
      <c r="Z1780" s="26"/>
    </row>
    <row r="1781" spans="1:26" x14ac:dyDescent="0.35">
      <c r="A1781" t="s">
        <v>122</v>
      </c>
      <c r="B1781" t="s">
        <v>122</v>
      </c>
      <c r="C1781" t="s">
        <v>123</v>
      </c>
      <c r="D1781" t="s">
        <v>101</v>
      </c>
      <c r="E1781" t="s">
        <v>99</v>
      </c>
      <c r="F1781" t="s">
        <v>12</v>
      </c>
      <c r="G1781">
        <v>1</v>
      </c>
      <c r="H1781">
        <v>132</v>
      </c>
      <c r="I1781">
        <v>0.91034482758620605</v>
      </c>
      <c r="J1781" s="25">
        <f t="shared" si="106"/>
        <v>0.91034482758620694</v>
      </c>
      <c r="K1781">
        <v>1340</v>
      </c>
      <c r="L1781">
        <v>17</v>
      </c>
      <c r="M1781">
        <v>1.25276344878408E-2</v>
      </c>
      <c r="N1781" s="25">
        <f t="shared" si="105"/>
        <v>1.2527634487840777E-2</v>
      </c>
      <c r="O1781">
        <v>0.987472365512159</v>
      </c>
      <c r="P1781" s="25">
        <f t="shared" si="107"/>
        <v>0.98747236551215922</v>
      </c>
      <c r="Q1781">
        <v>13</v>
      </c>
      <c r="R1781" t="s">
        <v>124</v>
      </c>
      <c r="S1781" t="s">
        <v>124</v>
      </c>
      <c r="T1781" t="s">
        <v>124</v>
      </c>
      <c r="U1781" t="s">
        <v>124</v>
      </c>
      <c r="X1781" s="19">
        <f t="shared" si="108"/>
        <v>0.91034482758620694</v>
      </c>
      <c r="Y1781" s="19">
        <f t="shared" si="109"/>
        <v>1.2527634487840777E-2</v>
      </c>
      <c r="Z1781" s="26"/>
    </row>
    <row r="1782" spans="1:26" x14ac:dyDescent="0.35">
      <c r="A1782" t="s">
        <v>122</v>
      </c>
      <c r="B1782" t="s">
        <v>122</v>
      </c>
      <c r="C1782" t="s">
        <v>123</v>
      </c>
      <c r="D1782" t="s">
        <v>101</v>
      </c>
      <c r="E1782" t="s">
        <v>99</v>
      </c>
      <c r="F1782" t="s">
        <v>12</v>
      </c>
      <c r="G1782">
        <v>1</v>
      </c>
      <c r="H1782">
        <v>132</v>
      </c>
      <c r="I1782">
        <v>0.91034482758620605</v>
      </c>
      <c r="J1782" s="25">
        <f t="shared" si="106"/>
        <v>0.91034482758620694</v>
      </c>
      <c r="K1782">
        <v>1340</v>
      </c>
      <c r="L1782">
        <v>17</v>
      </c>
      <c r="M1782">
        <v>1.25276344878408E-2</v>
      </c>
      <c r="N1782" s="25">
        <f t="shared" si="105"/>
        <v>1.2527634487840777E-2</v>
      </c>
      <c r="O1782">
        <v>0.987472365512159</v>
      </c>
      <c r="P1782" s="25">
        <f t="shared" si="107"/>
        <v>0.98747236551215922</v>
      </c>
      <c r="Q1782">
        <v>13</v>
      </c>
      <c r="R1782" t="s">
        <v>124</v>
      </c>
      <c r="S1782" t="s">
        <v>124</v>
      </c>
      <c r="T1782" t="s">
        <v>124</v>
      </c>
      <c r="U1782" t="s">
        <v>124</v>
      </c>
      <c r="X1782" s="19">
        <f t="shared" si="108"/>
        <v>0.91034482758620694</v>
      </c>
      <c r="Y1782" s="19">
        <f t="shared" si="109"/>
        <v>1.2527634487840777E-2</v>
      </c>
      <c r="Z1782" s="26"/>
    </row>
    <row r="1783" spans="1:26" x14ac:dyDescent="0.35">
      <c r="A1783" t="s">
        <v>122</v>
      </c>
      <c r="B1783" t="s">
        <v>122</v>
      </c>
      <c r="C1783" t="s">
        <v>123</v>
      </c>
      <c r="D1783" t="s">
        <v>101</v>
      </c>
      <c r="E1783" t="s">
        <v>99</v>
      </c>
      <c r="F1783" t="s">
        <v>12</v>
      </c>
      <c r="G1783">
        <v>1</v>
      </c>
      <c r="H1783">
        <v>132</v>
      </c>
      <c r="I1783">
        <v>0.91034482758620605</v>
      </c>
      <c r="J1783" s="25">
        <f t="shared" si="106"/>
        <v>0.91034482758620694</v>
      </c>
      <c r="K1783">
        <v>1340</v>
      </c>
      <c r="L1783">
        <v>17</v>
      </c>
      <c r="M1783">
        <v>1.25276344878408E-2</v>
      </c>
      <c r="N1783" s="25">
        <f t="shared" si="105"/>
        <v>1.2527634487840777E-2</v>
      </c>
      <c r="O1783">
        <v>0.987472365512159</v>
      </c>
      <c r="P1783" s="25">
        <f t="shared" si="107"/>
        <v>0.98747236551215922</v>
      </c>
      <c r="Q1783">
        <v>13</v>
      </c>
      <c r="R1783" t="s">
        <v>124</v>
      </c>
      <c r="S1783" t="s">
        <v>124</v>
      </c>
      <c r="T1783" t="s">
        <v>124</v>
      </c>
      <c r="U1783" t="s">
        <v>124</v>
      </c>
      <c r="X1783" s="19">
        <f t="shared" si="108"/>
        <v>0.91034482758620694</v>
      </c>
      <c r="Y1783" s="19">
        <f t="shared" si="109"/>
        <v>1.2527634487840777E-2</v>
      </c>
      <c r="Z1783" s="26"/>
    </row>
    <row r="1784" spans="1:26" x14ac:dyDescent="0.35">
      <c r="A1784" t="s">
        <v>122</v>
      </c>
      <c r="B1784" t="s">
        <v>122</v>
      </c>
      <c r="C1784" t="s">
        <v>123</v>
      </c>
      <c r="D1784" t="s">
        <v>101</v>
      </c>
      <c r="E1784" t="s">
        <v>99</v>
      </c>
      <c r="F1784" t="s">
        <v>12</v>
      </c>
      <c r="G1784">
        <v>1</v>
      </c>
      <c r="H1784">
        <v>132</v>
      </c>
      <c r="I1784">
        <v>0.91034482758620605</v>
      </c>
      <c r="J1784" s="25">
        <f t="shared" si="106"/>
        <v>0.91034482758620694</v>
      </c>
      <c r="K1784">
        <v>1340</v>
      </c>
      <c r="L1784">
        <v>17</v>
      </c>
      <c r="M1784">
        <v>1.25276344878408E-2</v>
      </c>
      <c r="N1784" s="25">
        <f t="shared" si="105"/>
        <v>1.2527634487840777E-2</v>
      </c>
      <c r="O1784">
        <v>0.987472365512159</v>
      </c>
      <c r="P1784" s="25">
        <f t="shared" si="107"/>
        <v>0.98747236551215922</v>
      </c>
      <c r="Q1784">
        <v>13</v>
      </c>
      <c r="R1784" t="s">
        <v>124</v>
      </c>
      <c r="S1784" t="s">
        <v>124</v>
      </c>
      <c r="T1784" t="s">
        <v>124</v>
      </c>
      <c r="U1784" t="s">
        <v>124</v>
      </c>
      <c r="X1784" s="19">
        <f t="shared" si="108"/>
        <v>0.91034482758620694</v>
      </c>
      <c r="Y1784" s="19">
        <f t="shared" si="109"/>
        <v>1.2527634487840777E-2</v>
      </c>
      <c r="Z1784" s="26"/>
    </row>
    <row r="1785" spans="1:26" x14ac:dyDescent="0.35">
      <c r="A1785" t="s">
        <v>122</v>
      </c>
      <c r="B1785" t="s">
        <v>122</v>
      </c>
      <c r="C1785" t="s">
        <v>123</v>
      </c>
      <c r="D1785" t="s">
        <v>101</v>
      </c>
      <c r="E1785" t="s">
        <v>99</v>
      </c>
      <c r="F1785" t="s">
        <v>12</v>
      </c>
      <c r="G1785">
        <v>1</v>
      </c>
      <c r="H1785">
        <v>132</v>
      </c>
      <c r="I1785">
        <v>0.91034482758620605</v>
      </c>
      <c r="J1785" s="25">
        <f t="shared" si="106"/>
        <v>0.91034482758620694</v>
      </c>
      <c r="K1785">
        <v>1340</v>
      </c>
      <c r="L1785">
        <v>17</v>
      </c>
      <c r="M1785">
        <v>1.25276344878408E-2</v>
      </c>
      <c r="N1785" s="25">
        <f t="shared" si="105"/>
        <v>1.2527634487840777E-2</v>
      </c>
      <c r="O1785">
        <v>0.987472365512159</v>
      </c>
      <c r="P1785" s="25">
        <f t="shared" si="107"/>
        <v>0.98747236551215922</v>
      </c>
      <c r="Q1785">
        <v>13</v>
      </c>
      <c r="R1785" t="s">
        <v>124</v>
      </c>
      <c r="S1785" t="s">
        <v>124</v>
      </c>
      <c r="T1785" t="s">
        <v>124</v>
      </c>
      <c r="U1785" t="s">
        <v>124</v>
      </c>
      <c r="X1785" s="19">
        <f t="shared" si="108"/>
        <v>0.91034482758620694</v>
      </c>
      <c r="Y1785" s="19">
        <f t="shared" si="109"/>
        <v>1.2527634487840777E-2</v>
      </c>
      <c r="Z1785" s="26"/>
    </row>
    <row r="1786" spans="1:26" x14ac:dyDescent="0.35">
      <c r="A1786" t="s">
        <v>122</v>
      </c>
      <c r="B1786" t="s">
        <v>122</v>
      </c>
      <c r="C1786" t="s">
        <v>123</v>
      </c>
      <c r="D1786" t="s">
        <v>101</v>
      </c>
      <c r="E1786" t="s">
        <v>99</v>
      </c>
      <c r="F1786" t="s">
        <v>12</v>
      </c>
      <c r="G1786">
        <v>1</v>
      </c>
      <c r="H1786">
        <v>132</v>
      </c>
      <c r="I1786">
        <v>0.91034482758620605</v>
      </c>
      <c r="J1786" s="25">
        <f t="shared" si="106"/>
        <v>0.91034482758620694</v>
      </c>
      <c r="K1786">
        <v>1340</v>
      </c>
      <c r="L1786">
        <v>17</v>
      </c>
      <c r="M1786">
        <v>1.25276344878408E-2</v>
      </c>
      <c r="N1786" s="25">
        <f t="shared" si="105"/>
        <v>1.2527634487840777E-2</v>
      </c>
      <c r="O1786">
        <v>0.987472365512159</v>
      </c>
      <c r="P1786" s="25">
        <f t="shared" si="107"/>
        <v>0.98747236551215922</v>
      </c>
      <c r="Q1786">
        <v>13</v>
      </c>
      <c r="R1786" t="s">
        <v>124</v>
      </c>
      <c r="S1786" t="s">
        <v>124</v>
      </c>
      <c r="T1786" t="s">
        <v>124</v>
      </c>
      <c r="U1786" t="s">
        <v>124</v>
      </c>
      <c r="X1786" s="19">
        <f t="shared" si="108"/>
        <v>0.91034482758620694</v>
      </c>
      <c r="Y1786" s="19">
        <f t="shared" si="109"/>
        <v>1.2527634487840777E-2</v>
      </c>
      <c r="Z1786" s="26"/>
    </row>
    <row r="1787" spans="1:26" x14ac:dyDescent="0.35">
      <c r="A1787" t="s">
        <v>122</v>
      </c>
      <c r="B1787" t="s">
        <v>122</v>
      </c>
      <c r="C1787" t="s">
        <v>123</v>
      </c>
      <c r="D1787" t="s">
        <v>101</v>
      </c>
      <c r="E1787" t="s">
        <v>99</v>
      </c>
      <c r="F1787" t="s">
        <v>12</v>
      </c>
      <c r="G1787">
        <v>1</v>
      </c>
      <c r="H1787">
        <v>132</v>
      </c>
      <c r="I1787">
        <v>0.91034482758620605</v>
      </c>
      <c r="J1787" s="25">
        <f t="shared" si="106"/>
        <v>0.91034482758620694</v>
      </c>
      <c r="K1787">
        <v>1340</v>
      </c>
      <c r="L1787">
        <v>17</v>
      </c>
      <c r="M1787">
        <v>1.25276344878408E-2</v>
      </c>
      <c r="N1787" s="25">
        <f t="shared" si="105"/>
        <v>1.2527634487840777E-2</v>
      </c>
      <c r="O1787">
        <v>0.987472365512159</v>
      </c>
      <c r="P1787" s="25">
        <f t="shared" si="107"/>
        <v>0.98747236551215922</v>
      </c>
      <c r="Q1787">
        <v>13</v>
      </c>
      <c r="R1787" t="s">
        <v>124</v>
      </c>
      <c r="S1787" t="s">
        <v>124</v>
      </c>
      <c r="T1787" t="s">
        <v>124</v>
      </c>
      <c r="U1787" t="s">
        <v>124</v>
      </c>
      <c r="X1787" s="19">
        <f t="shared" si="108"/>
        <v>0.91034482758620694</v>
      </c>
      <c r="Y1787" s="19">
        <f t="shared" si="109"/>
        <v>1.2527634487840777E-2</v>
      </c>
      <c r="Z1787" s="26"/>
    </row>
    <row r="1788" spans="1:26" x14ac:dyDescent="0.35">
      <c r="A1788" t="s">
        <v>122</v>
      </c>
      <c r="B1788" t="s">
        <v>122</v>
      </c>
      <c r="C1788" t="s">
        <v>123</v>
      </c>
      <c r="D1788" t="s">
        <v>101</v>
      </c>
      <c r="E1788" t="s">
        <v>99</v>
      </c>
      <c r="F1788" t="s">
        <v>12</v>
      </c>
      <c r="G1788">
        <v>1</v>
      </c>
      <c r="H1788">
        <v>132</v>
      </c>
      <c r="I1788">
        <v>0.91034482758620605</v>
      </c>
      <c r="J1788" s="25">
        <f t="shared" si="106"/>
        <v>0.91034482758620694</v>
      </c>
      <c r="K1788">
        <v>1340</v>
      </c>
      <c r="L1788">
        <v>17</v>
      </c>
      <c r="M1788">
        <v>1.25276344878408E-2</v>
      </c>
      <c r="N1788" s="25">
        <f t="shared" si="105"/>
        <v>1.2527634487840777E-2</v>
      </c>
      <c r="O1788">
        <v>0.987472365512159</v>
      </c>
      <c r="P1788" s="25">
        <f t="shared" si="107"/>
        <v>0.98747236551215922</v>
      </c>
      <c r="Q1788">
        <v>13</v>
      </c>
      <c r="R1788" t="s">
        <v>124</v>
      </c>
      <c r="S1788" t="s">
        <v>124</v>
      </c>
      <c r="T1788" t="s">
        <v>124</v>
      </c>
      <c r="U1788" t="s">
        <v>124</v>
      </c>
      <c r="X1788" s="19">
        <f t="shared" si="108"/>
        <v>0.91034482758620694</v>
      </c>
      <c r="Y1788" s="19">
        <f t="shared" si="109"/>
        <v>1.2527634487840777E-2</v>
      </c>
      <c r="Z1788" s="26"/>
    </row>
    <row r="1789" spans="1:26" x14ac:dyDescent="0.35">
      <c r="A1789" t="s">
        <v>122</v>
      </c>
      <c r="B1789" t="s">
        <v>122</v>
      </c>
      <c r="C1789" t="s">
        <v>123</v>
      </c>
      <c r="D1789" t="s">
        <v>101</v>
      </c>
      <c r="E1789" t="s">
        <v>99</v>
      </c>
      <c r="F1789" t="s">
        <v>12</v>
      </c>
      <c r="G1789">
        <v>1</v>
      </c>
      <c r="H1789">
        <v>132</v>
      </c>
      <c r="I1789">
        <v>0.91034482758620605</v>
      </c>
      <c r="J1789" s="25">
        <f t="shared" si="106"/>
        <v>0.91034482758620694</v>
      </c>
      <c r="K1789">
        <v>1340</v>
      </c>
      <c r="L1789">
        <v>17</v>
      </c>
      <c r="M1789">
        <v>1.25276344878408E-2</v>
      </c>
      <c r="N1789" s="25">
        <f t="shared" si="105"/>
        <v>1.2527634487840777E-2</v>
      </c>
      <c r="O1789">
        <v>0.987472365512159</v>
      </c>
      <c r="P1789" s="25">
        <f t="shared" si="107"/>
        <v>0.98747236551215922</v>
      </c>
      <c r="Q1789">
        <v>13</v>
      </c>
      <c r="R1789" t="s">
        <v>124</v>
      </c>
      <c r="S1789" t="s">
        <v>124</v>
      </c>
      <c r="T1789" t="s">
        <v>124</v>
      </c>
      <c r="U1789" t="s">
        <v>124</v>
      </c>
      <c r="X1789" s="19">
        <f t="shared" si="108"/>
        <v>0.91034482758620694</v>
      </c>
      <c r="Y1789" s="19">
        <f t="shared" si="109"/>
        <v>1.2527634487840777E-2</v>
      </c>
      <c r="Z1789" s="26"/>
    </row>
    <row r="1790" spans="1:26" x14ac:dyDescent="0.35">
      <c r="A1790" t="s">
        <v>122</v>
      </c>
      <c r="B1790" t="s">
        <v>122</v>
      </c>
      <c r="C1790" t="s">
        <v>123</v>
      </c>
      <c r="D1790" t="s">
        <v>101</v>
      </c>
      <c r="E1790" t="s">
        <v>99</v>
      </c>
      <c r="F1790" t="s">
        <v>12</v>
      </c>
      <c r="G1790">
        <v>1</v>
      </c>
      <c r="H1790">
        <v>132</v>
      </c>
      <c r="I1790">
        <v>0.91034482758620605</v>
      </c>
      <c r="J1790" s="25">
        <f t="shared" si="106"/>
        <v>0.91034482758620694</v>
      </c>
      <c r="K1790">
        <v>1340</v>
      </c>
      <c r="L1790">
        <v>17</v>
      </c>
      <c r="M1790">
        <v>1.25276344878408E-2</v>
      </c>
      <c r="N1790" s="25">
        <f t="shared" si="105"/>
        <v>1.2527634487840777E-2</v>
      </c>
      <c r="O1790">
        <v>0.987472365512159</v>
      </c>
      <c r="P1790" s="25">
        <f t="shared" si="107"/>
        <v>0.98747236551215922</v>
      </c>
      <c r="Q1790">
        <v>13</v>
      </c>
      <c r="R1790" t="s">
        <v>124</v>
      </c>
      <c r="S1790" t="s">
        <v>124</v>
      </c>
      <c r="T1790" t="s">
        <v>124</v>
      </c>
      <c r="U1790" t="s">
        <v>124</v>
      </c>
      <c r="X1790" s="19">
        <f t="shared" si="108"/>
        <v>0.91034482758620694</v>
      </c>
      <c r="Y1790" s="19">
        <f t="shared" si="109"/>
        <v>1.2527634487840777E-2</v>
      </c>
      <c r="Z1790" s="26"/>
    </row>
    <row r="1791" spans="1:26" x14ac:dyDescent="0.35">
      <c r="A1791" t="s">
        <v>122</v>
      </c>
      <c r="B1791" t="s">
        <v>122</v>
      </c>
      <c r="C1791" t="s">
        <v>123</v>
      </c>
      <c r="D1791" t="s">
        <v>101</v>
      </c>
      <c r="E1791" t="s">
        <v>99</v>
      </c>
      <c r="F1791" t="s">
        <v>12</v>
      </c>
      <c r="G1791">
        <v>1</v>
      </c>
      <c r="H1791">
        <v>132</v>
      </c>
      <c r="I1791">
        <v>0.91034482758620605</v>
      </c>
      <c r="J1791" s="25">
        <f t="shared" si="106"/>
        <v>0.91034482758620694</v>
      </c>
      <c r="K1791">
        <v>1340</v>
      </c>
      <c r="L1791">
        <v>17</v>
      </c>
      <c r="M1791">
        <v>1.25276344878408E-2</v>
      </c>
      <c r="N1791" s="25">
        <f t="shared" si="105"/>
        <v>1.2527634487840777E-2</v>
      </c>
      <c r="O1791">
        <v>0.987472365512159</v>
      </c>
      <c r="P1791" s="25">
        <f t="shared" si="107"/>
        <v>0.98747236551215922</v>
      </c>
      <c r="Q1791">
        <v>13</v>
      </c>
      <c r="R1791" t="s">
        <v>124</v>
      </c>
      <c r="S1791" t="s">
        <v>124</v>
      </c>
      <c r="T1791" t="s">
        <v>124</v>
      </c>
      <c r="U1791" t="s">
        <v>124</v>
      </c>
      <c r="X1791" s="19">
        <f t="shared" si="108"/>
        <v>0.91034482758620694</v>
      </c>
      <c r="Y1791" s="19">
        <f t="shared" si="109"/>
        <v>1.2527634487840777E-2</v>
      </c>
      <c r="Z1791" s="26"/>
    </row>
    <row r="1792" spans="1:26" x14ac:dyDescent="0.35">
      <c r="A1792" t="s">
        <v>122</v>
      </c>
      <c r="B1792" t="s">
        <v>122</v>
      </c>
      <c r="C1792" t="s">
        <v>123</v>
      </c>
      <c r="D1792" t="s">
        <v>101</v>
      </c>
      <c r="E1792" t="s">
        <v>99</v>
      </c>
      <c r="F1792" t="s">
        <v>12</v>
      </c>
      <c r="G1792">
        <v>1</v>
      </c>
      <c r="H1792">
        <v>132</v>
      </c>
      <c r="I1792">
        <v>0.91034482758620605</v>
      </c>
      <c r="J1792" s="25">
        <f t="shared" si="106"/>
        <v>0.91034482758620694</v>
      </c>
      <c r="K1792">
        <v>1340</v>
      </c>
      <c r="L1792">
        <v>17</v>
      </c>
      <c r="M1792">
        <v>1.25276344878408E-2</v>
      </c>
      <c r="N1792" s="25">
        <f t="shared" si="105"/>
        <v>1.2527634487840777E-2</v>
      </c>
      <c r="O1792">
        <v>0.987472365512159</v>
      </c>
      <c r="P1792" s="25">
        <f t="shared" si="107"/>
        <v>0.98747236551215922</v>
      </c>
      <c r="Q1792">
        <v>13</v>
      </c>
      <c r="R1792" t="s">
        <v>124</v>
      </c>
      <c r="S1792" t="s">
        <v>124</v>
      </c>
      <c r="T1792" t="s">
        <v>124</v>
      </c>
      <c r="U1792" t="s">
        <v>124</v>
      </c>
      <c r="X1792" s="19">
        <f t="shared" si="108"/>
        <v>0.91034482758620694</v>
      </c>
      <c r="Y1792" s="19">
        <f t="shared" si="109"/>
        <v>1.2527634487840777E-2</v>
      </c>
      <c r="Z1792" s="26"/>
    </row>
    <row r="1793" spans="1:26" x14ac:dyDescent="0.35">
      <c r="A1793" t="s">
        <v>122</v>
      </c>
      <c r="B1793" t="s">
        <v>122</v>
      </c>
      <c r="C1793" t="s">
        <v>123</v>
      </c>
      <c r="D1793" t="s">
        <v>101</v>
      </c>
      <c r="E1793" t="s">
        <v>99</v>
      </c>
      <c r="F1793" t="s">
        <v>12</v>
      </c>
      <c r="G1793">
        <v>1</v>
      </c>
      <c r="H1793">
        <v>132</v>
      </c>
      <c r="I1793">
        <v>0.91034482758620605</v>
      </c>
      <c r="J1793" s="25">
        <f t="shared" si="106"/>
        <v>0.91034482758620694</v>
      </c>
      <c r="K1793">
        <v>1340</v>
      </c>
      <c r="L1793">
        <v>17</v>
      </c>
      <c r="M1793">
        <v>1.25276344878408E-2</v>
      </c>
      <c r="N1793" s="25">
        <f t="shared" si="105"/>
        <v>1.2527634487840777E-2</v>
      </c>
      <c r="O1793">
        <v>0.987472365512159</v>
      </c>
      <c r="P1793" s="25">
        <f t="shared" si="107"/>
        <v>0.98747236551215922</v>
      </c>
      <c r="Q1793">
        <v>13</v>
      </c>
      <c r="R1793" t="s">
        <v>124</v>
      </c>
      <c r="S1793" t="s">
        <v>124</v>
      </c>
      <c r="T1793" t="s">
        <v>124</v>
      </c>
      <c r="U1793" t="s">
        <v>124</v>
      </c>
      <c r="X1793" s="19">
        <f t="shared" si="108"/>
        <v>0.91034482758620694</v>
      </c>
      <c r="Y1793" s="19">
        <f t="shared" si="109"/>
        <v>1.2527634487840777E-2</v>
      </c>
      <c r="Z1793" s="26"/>
    </row>
    <row r="1794" spans="1:26" x14ac:dyDescent="0.35">
      <c r="A1794" t="s">
        <v>122</v>
      </c>
      <c r="B1794" t="s">
        <v>122</v>
      </c>
      <c r="C1794" t="s">
        <v>123</v>
      </c>
      <c r="D1794" t="s">
        <v>101</v>
      </c>
      <c r="E1794" t="s">
        <v>99</v>
      </c>
      <c r="F1794" t="s">
        <v>12</v>
      </c>
      <c r="G1794">
        <v>1</v>
      </c>
      <c r="H1794">
        <v>132</v>
      </c>
      <c r="I1794">
        <v>0.91034482758620605</v>
      </c>
      <c r="J1794" s="25">
        <f t="shared" si="106"/>
        <v>0.91034482758620694</v>
      </c>
      <c r="K1794">
        <v>1340</v>
      </c>
      <c r="L1794">
        <v>17</v>
      </c>
      <c r="M1794">
        <v>1.25276344878408E-2</v>
      </c>
      <c r="N1794" s="25">
        <f t="shared" ref="N1794:N1857" si="110">1-P1794</f>
        <v>1.2527634487840777E-2</v>
      </c>
      <c r="O1794">
        <v>0.987472365512159</v>
      </c>
      <c r="P1794" s="25">
        <f t="shared" si="107"/>
        <v>0.98747236551215922</v>
      </c>
      <c r="Q1794">
        <v>13</v>
      </c>
      <c r="R1794" t="s">
        <v>124</v>
      </c>
      <c r="S1794" t="s">
        <v>124</v>
      </c>
      <c r="T1794" t="s">
        <v>124</v>
      </c>
      <c r="U1794" t="s">
        <v>124</v>
      </c>
      <c r="X1794" s="19">
        <f t="shared" si="108"/>
        <v>0.91034482758620694</v>
      </c>
      <c r="Y1794" s="19">
        <f t="shared" si="109"/>
        <v>1.2527634487840777E-2</v>
      </c>
      <c r="Z1794" s="26"/>
    </row>
    <row r="1795" spans="1:26" x14ac:dyDescent="0.35">
      <c r="A1795" t="s">
        <v>122</v>
      </c>
      <c r="B1795" t="s">
        <v>122</v>
      </c>
      <c r="C1795" t="s">
        <v>123</v>
      </c>
      <c r="D1795" t="s">
        <v>101</v>
      </c>
      <c r="E1795" t="s">
        <v>99</v>
      </c>
      <c r="F1795" t="s">
        <v>12</v>
      </c>
      <c r="G1795">
        <v>1</v>
      </c>
      <c r="H1795">
        <v>132</v>
      </c>
      <c r="I1795">
        <v>0.91034482758620605</v>
      </c>
      <c r="J1795" s="25">
        <f t="shared" ref="J1795:J1858" si="111">H1795/(H1795+Q1795)</f>
        <v>0.91034482758620694</v>
      </c>
      <c r="K1795">
        <v>1340</v>
      </c>
      <c r="L1795">
        <v>17</v>
      </c>
      <c r="M1795">
        <v>1.25276344878408E-2</v>
      </c>
      <c r="N1795" s="25">
        <f t="shared" si="110"/>
        <v>1.2527634487840777E-2</v>
      </c>
      <c r="O1795">
        <v>0.987472365512159</v>
      </c>
      <c r="P1795" s="25">
        <f t="shared" ref="P1795:P1858" si="112">K1795/(K1795+L1795)</f>
        <v>0.98747236551215922</v>
      </c>
      <c r="Q1795">
        <v>13</v>
      </c>
      <c r="R1795" t="s">
        <v>124</v>
      </c>
      <c r="S1795" t="s">
        <v>124</v>
      </c>
      <c r="T1795" t="s">
        <v>124</v>
      </c>
      <c r="U1795" t="s">
        <v>124</v>
      </c>
      <c r="X1795" s="19">
        <f t="shared" si="108"/>
        <v>0.91034482758620694</v>
      </c>
      <c r="Y1795" s="19">
        <f t="shared" si="109"/>
        <v>1.2527634487840777E-2</v>
      </c>
      <c r="Z1795" s="26"/>
    </row>
    <row r="1796" spans="1:26" x14ac:dyDescent="0.35">
      <c r="A1796" t="s">
        <v>122</v>
      </c>
      <c r="B1796" t="s">
        <v>122</v>
      </c>
      <c r="C1796" t="s">
        <v>123</v>
      </c>
      <c r="D1796" t="s">
        <v>101</v>
      </c>
      <c r="E1796" t="s">
        <v>99</v>
      </c>
      <c r="F1796" t="s">
        <v>12</v>
      </c>
      <c r="G1796">
        <v>1</v>
      </c>
      <c r="H1796">
        <v>132</v>
      </c>
      <c r="I1796">
        <v>0.91034482758620605</v>
      </c>
      <c r="J1796" s="25">
        <f t="shared" si="111"/>
        <v>0.91034482758620694</v>
      </c>
      <c r="K1796">
        <v>1340</v>
      </c>
      <c r="L1796">
        <v>17</v>
      </c>
      <c r="M1796">
        <v>1.25276344878408E-2</v>
      </c>
      <c r="N1796" s="25">
        <f t="shared" si="110"/>
        <v>1.2527634487840777E-2</v>
      </c>
      <c r="O1796">
        <v>0.987472365512159</v>
      </c>
      <c r="P1796" s="25">
        <f t="shared" si="112"/>
        <v>0.98747236551215922</v>
      </c>
      <c r="Q1796">
        <v>13</v>
      </c>
      <c r="R1796" t="s">
        <v>124</v>
      </c>
      <c r="S1796" t="s">
        <v>124</v>
      </c>
      <c r="T1796" t="s">
        <v>124</v>
      </c>
      <c r="U1796" t="s">
        <v>124</v>
      </c>
      <c r="X1796" s="19">
        <f t="shared" si="108"/>
        <v>0.91034482758620694</v>
      </c>
      <c r="Y1796" s="19">
        <f t="shared" si="109"/>
        <v>1.2527634487840777E-2</v>
      </c>
      <c r="Z1796" s="26"/>
    </row>
    <row r="1797" spans="1:26" x14ac:dyDescent="0.35">
      <c r="A1797" t="s">
        <v>122</v>
      </c>
      <c r="B1797" t="s">
        <v>122</v>
      </c>
      <c r="C1797" t="s">
        <v>123</v>
      </c>
      <c r="D1797" t="s">
        <v>101</v>
      </c>
      <c r="E1797" t="s">
        <v>99</v>
      </c>
      <c r="F1797" t="s">
        <v>12</v>
      </c>
      <c r="G1797">
        <v>1</v>
      </c>
      <c r="H1797">
        <v>132</v>
      </c>
      <c r="I1797">
        <v>0.91034482758620605</v>
      </c>
      <c r="J1797" s="25">
        <f t="shared" si="111"/>
        <v>0.91034482758620694</v>
      </c>
      <c r="K1797">
        <v>1340</v>
      </c>
      <c r="L1797">
        <v>17</v>
      </c>
      <c r="M1797">
        <v>1.25276344878408E-2</v>
      </c>
      <c r="N1797" s="25">
        <f t="shared" si="110"/>
        <v>1.2527634487840777E-2</v>
      </c>
      <c r="O1797">
        <v>0.987472365512159</v>
      </c>
      <c r="P1797" s="25">
        <f t="shared" si="112"/>
        <v>0.98747236551215922</v>
      </c>
      <c r="Q1797">
        <v>13</v>
      </c>
      <c r="R1797" t="s">
        <v>124</v>
      </c>
      <c r="S1797" t="s">
        <v>124</v>
      </c>
      <c r="T1797" t="s">
        <v>124</v>
      </c>
      <c r="U1797" t="s">
        <v>124</v>
      </c>
      <c r="X1797" s="19">
        <f t="shared" si="108"/>
        <v>0.91034482758620694</v>
      </c>
      <c r="Y1797" s="19">
        <f t="shared" si="109"/>
        <v>1.2527634487840777E-2</v>
      </c>
      <c r="Z1797" s="26"/>
    </row>
    <row r="1798" spans="1:26" x14ac:dyDescent="0.35">
      <c r="A1798" t="s">
        <v>122</v>
      </c>
      <c r="B1798" t="s">
        <v>122</v>
      </c>
      <c r="C1798" t="s">
        <v>123</v>
      </c>
      <c r="D1798" t="s">
        <v>101</v>
      </c>
      <c r="E1798" t="s">
        <v>99</v>
      </c>
      <c r="F1798" t="s">
        <v>12</v>
      </c>
      <c r="G1798">
        <v>1</v>
      </c>
      <c r="H1798">
        <v>132</v>
      </c>
      <c r="I1798">
        <v>0.91034482758620605</v>
      </c>
      <c r="J1798" s="25">
        <f t="shared" si="111"/>
        <v>0.91034482758620694</v>
      </c>
      <c r="K1798">
        <v>1340</v>
      </c>
      <c r="L1798">
        <v>17</v>
      </c>
      <c r="M1798">
        <v>1.25276344878408E-2</v>
      </c>
      <c r="N1798" s="25">
        <f t="shared" si="110"/>
        <v>1.2527634487840777E-2</v>
      </c>
      <c r="O1798">
        <v>0.987472365512159</v>
      </c>
      <c r="P1798" s="25">
        <f t="shared" si="112"/>
        <v>0.98747236551215922</v>
      </c>
      <c r="Q1798">
        <v>13</v>
      </c>
      <c r="R1798" t="s">
        <v>124</v>
      </c>
      <c r="S1798" t="s">
        <v>124</v>
      </c>
      <c r="T1798" t="s">
        <v>124</v>
      </c>
      <c r="U1798" t="s">
        <v>124</v>
      </c>
      <c r="X1798" s="19">
        <f t="shared" si="108"/>
        <v>0.91034482758620694</v>
      </c>
      <c r="Y1798" s="19">
        <f t="shared" si="109"/>
        <v>1.2527634487840777E-2</v>
      </c>
      <c r="Z1798" s="26"/>
    </row>
    <row r="1799" spans="1:26" x14ac:dyDescent="0.35">
      <c r="A1799" t="s">
        <v>122</v>
      </c>
      <c r="B1799" t="s">
        <v>122</v>
      </c>
      <c r="C1799" t="s">
        <v>123</v>
      </c>
      <c r="D1799" t="s">
        <v>101</v>
      </c>
      <c r="E1799" t="s">
        <v>99</v>
      </c>
      <c r="F1799" t="s">
        <v>12</v>
      </c>
      <c r="G1799">
        <v>1</v>
      </c>
      <c r="H1799">
        <v>132</v>
      </c>
      <c r="I1799">
        <v>0.91034482758620605</v>
      </c>
      <c r="J1799" s="25">
        <f t="shared" si="111"/>
        <v>0.91034482758620694</v>
      </c>
      <c r="K1799">
        <v>1340</v>
      </c>
      <c r="L1799">
        <v>17</v>
      </c>
      <c r="M1799">
        <v>1.25276344878408E-2</v>
      </c>
      <c r="N1799" s="25">
        <f t="shared" si="110"/>
        <v>1.2527634487840777E-2</v>
      </c>
      <c r="O1799">
        <v>0.987472365512159</v>
      </c>
      <c r="P1799" s="25">
        <f t="shared" si="112"/>
        <v>0.98747236551215922</v>
      </c>
      <c r="Q1799">
        <v>13</v>
      </c>
      <c r="R1799" t="s">
        <v>124</v>
      </c>
      <c r="S1799" t="s">
        <v>124</v>
      </c>
      <c r="T1799" t="s">
        <v>124</v>
      </c>
      <c r="U1799" t="s">
        <v>124</v>
      </c>
      <c r="X1799" s="19">
        <f t="shared" si="108"/>
        <v>0.91034482758620694</v>
      </c>
      <c r="Y1799" s="19">
        <f t="shared" si="109"/>
        <v>1.2527634487840777E-2</v>
      </c>
      <c r="Z1799" s="26"/>
    </row>
    <row r="1800" spans="1:26" x14ac:dyDescent="0.35">
      <c r="A1800" t="s">
        <v>122</v>
      </c>
      <c r="B1800" t="s">
        <v>122</v>
      </c>
      <c r="C1800" t="s">
        <v>123</v>
      </c>
      <c r="D1800" t="s">
        <v>101</v>
      </c>
      <c r="E1800" t="s">
        <v>99</v>
      </c>
      <c r="F1800" t="s">
        <v>12</v>
      </c>
      <c r="G1800">
        <v>1</v>
      </c>
      <c r="H1800">
        <v>132</v>
      </c>
      <c r="I1800">
        <v>0.91034482758620605</v>
      </c>
      <c r="J1800" s="25">
        <f t="shared" si="111"/>
        <v>0.91034482758620694</v>
      </c>
      <c r="K1800">
        <v>1340</v>
      </c>
      <c r="L1800">
        <v>17</v>
      </c>
      <c r="M1800">
        <v>1.25276344878408E-2</v>
      </c>
      <c r="N1800" s="25">
        <f t="shared" si="110"/>
        <v>1.2527634487840777E-2</v>
      </c>
      <c r="O1800">
        <v>0.987472365512159</v>
      </c>
      <c r="P1800" s="25">
        <f t="shared" si="112"/>
        <v>0.98747236551215922</v>
      </c>
      <c r="Q1800">
        <v>13</v>
      </c>
      <c r="R1800" t="s">
        <v>124</v>
      </c>
      <c r="S1800" t="s">
        <v>124</v>
      </c>
      <c r="T1800" t="s">
        <v>124</v>
      </c>
      <c r="U1800" t="s">
        <v>124</v>
      </c>
      <c r="X1800" s="19">
        <f t="shared" si="108"/>
        <v>0.91034482758620694</v>
      </c>
      <c r="Y1800" s="19">
        <f t="shared" si="109"/>
        <v>1.2527634487840777E-2</v>
      </c>
      <c r="Z1800" s="26"/>
    </row>
    <row r="1801" spans="1:26" x14ac:dyDescent="0.35">
      <c r="A1801" t="s">
        <v>122</v>
      </c>
      <c r="B1801" t="s">
        <v>122</v>
      </c>
      <c r="C1801" t="s">
        <v>123</v>
      </c>
      <c r="D1801" t="s">
        <v>101</v>
      </c>
      <c r="E1801" t="s">
        <v>99</v>
      </c>
      <c r="F1801" t="s">
        <v>12</v>
      </c>
      <c r="G1801">
        <v>1</v>
      </c>
      <c r="H1801">
        <v>132</v>
      </c>
      <c r="I1801">
        <v>0.91034482758620605</v>
      </c>
      <c r="J1801" s="25">
        <f t="shared" si="111"/>
        <v>0.91034482758620694</v>
      </c>
      <c r="K1801">
        <v>1340</v>
      </c>
      <c r="L1801">
        <v>17</v>
      </c>
      <c r="M1801">
        <v>1.25276344878408E-2</v>
      </c>
      <c r="N1801" s="25">
        <f t="shared" si="110"/>
        <v>1.2527634487840777E-2</v>
      </c>
      <c r="O1801">
        <v>0.987472365512159</v>
      </c>
      <c r="P1801" s="25">
        <f t="shared" si="112"/>
        <v>0.98747236551215922</v>
      </c>
      <c r="Q1801">
        <v>13</v>
      </c>
      <c r="R1801" t="s">
        <v>124</v>
      </c>
      <c r="S1801" t="s">
        <v>124</v>
      </c>
      <c r="T1801" t="s">
        <v>124</v>
      </c>
      <c r="U1801" t="s">
        <v>124</v>
      </c>
      <c r="X1801" s="19">
        <f t="shared" si="108"/>
        <v>0.91034482758620694</v>
      </c>
      <c r="Y1801" s="19">
        <f t="shared" si="109"/>
        <v>1.2527634487840777E-2</v>
      </c>
      <c r="Z1801" s="26"/>
    </row>
    <row r="1802" spans="1:26" x14ac:dyDescent="0.35">
      <c r="A1802" t="s">
        <v>122</v>
      </c>
      <c r="B1802" t="s">
        <v>122</v>
      </c>
      <c r="C1802" t="s">
        <v>123</v>
      </c>
      <c r="D1802" t="s">
        <v>101</v>
      </c>
      <c r="E1802" t="s">
        <v>99</v>
      </c>
      <c r="F1802" t="s">
        <v>12</v>
      </c>
      <c r="G1802">
        <v>1</v>
      </c>
      <c r="H1802">
        <v>132</v>
      </c>
      <c r="I1802">
        <v>0.91034482758620605</v>
      </c>
      <c r="J1802" s="25">
        <f t="shared" si="111"/>
        <v>0.91034482758620694</v>
      </c>
      <c r="K1802">
        <v>1340</v>
      </c>
      <c r="L1802">
        <v>17</v>
      </c>
      <c r="M1802">
        <v>1.25276344878408E-2</v>
      </c>
      <c r="N1802" s="25">
        <f t="shared" si="110"/>
        <v>1.2527634487840777E-2</v>
      </c>
      <c r="O1802">
        <v>0.987472365512159</v>
      </c>
      <c r="P1802" s="25">
        <f t="shared" si="112"/>
        <v>0.98747236551215922</v>
      </c>
      <c r="Q1802">
        <v>13</v>
      </c>
      <c r="R1802" t="s">
        <v>124</v>
      </c>
      <c r="S1802" t="s">
        <v>124</v>
      </c>
      <c r="T1802" t="s">
        <v>124</v>
      </c>
      <c r="U1802" t="s">
        <v>124</v>
      </c>
      <c r="X1802" s="19">
        <f t="shared" si="108"/>
        <v>0.91034482758620694</v>
      </c>
      <c r="Y1802" s="19">
        <f t="shared" si="109"/>
        <v>1.2527634487840777E-2</v>
      </c>
      <c r="Z1802" s="26"/>
    </row>
    <row r="1803" spans="1:26" x14ac:dyDescent="0.35">
      <c r="A1803" t="s">
        <v>122</v>
      </c>
      <c r="B1803" t="s">
        <v>122</v>
      </c>
      <c r="C1803" t="s">
        <v>123</v>
      </c>
      <c r="D1803" t="s">
        <v>101</v>
      </c>
      <c r="E1803" t="s">
        <v>99</v>
      </c>
      <c r="F1803" t="s">
        <v>12</v>
      </c>
      <c r="G1803">
        <v>1</v>
      </c>
      <c r="H1803">
        <v>132</v>
      </c>
      <c r="I1803">
        <v>0.91034482758620605</v>
      </c>
      <c r="J1803" s="25">
        <f t="shared" si="111"/>
        <v>0.91034482758620694</v>
      </c>
      <c r="K1803">
        <v>1340</v>
      </c>
      <c r="L1803">
        <v>17</v>
      </c>
      <c r="M1803">
        <v>1.25276344878408E-2</v>
      </c>
      <c r="N1803" s="25">
        <f t="shared" si="110"/>
        <v>1.2527634487840777E-2</v>
      </c>
      <c r="O1803">
        <v>0.987472365512159</v>
      </c>
      <c r="P1803" s="25">
        <f t="shared" si="112"/>
        <v>0.98747236551215922</v>
      </c>
      <c r="Q1803">
        <v>13</v>
      </c>
      <c r="R1803" t="s">
        <v>124</v>
      </c>
      <c r="S1803" t="s">
        <v>124</v>
      </c>
      <c r="T1803" t="s">
        <v>124</v>
      </c>
      <c r="U1803" t="s">
        <v>124</v>
      </c>
      <c r="X1803" s="19">
        <f t="shared" si="108"/>
        <v>0.91034482758620694</v>
      </c>
      <c r="Y1803" s="19">
        <f t="shared" si="109"/>
        <v>1.2527634487840777E-2</v>
      </c>
      <c r="Z1803" s="26"/>
    </row>
    <row r="1804" spans="1:26" x14ac:dyDescent="0.35">
      <c r="A1804" t="s">
        <v>122</v>
      </c>
      <c r="B1804" t="s">
        <v>122</v>
      </c>
      <c r="C1804" t="s">
        <v>123</v>
      </c>
      <c r="D1804" t="s">
        <v>101</v>
      </c>
      <c r="E1804" t="s">
        <v>99</v>
      </c>
      <c r="F1804" t="s">
        <v>12</v>
      </c>
      <c r="G1804">
        <v>1</v>
      </c>
      <c r="H1804">
        <v>132</v>
      </c>
      <c r="I1804">
        <v>0.91034482758620605</v>
      </c>
      <c r="J1804" s="25">
        <f t="shared" si="111"/>
        <v>0.91034482758620694</v>
      </c>
      <c r="K1804">
        <v>1340</v>
      </c>
      <c r="L1804">
        <v>17</v>
      </c>
      <c r="M1804">
        <v>1.25276344878408E-2</v>
      </c>
      <c r="N1804" s="25">
        <f t="shared" si="110"/>
        <v>1.2527634487840777E-2</v>
      </c>
      <c r="O1804">
        <v>0.987472365512159</v>
      </c>
      <c r="P1804" s="25">
        <f t="shared" si="112"/>
        <v>0.98747236551215922</v>
      </c>
      <c r="Q1804">
        <v>13</v>
      </c>
      <c r="R1804" t="s">
        <v>124</v>
      </c>
      <c r="S1804" t="s">
        <v>124</v>
      </c>
      <c r="T1804" t="s">
        <v>124</v>
      </c>
      <c r="U1804" t="s">
        <v>124</v>
      </c>
      <c r="X1804" s="19">
        <f t="shared" si="108"/>
        <v>0.91034482758620694</v>
      </c>
      <c r="Y1804" s="19">
        <f t="shared" si="109"/>
        <v>1.2527634487840777E-2</v>
      </c>
      <c r="Z1804" s="26"/>
    </row>
    <row r="1805" spans="1:26" x14ac:dyDescent="0.35">
      <c r="A1805" t="s">
        <v>122</v>
      </c>
      <c r="B1805" t="s">
        <v>122</v>
      </c>
      <c r="C1805" t="s">
        <v>123</v>
      </c>
      <c r="D1805" t="s">
        <v>101</v>
      </c>
      <c r="E1805" t="s">
        <v>99</v>
      </c>
      <c r="F1805" t="s">
        <v>12</v>
      </c>
      <c r="G1805">
        <v>1</v>
      </c>
      <c r="H1805">
        <v>132</v>
      </c>
      <c r="I1805">
        <v>0.91034482758620605</v>
      </c>
      <c r="J1805" s="25">
        <f t="shared" si="111"/>
        <v>0.91034482758620694</v>
      </c>
      <c r="K1805">
        <v>1340</v>
      </c>
      <c r="L1805">
        <v>17</v>
      </c>
      <c r="M1805">
        <v>1.25276344878408E-2</v>
      </c>
      <c r="N1805" s="25">
        <f t="shared" si="110"/>
        <v>1.2527634487840777E-2</v>
      </c>
      <c r="O1805">
        <v>0.987472365512159</v>
      </c>
      <c r="P1805" s="25">
        <f t="shared" si="112"/>
        <v>0.98747236551215922</v>
      </c>
      <c r="Q1805">
        <v>13</v>
      </c>
      <c r="R1805" t="s">
        <v>124</v>
      </c>
      <c r="S1805" t="s">
        <v>124</v>
      </c>
      <c r="T1805" t="s">
        <v>124</v>
      </c>
      <c r="U1805" t="s">
        <v>124</v>
      </c>
      <c r="X1805" s="19">
        <f t="shared" si="108"/>
        <v>0.91034482758620694</v>
      </c>
      <c r="Y1805" s="19">
        <f t="shared" si="109"/>
        <v>1.2527634487840777E-2</v>
      </c>
      <c r="Z1805" s="26"/>
    </row>
    <row r="1806" spans="1:26" x14ac:dyDescent="0.35">
      <c r="A1806" t="s">
        <v>122</v>
      </c>
      <c r="B1806" t="s">
        <v>122</v>
      </c>
      <c r="C1806" t="s">
        <v>123</v>
      </c>
      <c r="D1806" t="s">
        <v>101</v>
      </c>
      <c r="E1806" t="s">
        <v>99</v>
      </c>
      <c r="F1806" t="s">
        <v>12</v>
      </c>
      <c r="G1806">
        <v>1</v>
      </c>
      <c r="H1806">
        <v>132</v>
      </c>
      <c r="I1806">
        <v>0.91034482758620605</v>
      </c>
      <c r="J1806" s="25">
        <f t="shared" si="111"/>
        <v>0.91034482758620694</v>
      </c>
      <c r="K1806">
        <v>1340</v>
      </c>
      <c r="L1806">
        <v>17</v>
      </c>
      <c r="M1806">
        <v>1.25276344878408E-2</v>
      </c>
      <c r="N1806" s="25">
        <f t="shared" si="110"/>
        <v>1.2527634487840777E-2</v>
      </c>
      <c r="O1806">
        <v>0.987472365512159</v>
      </c>
      <c r="P1806" s="25">
        <f t="shared" si="112"/>
        <v>0.98747236551215922</v>
      </c>
      <c r="Q1806">
        <v>13</v>
      </c>
      <c r="R1806" t="s">
        <v>124</v>
      </c>
      <c r="S1806" t="s">
        <v>124</v>
      </c>
      <c r="T1806" t="s">
        <v>124</v>
      </c>
      <c r="U1806" t="s">
        <v>124</v>
      </c>
      <c r="X1806" s="19">
        <f t="shared" si="108"/>
        <v>0.91034482758620694</v>
      </c>
      <c r="Y1806" s="19">
        <f t="shared" si="109"/>
        <v>1.2527634487840777E-2</v>
      </c>
      <c r="Z1806" s="26"/>
    </row>
    <row r="1807" spans="1:26" x14ac:dyDescent="0.35">
      <c r="A1807" t="s">
        <v>122</v>
      </c>
      <c r="B1807" t="s">
        <v>122</v>
      </c>
      <c r="C1807" t="s">
        <v>123</v>
      </c>
      <c r="D1807" t="s">
        <v>101</v>
      </c>
      <c r="E1807" t="s">
        <v>99</v>
      </c>
      <c r="F1807" t="s">
        <v>12</v>
      </c>
      <c r="G1807">
        <v>1</v>
      </c>
      <c r="H1807">
        <v>132</v>
      </c>
      <c r="I1807">
        <v>0.91034482758620605</v>
      </c>
      <c r="J1807" s="25">
        <f t="shared" si="111"/>
        <v>0.91034482758620694</v>
      </c>
      <c r="K1807">
        <v>1340</v>
      </c>
      <c r="L1807">
        <v>17</v>
      </c>
      <c r="M1807">
        <v>1.25276344878408E-2</v>
      </c>
      <c r="N1807" s="25">
        <f t="shared" si="110"/>
        <v>1.2527634487840777E-2</v>
      </c>
      <c r="O1807">
        <v>0.987472365512159</v>
      </c>
      <c r="P1807" s="25">
        <f t="shared" si="112"/>
        <v>0.98747236551215922</v>
      </c>
      <c r="Q1807">
        <v>13</v>
      </c>
      <c r="R1807" t="s">
        <v>124</v>
      </c>
      <c r="S1807" t="s">
        <v>124</v>
      </c>
      <c r="T1807" t="s">
        <v>124</v>
      </c>
      <c r="U1807" t="s">
        <v>124</v>
      </c>
      <c r="X1807" s="19">
        <f t="shared" si="108"/>
        <v>0.91034482758620694</v>
      </c>
      <c r="Y1807" s="19">
        <f t="shared" si="109"/>
        <v>1.2527634487840777E-2</v>
      </c>
      <c r="Z1807" s="26"/>
    </row>
    <row r="1808" spans="1:26" x14ac:dyDescent="0.35">
      <c r="A1808" t="s">
        <v>122</v>
      </c>
      <c r="B1808" t="s">
        <v>122</v>
      </c>
      <c r="C1808" t="s">
        <v>123</v>
      </c>
      <c r="D1808" t="s">
        <v>101</v>
      </c>
      <c r="E1808" t="s">
        <v>99</v>
      </c>
      <c r="F1808" t="s">
        <v>12</v>
      </c>
      <c r="G1808">
        <v>1</v>
      </c>
      <c r="H1808">
        <v>132</v>
      </c>
      <c r="I1808">
        <v>0.91034482758620605</v>
      </c>
      <c r="J1808" s="25">
        <f t="shared" si="111"/>
        <v>0.91034482758620694</v>
      </c>
      <c r="K1808">
        <v>1340</v>
      </c>
      <c r="L1808">
        <v>17</v>
      </c>
      <c r="M1808">
        <v>1.25276344878408E-2</v>
      </c>
      <c r="N1808" s="25">
        <f t="shared" si="110"/>
        <v>1.2527634487840777E-2</v>
      </c>
      <c r="O1808">
        <v>0.987472365512159</v>
      </c>
      <c r="P1808" s="25">
        <f t="shared" si="112"/>
        <v>0.98747236551215922</v>
      </c>
      <c r="Q1808">
        <v>13</v>
      </c>
      <c r="R1808" t="s">
        <v>124</v>
      </c>
      <c r="S1808" t="s">
        <v>124</v>
      </c>
      <c r="T1808" t="s">
        <v>124</v>
      </c>
      <c r="U1808" t="s">
        <v>124</v>
      </c>
      <c r="X1808" s="19">
        <f t="shared" si="108"/>
        <v>0.91034482758620694</v>
      </c>
      <c r="Y1808" s="19">
        <f t="shared" si="109"/>
        <v>1.2527634487840777E-2</v>
      </c>
      <c r="Z1808" s="26"/>
    </row>
    <row r="1809" spans="1:26" x14ac:dyDescent="0.35">
      <c r="A1809" t="s">
        <v>122</v>
      </c>
      <c r="B1809" t="s">
        <v>122</v>
      </c>
      <c r="C1809" t="s">
        <v>123</v>
      </c>
      <c r="D1809" t="s">
        <v>101</v>
      </c>
      <c r="E1809" t="s">
        <v>99</v>
      </c>
      <c r="F1809" t="s">
        <v>12</v>
      </c>
      <c r="G1809">
        <v>1</v>
      </c>
      <c r="H1809">
        <v>132</v>
      </c>
      <c r="I1809">
        <v>0.91034482758620605</v>
      </c>
      <c r="J1809" s="25">
        <f t="shared" si="111"/>
        <v>0.91034482758620694</v>
      </c>
      <c r="K1809">
        <v>1340</v>
      </c>
      <c r="L1809">
        <v>17</v>
      </c>
      <c r="M1809">
        <v>1.25276344878408E-2</v>
      </c>
      <c r="N1809" s="25">
        <f t="shared" si="110"/>
        <v>1.2527634487840777E-2</v>
      </c>
      <c r="O1809">
        <v>0.987472365512159</v>
      </c>
      <c r="P1809" s="25">
        <f t="shared" si="112"/>
        <v>0.98747236551215922</v>
      </c>
      <c r="Q1809">
        <v>13</v>
      </c>
      <c r="R1809" t="s">
        <v>124</v>
      </c>
      <c r="S1809" t="s">
        <v>124</v>
      </c>
      <c r="T1809" t="s">
        <v>124</v>
      </c>
      <c r="U1809" t="s">
        <v>124</v>
      </c>
      <c r="X1809" s="19">
        <f t="shared" si="108"/>
        <v>0.91034482758620694</v>
      </c>
      <c r="Y1809" s="19">
        <f t="shared" si="109"/>
        <v>1.2527634487840777E-2</v>
      </c>
      <c r="Z1809" s="26"/>
    </row>
    <row r="1810" spans="1:26" x14ac:dyDescent="0.35">
      <c r="A1810" t="s">
        <v>122</v>
      </c>
      <c r="B1810" t="s">
        <v>122</v>
      </c>
      <c r="C1810" t="s">
        <v>123</v>
      </c>
      <c r="D1810" t="s">
        <v>101</v>
      </c>
      <c r="E1810" t="s">
        <v>99</v>
      </c>
      <c r="F1810" t="s">
        <v>12</v>
      </c>
      <c r="G1810">
        <v>1</v>
      </c>
      <c r="H1810">
        <v>132</v>
      </c>
      <c r="I1810">
        <v>0.91034482758620605</v>
      </c>
      <c r="J1810" s="25">
        <f t="shared" si="111"/>
        <v>0.91034482758620694</v>
      </c>
      <c r="K1810">
        <v>1340</v>
      </c>
      <c r="L1810">
        <v>17</v>
      </c>
      <c r="M1810">
        <v>1.25276344878408E-2</v>
      </c>
      <c r="N1810" s="25">
        <f t="shared" si="110"/>
        <v>1.2527634487840777E-2</v>
      </c>
      <c r="O1810">
        <v>0.987472365512159</v>
      </c>
      <c r="P1810" s="25">
        <f t="shared" si="112"/>
        <v>0.98747236551215922</v>
      </c>
      <c r="Q1810">
        <v>13</v>
      </c>
      <c r="R1810" t="s">
        <v>124</v>
      </c>
      <c r="S1810" t="s">
        <v>124</v>
      </c>
      <c r="T1810" t="s">
        <v>124</v>
      </c>
      <c r="U1810" t="s">
        <v>124</v>
      </c>
      <c r="X1810" s="19">
        <f t="shared" si="108"/>
        <v>0.91034482758620694</v>
      </c>
      <c r="Y1810" s="19">
        <f t="shared" si="109"/>
        <v>1.2527634487840777E-2</v>
      </c>
      <c r="Z1810" s="26"/>
    </row>
    <row r="1811" spans="1:26" x14ac:dyDescent="0.35">
      <c r="A1811" t="s">
        <v>122</v>
      </c>
      <c r="B1811" t="s">
        <v>122</v>
      </c>
      <c r="C1811" t="s">
        <v>123</v>
      </c>
      <c r="D1811" t="s">
        <v>101</v>
      </c>
      <c r="E1811" t="s">
        <v>99</v>
      </c>
      <c r="F1811" t="s">
        <v>12</v>
      </c>
      <c r="G1811">
        <v>1</v>
      </c>
      <c r="H1811">
        <v>132</v>
      </c>
      <c r="I1811">
        <v>0.91034482758620605</v>
      </c>
      <c r="J1811" s="25">
        <f t="shared" si="111"/>
        <v>0.91034482758620694</v>
      </c>
      <c r="K1811">
        <v>1340</v>
      </c>
      <c r="L1811">
        <v>17</v>
      </c>
      <c r="M1811">
        <v>1.25276344878408E-2</v>
      </c>
      <c r="N1811" s="25">
        <f t="shared" si="110"/>
        <v>1.2527634487840777E-2</v>
      </c>
      <c r="O1811">
        <v>0.987472365512159</v>
      </c>
      <c r="P1811" s="25">
        <f t="shared" si="112"/>
        <v>0.98747236551215922</v>
      </c>
      <c r="Q1811">
        <v>13</v>
      </c>
      <c r="R1811" t="s">
        <v>124</v>
      </c>
      <c r="S1811" t="s">
        <v>124</v>
      </c>
      <c r="T1811" t="s">
        <v>124</v>
      </c>
      <c r="U1811" t="s">
        <v>124</v>
      </c>
      <c r="X1811" s="19">
        <f t="shared" si="108"/>
        <v>0.91034482758620694</v>
      </c>
      <c r="Y1811" s="19">
        <f t="shared" si="109"/>
        <v>1.2527634487840777E-2</v>
      </c>
      <c r="Z1811" s="26"/>
    </row>
    <row r="1812" spans="1:26" x14ac:dyDescent="0.35">
      <c r="A1812" t="s">
        <v>122</v>
      </c>
      <c r="B1812" t="s">
        <v>122</v>
      </c>
      <c r="C1812" t="s">
        <v>123</v>
      </c>
      <c r="D1812" t="s">
        <v>101</v>
      </c>
      <c r="E1812" t="s">
        <v>99</v>
      </c>
      <c r="F1812" t="s">
        <v>12</v>
      </c>
      <c r="G1812">
        <v>1</v>
      </c>
      <c r="H1812">
        <v>132</v>
      </c>
      <c r="I1812">
        <v>0.91034482758620605</v>
      </c>
      <c r="J1812" s="25">
        <f t="shared" si="111"/>
        <v>0.91034482758620694</v>
      </c>
      <c r="K1812">
        <v>1340</v>
      </c>
      <c r="L1812">
        <v>17</v>
      </c>
      <c r="M1812">
        <v>1.25276344878408E-2</v>
      </c>
      <c r="N1812" s="25">
        <f t="shared" si="110"/>
        <v>1.2527634487840777E-2</v>
      </c>
      <c r="O1812">
        <v>0.987472365512159</v>
      </c>
      <c r="P1812" s="25">
        <f t="shared" si="112"/>
        <v>0.98747236551215922</v>
      </c>
      <c r="Q1812">
        <v>13</v>
      </c>
      <c r="R1812" t="s">
        <v>124</v>
      </c>
      <c r="S1812" t="s">
        <v>124</v>
      </c>
      <c r="T1812" t="s">
        <v>124</v>
      </c>
      <c r="U1812" t="s">
        <v>124</v>
      </c>
      <c r="X1812" s="19">
        <f t="shared" si="108"/>
        <v>0.91034482758620694</v>
      </c>
      <c r="Y1812" s="19">
        <f t="shared" si="109"/>
        <v>1.2527634487840777E-2</v>
      </c>
      <c r="Z1812" s="26"/>
    </row>
    <row r="1813" spans="1:26" x14ac:dyDescent="0.35">
      <c r="A1813" t="s">
        <v>122</v>
      </c>
      <c r="B1813" t="s">
        <v>122</v>
      </c>
      <c r="C1813" t="s">
        <v>123</v>
      </c>
      <c r="D1813" t="s">
        <v>101</v>
      </c>
      <c r="E1813" t="s">
        <v>99</v>
      </c>
      <c r="F1813" t="s">
        <v>12</v>
      </c>
      <c r="G1813">
        <v>1</v>
      </c>
      <c r="H1813">
        <v>132</v>
      </c>
      <c r="I1813">
        <v>0.91034482758620605</v>
      </c>
      <c r="J1813" s="25">
        <f t="shared" si="111"/>
        <v>0.91034482758620694</v>
      </c>
      <c r="K1813">
        <v>1340</v>
      </c>
      <c r="L1813">
        <v>17</v>
      </c>
      <c r="M1813">
        <v>1.25276344878408E-2</v>
      </c>
      <c r="N1813" s="25">
        <f t="shared" si="110"/>
        <v>1.2527634487840777E-2</v>
      </c>
      <c r="O1813">
        <v>0.987472365512159</v>
      </c>
      <c r="P1813" s="25">
        <f t="shared" si="112"/>
        <v>0.98747236551215922</v>
      </c>
      <c r="Q1813">
        <v>13</v>
      </c>
      <c r="R1813" t="s">
        <v>124</v>
      </c>
      <c r="S1813" t="s">
        <v>124</v>
      </c>
      <c r="T1813" t="s">
        <v>124</v>
      </c>
      <c r="U1813" t="s">
        <v>124</v>
      </c>
      <c r="X1813" s="19">
        <f t="shared" si="108"/>
        <v>0.91034482758620694</v>
      </c>
      <c r="Y1813" s="19">
        <f t="shared" si="109"/>
        <v>1.2527634487840777E-2</v>
      </c>
      <c r="Z1813" s="26"/>
    </row>
    <row r="1814" spans="1:26" x14ac:dyDescent="0.35">
      <c r="A1814" t="s">
        <v>122</v>
      </c>
      <c r="B1814" t="s">
        <v>122</v>
      </c>
      <c r="C1814" t="s">
        <v>123</v>
      </c>
      <c r="D1814" t="s">
        <v>101</v>
      </c>
      <c r="E1814" t="s">
        <v>99</v>
      </c>
      <c r="F1814" t="s">
        <v>12</v>
      </c>
      <c r="G1814">
        <v>1</v>
      </c>
      <c r="H1814">
        <v>132</v>
      </c>
      <c r="I1814">
        <v>0.91034482758620605</v>
      </c>
      <c r="J1814" s="25">
        <f t="shared" si="111"/>
        <v>0.91034482758620694</v>
      </c>
      <c r="K1814">
        <v>1340</v>
      </c>
      <c r="L1814">
        <v>17</v>
      </c>
      <c r="M1814">
        <v>1.25276344878408E-2</v>
      </c>
      <c r="N1814" s="25">
        <f t="shared" si="110"/>
        <v>1.2527634487840777E-2</v>
      </c>
      <c r="O1814">
        <v>0.987472365512159</v>
      </c>
      <c r="P1814" s="25">
        <f t="shared" si="112"/>
        <v>0.98747236551215922</v>
      </c>
      <c r="Q1814">
        <v>13</v>
      </c>
      <c r="R1814" t="s">
        <v>124</v>
      </c>
      <c r="S1814" t="s">
        <v>124</v>
      </c>
      <c r="T1814" t="s">
        <v>124</v>
      </c>
      <c r="U1814" t="s">
        <v>124</v>
      </c>
      <c r="X1814" s="19">
        <f t="shared" si="108"/>
        <v>0.91034482758620694</v>
      </c>
      <c r="Y1814" s="19">
        <f t="shared" si="109"/>
        <v>1.2527634487840777E-2</v>
      </c>
      <c r="Z1814" s="26"/>
    </row>
    <row r="1815" spans="1:26" x14ac:dyDescent="0.35">
      <c r="A1815" t="s">
        <v>122</v>
      </c>
      <c r="B1815" t="s">
        <v>122</v>
      </c>
      <c r="C1815" t="s">
        <v>123</v>
      </c>
      <c r="D1815" t="s">
        <v>101</v>
      </c>
      <c r="E1815" t="s">
        <v>99</v>
      </c>
      <c r="F1815" t="s">
        <v>12</v>
      </c>
      <c r="G1815">
        <v>1</v>
      </c>
      <c r="H1815">
        <v>132</v>
      </c>
      <c r="I1815">
        <v>0.91034482758620605</v>
      </c>
      <c r="J1815" s="25">
        <f t="shared" si="111"/>
        <v>0.91034482758620694</v>
      </c>
      <c r="K1815">
        <v>1340</v>
      </c>
      <c r="L1815">
        <v>17</v>
      </c>
      <c r="M1815">
        <v>1.25276344878408E-2</v>
      </c>
      <c r="N1815" s="25">
        <f t="shared" si="110"/>
        <v>1.2527634487840777E-2</v>
      </c>
      <c r="O1815">
        <v>0.987472365512159</v>
      </c>
      <c r="P1815" s="25">
        <f t="shared" si="112"/>
        <v>0.98747236551215922</v>
      </c>
      <c r="Q1815">
        <v>13</v>
      </c>
      <c r="R1815" t="s">
        <v>124</v>
      </c>
      <c r="S1815" t="s">
        <v>124</v>
      </c>
      <c r="T1815" t="s">
        <v>124</v>
      </c>
      <c r="U1815" t="s">
        <v>124</v>
      </c>
      <c r="X1815" s="19">
        <f t="shared" si="108"/>
        <v>0.91034482758620694</v>
      </c>
      <c r="Y1815" s="19">
        <f t="shared" si="109"/>
        <v>1.2527634487840777E-2</v>
      </c>
      <c r="Z1815" s="26"/>
    </row>
    <row r="1816" spans="1:26" x14ac:dyDescent="0.35">
      <c r="A1816" t="s">
        <v>122</v>
      </c>
      <c r="B1816" t="s">
        <v>122</v>
      </c>
      <c r="C1816" t="s">
        <v>123</v>
      </c>
      <c r="D1816" t="s">
        <v>101</v>
      </c>
      <c r="E1816" t="s">
        <v>99</v>
      </c>
      <c r="F1816" t="s">
        <v>12</v>
      </c>
      <c r="G1816">
        <v>1</v>
      </c>
      <c r="H1816">
        <v>132</v>
      </c>
      <c r="I1816">
        <v>0.91034482758620605</v>
      </c>
      <c r="J1816" s="25">
        <f t="shared" si="111"/>
        <v>0.91034482758620694</v>
      </c>
      <c r="K1816">
        <v>1340</v>
      </c>
      <c r="L1816">
        <v>17</v>
      </c>
      <c r="M1816">
        <v>1.25276344878408E-2</v>
      </c>
      <c r="N1816" s="25">
        <f t="shared" si="110"/>
        <v>1.2527634487840777E-2</v>
      </c>
      <c r="O1816">
        <v>0.987472365512159</v>
      </c>
      <c r="P1816" s="25">
        <f t="shared" si="112"/>
        <v>0.98747236551215922</v>
      </c>
      <c r="Q1816">
        <v>13</v>
      </c>
      <c r="R1816" t="s">
        <v>124</v>
      </c>
      <c r="S1816" t="s">
        <v>124</v>
      </c>
      <c r="T1816" t="s">
        <v>124</v>
      </c>
      <c r="U1816" t="s">
        <v>124</v>
      </c>
      <c r="X1816" s="19">
        <f t="shared" si="108"/>
        <v>0.91034482758620694</v>
      </c>
      <c r="Y1816" s="19">
        <f t="shared" si="109"/>
        <v>1.2527634487840777E-2</v>
      </c>
      <c r="Z1816" s="26"/>
    </row>
    <row r="1817" spans="1:26" x14ac:dyDescent="0.35">
      <c r="A1817" t="s">
        <v>122</v>
      </c>
      <c r="B1817" t="s">
        <v>122</v>
      </c>
      <c r="C1817" t="s">
        <v>123</v>
      </c>
      <c r="D1817" t="s">
        <v>101</v>
      </c>
      <c r="E1817" t="s">
        <v>99</v>
      </c>
      <c r="F1817" t="s">
        <v>12</v>
      </c>
      <c r="G1817">
        <v>1</v>
      </c>
      <c r="H1817">
        <v>132</v>
      </c>
      <c r="I1817">
        <v>0.91034482758620605</v>
      </c>
      <c r="J1817" s="25">
        <f t="shared" si="111"/>
        <v>0.91034482758620694</v>
      </c>
      <c r="K1817">
        <v>1340</v>
      </c>
      <c r="L1817">
        <v>17</v>
      </c>
      <c r="M1817">
        <v>1.25276344878408E-2</v>
      </c>
      <c r="N1817" s="25">
        <f t="shared" si="110"/>
        <v>1.2527634487840777E-2</v>
      </c>
      <c r="O1817">
        <v>0.987472365512159</v>
      </c>
      <c r="P1817" s="25">
        <f t="shared" si="112"/>
        <v>0.98747236551215922</v>
      </c>
      <c r="Q1817">
        <v>13</v>
      </c>
      <c r="R1817" t="s">
        <v>124</v>
      </c>
      <c r="S1817" t="s">
        <v>124</v>
      </c>
      <c r="T1817" t="s">
        <v>124</v>
      </c>
      <c r="U1817" t="s">
        <v>124</v>
      </c>
      <c r="X1817" s="19">
        <f t="shared" si="108"/>
        <v>0.91034482758620694</v>
      </c>
      <c r="Y1817" s="19">
        <f t="shared" si="109"/>
        <v>1.2527634487840777E-2</v>
      </c>
      <c r="Z1817" s="26"/>
    </row>
    <row r="1818" spans="1:26" x14ac:dyDescent="0.35">
      <c r="A1818" t="s">
        <v>122</v>
      </c>
      <c r="B1818" t="s">
        <v>122</v>
      </c>
      <c r="C1818" t="s">
        <v>123</v>
      </c>
      <c r="D1818" t="s">
        <v>101</v>
      </c>
      <c r="E1818" t="s">
        <v>99</v>
      </c>
      <c r="F1818" t="s">
        <v>12</v>
      </c>
      <c r="G1818">
        <v>1</v>
      </c>
      <c r="H1818">
        <v>132</v>
      </c>
      <c r="I1818">
        <v>0.91034482758620605</v>
      </c>
      <c r="J1818" s="25">
        <f t="shared" si="111"/>
        <v>0.91034482758620694</v>
      </c>
      <c r="K1818">
        <v>1340</v>
      </c>
      <c r="L1818">
        <v>17</v>
      </c>
      <c r="M1818">
        <v>1.25276344878408E-2</v>
      </c>
      <c r="N1818" s="25">
        <f t="shared" si="110"/>
        <v>1.2527634487840777E-2</v>
      </c>
      <c r="O1818">
        <v>0.987472365512159</v>
      </c>
      <c r="P1818" s="25">
        <f t="shared" si="112"/>
        <v>0.98747236551215922</v>
      </c>
      <c r="Q1818">
        <v>13</v>
      </c>
      <c r="R1818" t="s">
        <v>124</v>
      </c>
      <c r="S1818" t="s">
        <v>124</v>
      </c>
      <c r="T1818" t="s">
        <v>124</v>
      </c>
      <c r="U1818" t="s">
        <v>124</v>
      </c>
      <c r="X1818" s="19">
        <f t="shared" si="108"/>
        <v>0.91034482758620694</v>
      </c>
      <c r="Y1818" s="19">
        <f t="shared" si="109"/>
        <v>1.2527634487840777E-2</v>
      </c>
      <c r="Z1818" s="26"/>
    </row>
    <row r="1819" spans="1:26" x14ac:dyDescent="0.35">
      <c r="A1819" t="s">
        <v>122</v>
      </c>
      <c r="B1819" t="s">
        <v>122</v>
      </c>
      <c r="C1819" t="s">
        <v>123</v>
      </c>
      <c r="D1819" t="s">
        <v>101</v>
      </c>
      <c r="E1819" t="s">
        <v>99</v>
      </c>
      <c r="F1819" t="s">
        <v>12</v>
      </c>
      <c r="G1819">
        <v>1</v>
      </c>
      <c r="H1819">
        <v>132</v>
      </c>
      <c r="I1819">
        <v>0.91034482758620605</v>
      </c>
      <c r="J1819" s="25">
        <f t="shared" si="111"/>
        <v>0.91034482758620694</v>
      </c>
      <c r="K1819">
        <v>1340</v>
      </c>
      <c r="L1819">
        <v>17</v>
      </c>
      <c r="M1819">
        <v>1.25276344878408E-2</v>
      </c>
      <c r="N1819" s="25">
        <f t="shared" si="110"/>
        <v>1.2527634487840777E-2</v>
      </c>
      <c r="O1819">
        <v>0.987472365512159</v>
      </c>
      <c r="P1819" s="25">
        <f t="shared" si="112"/>
        <v>0.98747236551215922</v>
      </c>
      <c r="Q1819">
        <v>13</v>
      </c>
      <c r="R1819" t="s">
        <v>124</v>
      </c>
      <c r="S1819" t="s">
        <v>124</v>
      </c>
      <c r="T1819" t="s">
        <v>124</v>
      </c>
      <c r="U1819" t="s">
        <v>124</v>
      </c>
      <c r="X1819" s="19">
        <f t="shared" si="108"/>
        <v>0.91034482758620694</v>
      </c>
      <c r="Y1819" s="19">
        <f t="shared" si="109"/>
        <v>1.2527634487840777E-2</v>
      </c>
      <c r="Z1819" s="26"/>
    </row>
    <row r="1820" spans="1:26" x14ac:dyDescent="0.35">
      <c r="A1820" t="s">
        <v>122</v>
      </c>
      <c r="B1820" t="s">
        <v>122</v>
      </c>
      <c r="C1820" t="s">
        <v>123</v>
      </c>
      <c r="D1820" t="s">
        <v>101</v>
      </c>
      <c r="E1820" t="s">
        <v>99</v>
      </c>
      <c r="F1820" t="s">
        <v>12</v>
      </c>
      <c r="G1820">
        <v>1</v>
      </c>
      <c r="H1820">
        <v>132</v>
      </c>
      <c r="I1820">
        <v>0.91034482758620605</v>
      </c>
      <c r="J1820" s="25">
        <f t="shared" si="111"/>
        <v>0.91034482758620694</v>
      </c>
      <c r="K1820">
        <v>1340</v>
      </c>
      <c r="L1820">
        <v>17</v>
      </c>
      <c r="M1820">
        <v>1.25276344878408E-2</v>
      </c>
      <c r="N1820" s="25">
        <f t="shared" si="110"/>
        <v>1.2527634487840777E-2</v>
      </c>
      <c r="O1820">
        <v>0.987472365512159</v>
      </c>
      <c r="P1820" s="25">
        <f t="shared" si="112"/>
        <v>0.98747236551215922</v>
      </c>
      <c r="Q1820">
        <v>13</v>
      </c>
      <c r="R1820" t="s">
        <v>124</v>
      </c>
      <c r="S1820" t="s">
        <v>124</v>
      </c>
      <c r="T1820" t="s">
        <v>124</v>
      </c>
      <c r="U1820" t="s">
        <v>124</v>
      </c>
      <c r="X1820" s="19">
        <f t="shared" si="108"/>
        <v>0.91034482758620694</v>
      </c>
      <c r="Y1820" s="19">
        <f t="shared" si="109"/>
        <v>1.2527634487840777E-2</v>
      </c>
      <c r="Z1820" s="26"/>
    </row>
    <row r="1821" spans="1:26" x14ac:dyDescent="0.35">
      <c r="A1821" t="s">
        <v>122</v>
      </c>
      <c r="B1821" t="s">
        <v>122</v>
      </c>
      <c r="C1821" t="s">
        <v>123</v>
      </c>
      <c r="D1821" t="s">
        <v>101</v>
      </c>
      <c r="E1821" t="s">
        <v>99</v>
      </c>
      <c r="F1821" t="s">
        <v>12</v>
      </c>
      <c r="G1821">
        <v>1</v>
      </c>
      <c r="H1821">
        <v>132</v>
      </c>
      <c r="I1821">
        <v>0.91034482758620605</v>
      </c>
      <c r="J1821" s="25">
        <f t="shared" si="111"/>
        <v>0.91034482758620694</v>
      </c>
      <c r="K1821">
        <v>1340</v>
      </c>
      <c r="L1821">
        <v>17</v>
      </c>
      <c r="M1821">
        <v>1.25276344878408E-2</v>
      </c>
      <c r="N1821" s="25">
        <f t="shared" si="110"/>
        <v>1.2527634487840777E-2</v>
      </c>
      <c r="O1821">
        <v>0.987472365512159</v>
      </c>
      <c r="P1821" s="25">
        <f t="shared" si="112"/>
        <v>0.98747236551215922</v>
      </c>
      <c r="Q1821">
        <v>13</v>
      </c>
      <c r="R1821" t="s">
        <v>124</v>
      </c>
      <c r="S1821" t="s">
        <v>124</v>
      </c>
      <c r="T1821" t="s">
        <v>124</v>
      </c>
      <c r="U1821" t="s">
        <v>124</v>
      </c>
      <c r="X1821" s="19">
        <f t="shared" si="108"/>
        <v>0.91034482758620694</v>
      </c>
      <c r="Y1821" s="19">
        <f t="shared" si="109"/>
        <v>1.2527634487840777E-2</v>
      </c>
      <c r="Z1821" s="26"/>
    </row>
    <row r="1822" spans="1:26" x14ac:dyDescent="0.35">
      <c r="A1822" t="s">
        <v>122</v>
      </c>
      <c r="B1822" t="s">
        <v>122</v>
      </c>
      <c r="C1822" t="s">
        <v>123</v>
      </c>
      <c r="D1822" t="s">
        <v>101</v>
      </c>
      <c r="E1822" t="s">
        <v>99</v>
      </c>
      <c r="F1822" t="s">
        <v>12</v>
      </c>
      <c r="G1822">
        <v>1</v>
      </c>
      <c r="H1822">
        <v>132</v>
      </c>
      <c r="I1822">
        <v>0.91034482758620605</v>
      </c>
      <c r="J1822" s="25">
        <f t="shared" si="111"/>
        <v>0.91034482758620694</v>
      </c>
      <c r="K1822">
        <v>1340</v>
      </c>
      <c r="L1822">
        <v>17</v>
      </c>
      <c r="M1822">
        <v>1.25276344878408E-2</v>
      </c>
      <c r="N1822" s="25">
        <f t="shared" si="110"/>
        <v>1.2527634487840777E-2</v>
      </c>
      <c r="O1822">
        <v>0.987472365512159</v>
      </c>
      <c r="P1822" s="25">
        <f t="shared" si="112"/>
        <v>0.98747236551215922</v>
      </c>
      <c r="Q1822">
        <v>13</v>
      </c>
      <c r="R1822" t="s">
        <v>124</v>
      </c>
      <c r="S1822" t="s">
        <v>124</v>
      </c>
      <c r="T1822" t="s">
        <v>124</v>
      </c>
      <c r="U1822" t="s">
        <v>124</v>
      </c>
      <c r="X1822" s="19">
        <f t="shared" si="108"/>
        <v>0.91034482758620694</v>
      </c>
      <c r="Y1822" s="19">
        <f t="shared" si="109"/>
        <v>1.2527634487840777E-2</v>
      </c>
      <c r="Z1822" s="26"/>
    </row>
    <row r="1823" spans="1:26" x14ac:dyDescent="0.35">
      <c r="A1823" t="s">
        <v>122</v>
      </c>
      <c r="B1823" t="s">
        <v>122</v>
      </c>
      <c r="C1823" t="s">
        <v>123</v>
      </c>
      <c r="D1823" t="s">
        <v>101</v>
      </c>
      <c r="E1823" t="s">
        <v>99</v>
      </c>
      <c r="F1823" t="s">
        <v>12</v>
      </c>
      <c r="G1823">
        <v>1</v>
      </c>
      <c r="H1823">
        <v>132</v>
      </c>
      <c r="I1823">
        <v>0.91034482758620605</v>
      </c>
      <c r="J1823" s="25">
        <f t="shared" si="111"/>
        <v>0.91034482758620694</v>
      </c>
      <c r="K1823">
        <v>1340</v>
      </c>
      <c r="L1823">
        <v>17</v>
      </c>
      <c r="M1823">
        <v>1.25276344878408E-2</v>
      </c>
      <c r="N1823" s="25">
        <f t="shared" si="110"/>
        <v>1.2527634487840777E-2</v>
      </c>
      <c r="O1823">
        <v>0.987472365512159</v>
      </c>
      <c r="P1823" s="25">
        <f t="shared" si="112"/>
        <v>0.98747236551215922</v>
      </c>
      <c r="Q1823">
        <v>13</v>
      </c>
      <c r="R1823" t="s">
        <v>124</v>
      </c>
      <c r="S1823" t="s">
        <v>124</v>
      </c>
      <c r="T1823" t="s">
        <v>124</v>
      </c>
      <c r="U1823" t="s">
        <v>124</v>
      </c>
      <c r="X1823" s="19">
        <f t="shared" si="108"/>
        <v>0.91034482758620694</v>
      </c>
      <c r="Y1823" s="19">
        <f t="shared" si="109"/>
        <v>1.2527634487840777E-2</v>
      </c>
      <c r="Z1823" s="26"/>
    </row>
    <row r="1824" spans="1:26" x14ac:dyDescent="0.35">
      <c r="A1824" t="s">
        <v>122</v>
      </c>
      <c r="B1824" t="s">
        <v>122</v>
      </c>
      <c r="C1824" t="s">
        <v>123</v>
      </c>
      <c r="D1824" t="s">
        <v>101</v>
      </c>
      <c r="E1824" t="s">
        <v>99</v>
      </c>
      <c r="F1824" t="s">
        <v>12</v>
      </c>
      <c r="G1824">
        <v>1</v>
      </c>
      <c r="H1824">
        <v>132</v>
      </c>
      <c r="I1824">
        <v>0.91034482758620605</v>
      </c>
      <c r="J1824" s="25">
        <f t="shared" si="111"/>
        <v>0.91034482758620694</v>
      </c>
      <c r="K1824">
        <v>1340</v>
      </c>
      <c r="L1824">
        <v>17</v>
      </c>
      <c r="M1824">
        <v>1.25276344878408E-2</v>
      </c>
      <c r="N1824" s="25">
        <f t="shared" si="110"/>
        <v>1.2527634487840777E-2</v>
      </c>
      <c r="O1824">
        <v>0.987472365512159</v>
      </c>
      <c r="P1824" s="25">
        <f t="shared" si="112"/>
        <v>0.98747236551215922</v>
      </c>
      <c r="Q1824">
        <v>13</v>
      </c>
      <c r="R1824" t="s">
        <v>124</v>
      </c>
      <c r="S1824" t="s">
        <v>124</v>
      </c>
      <c r="T1824" t="s">
        <v>124</v>
      </c>
      <c r="U1824" t="s">
        <v>124</v>
      </c>
      <c r="X1824" s="19">
        <f t="shared" si="108"/>
        <v>0.91034482758620694</v>
      </c>
      <c r="Y1824" s="19">
        <f t="shared" si="109"/>
        <v>1.2527634487840777E-2</v>
      </c>
      <c r="Z1824" s="26"/>
    </row>
    <row r="1825" spans="1:26" x14ac:dyDescent="0.35">
      <c r="A1825" t="s">
        <v>122</v>
      </c>
      <c r="B1825" t="s">
        <v>122</v>
      </c>
      <c r="C1825" t="s">
        <v>123</v>
      </c>
      <c r="D1825" t="s">
        <v>101</v>
      </c>
      <c r="E1825" t="s">
        <v>99</v>
      </c>
      <c r="F1825" t="s">
        <v>12</v>
      </c>
      <c r="G1825">
        <v>1</v>
      </c>
      <c r="H1825">
        <v>132</v>
      </c>
      <c r="I1825">
        <v>0.91034482758620605</v>
      </c>
      <c r="J1825" s="25">
        <f t="shared" si="111"/>
        <v>0.91034482758620694</v>
      </c>
      <c r="K1825">
        <v>1340</v>
      </c>
      <c r="L1825">
        <v>17</v>
      </c>
      <c r="M1825">
        <v>1.25276344878408E-2</v>
      </c>
      <c r="N1825" s="25">
        <f t="shared" si="110"/>
        <v>1.2527634487840777E-2</v>
      </c>
      <c r="O1825">
        <v>0.987472365512159</v>
      </c>
      <c r="P1825" s="25">
        <f t="shared" si="112"/>
        <v>0.98747236551215922</v>
      </c>
      <c r="Q1825">
        <v>13</v>
      </c>
      <c r="R1825" t="s">
        <v>124</v>
      </c>
      <c r="S1825" t="s">
        <v>124</v>
      </c>
      <c r="T1825" t="s">
        <v>124</v>
      </c>
      <c r="U1825" t="s">
        <v>124</v>
      </c>
      <c r="X1825" s="19">
        <f t="shared" si="108"/>
        <v>0.91034482758620694</v>
      </c>
      <c r="Y1825" s="19">
        <f t="shared" si="109"/>
        <v>1.2527634487840777E-2</v>
      </c>
      <c r="Z1825" s="26"/>
    </row>
    <row r="1826" spans="1:26" x14ac:dyDescent="0.35">
      <c r="A1826" t="s">
        <v>122</v>
      </c>
      <c r="B1826" t="s">
        <v>122</v>
      </c>
      <c r="C1826" t="s">
        <v>123</v>
      </c>
      <c r="D1826" t="s">
        <v>101</v>
      </c>
      <c r="E1826" t="s">
        <v>99</v>
      </c>
      <c r="F1826" t="s">
        <v>12</v>
      </c>
      <c r="G1826">
        <v>1</v>
      </c>
      <c r="H1826">
        <v>132</v>
      </c>
      <c r="I1826">
        <v>0.91034482758620605</v>
      </c>
      <c r="J1826" s="25">
        <f t="shared" si="111"/>
        <v>0.91034482758620694</v>
      </c>
      <c r="K1826">
        <v>1340</v>
      </c>
      <c r="L1826">
        <v>17</v>
      </c>
      <c r="M1826">
        <v>1.25276344878408E-2</v>
      </c>
      <c r="N1826" s="25">
        <f t="shared" si="110"/>
        <v>1.2527634487840777E-2</v>
      </c>
      <c r="O1826">
        <v>0.987472365512159</v>
      </c>
      <c r="P1826" s="25">
        <f t="shared" si="112"/>
        <v>0.98747236551215922</v>
      </c>
      <c r="Q1826">
        <v>13</v>
      </c>
      <c r="R1826" t="s">
        <v>124</v>
      </c>
      <c r="S1826" t="s">
        <v>124</v>
      </c>
      <c r="T1826" t="s">
        <v>124</v>
      </c>
      <c r="U1826" t="s">
        <v>124</v>
      </c>
      <c r="X1826" s="19">
        <f t="shared" si="108"/>
        <v>0.91034482758620694</v>
      </c>
      <c r="Y1826" s="19">
        <f t="shared" si="109"/>
        <v>1.2527634487840777E-2</v>
      </c>
      <c r="Z1826" s="26"/>
    </row>
    <row r="1827" spans="1:26" x14ac:dyDescent="0.35">
      <c r="A1827" t="s">
        <v>122</v>
      </c>
      <c r="B1827" t="s">
        <v>122</v>
      </c>
      <c r="C1827" t="s">
        <v>123</v>
      </c>
      <c r="D1827" t="s">
        <v>101</v>
      </c>
      <c r="E1827" t="s">
        <v>99</v>
      </c>
      <c r="F1827" t="s">
        <v>12</v>
      </c>
      <c r="G1827">
        <v>1</v>
      </c>
      <c r="H1827">
        <v>132</v>
      </c>
      <c r="I1827">
        <v>0.91034482758620605</v>
      </c>
      <c r="J1827" s="25">
        <f t="shared" si="111"/>
        <v>0.91034482758620694</v>
      </c>
      <c r="K1827">
        <v>1340</v>
      </c>
      <c r="L1827">
        <v>17</v>
      </c>
      <c r="M1827">
        <v>1.25276344878408E-2</v>
      </c>
      <c r="N1827" s="25">
        <f t="shared" si="110"/>
        <v>1.2527634487840777E-2</v>
      </c>
      <c r="O1827">
        <v>0.987472365512159</v>
      </c>
      <c r="P1827" s="25">
        <f t="shared" si="112"/>
        <v>0.98747236551215922</v>
      </c>
      <c r="Q1827">
        <v>13</v>
      </c>
      <c r="R1827" t="s">
        <v>124</v>
      </c>
      <c r="S1827" t="s">
        <v>124</v>
      </c>
      <c r="T1827" t="s">
        <v>124</v>
      </c>
      <c r="U1827" t="s">
        <v>124</v>
      </c>
      <c r="X1827" s="19">
        <f t="shared" si="108"/>
        <v>0.91034482758620694</v>
      </c>
      <c r="Y1827" s="19">
        <f t="shared" si="109"/>
        <v>1.2527634487840777E-2</v>
      </c>
      <c r="Z1827" s="26"/>
    </row>
    <row r="1828" spans="1:26" x14ac:dyDescent="0.35">
      <c r="A1828" t="s">
        <v>122</v>
      </c>
      <c r="B1828" t="s">
        <v>122</v>
      </c>
      <c r="C1828" t="s">
        <v>123</v>
      </c>
      <c r="D1828" t="s">
        <v>101</v>
      </c>
      <c r="E1828" t="s">
        <v>99</v>
      </c>
      <c r="F1828" t="s">
        <v>12</v>
      </c>
      <c r="G1828">
        <v>1</v>
      </c>
      <c r="H1828">
        <v>132</v>
      </c>
      <c r="I1828">
        <v>0.91034482758620605</v>
      </c>
      <c r="J1828" s="25">
        <f t="shared" si="111"/>
        <v>0.91034482758620694</v>
      </c>
      <c r="K1828">
        <v>1340</v>
      </c>
      <c r="L1828">
        <v>17</v>
      </c>
      <c r="M1828">
        <v>1.25276344878408E-2</v>
      </c>
      <c r="N1828" s="25">
        <f t="shared" si="110"/>
        <v>1.2527634487840777E-2</v>
      </c>
      <c r="O1828">
        <v>0.987472365512159</v>
      </c>
      <c r="P1828" s="25">
        <f t="shared" si="112"/>
        <v>0.98747236551215922</v>
      </c>
      <c r="Q1828">
        <v>13</v>
      </c>
      <c r="R1828" t="s">
        <v>124</v>
      </c>
      <c r="S1828" t="s">
        <v>124</v>
      </c>
      <c r="T1828" t="s">
        <v>124</v>
      </c>
      <c r="U1828" t="s">
        <v>124</v>
      </c>
      <c r="X1828" s="19">
        <f t="shared" si="108"/>
        <v>0.91034482758620694</v>
      </c>
      <c r="Y1828" s="19">
        <f t="shared" si="109"/>
        <v>1.2527634487840777E-2</v>
      </c>
      <c r="Z1828" s="26"/>
    </row>
    <row r="1829" spans="1:26" x14ac:dyDescent="0.35">
      <c r="A1829" t="s">
        <v>122</v>
      </c>
      <c r="B1829" t="s">
        <v>122</v>
      </c>
      <c r="C1829" t="s">
        <v>123</v>
      </c>
      <c r="D1829" t="s">
        <v>101</v>
      </c>
      <c r="E1829" t="s">
        <v>99</v>
      </c>
      <c r="F1829" t="s">
        <v>12</v>
      </c>
      <c r="G1829">
        <v>1</v>
      </c>
      <c r="H1829">
        <v>132</v>
      </c>
      <c r="I1829">
        <v>0.91034482758620605</v>
      </c>
      <c r="J1829" s="25">
        <f t="shared" si="111"/>
        <v>0.91034482758620694</v>
      </c>
      <c r="K1829">
        <v>1340</v>
      </c>
      <c r="L1829">
        <v>17</v>
      </c>
      <c r="M1829">
        <v>1.25276344878408E-2</v>
      </c>
      <c r="N1829" s="25">
        <f t="shared" si="110"/>
        <v>1.2527634487840777E-2</v>
      </c>
      <c r="O1829">
        <v>0.987472365512159</v>
      </c>
      <c r="P1829" s="25">
        <f t="shared" si="112"/>
        <v>0.98747236551215922</v>
      </c>
      <c r="Q1829">
        <v>13</v>
      </c>
      <c r="R1829" t="s">
        <v>124</v>
      </c>
      <c r="S1829" t="s">
        <v>124</v>
      </c>
      <c r="T1829" t="s">
        <v>124</v>
      </c>
      <c r="U1829" t="s">
        <v>124</v>
      </c>
      <c r="X1829" s="19">
        <f t="shared" si="108"/>
        <v>0.91034482758620694</v>
      </c>
      <c r="Y1829" s="19">
        <f t="shared" si="109"/>
        <v>1.2527634487840777E-2</v>
      </c>
      <c r="Z1829" s="26"/>
    </row>
    <row r="1830" spans="1:26" x14ac:dyDescent="0.35">
      <c r="A1830" t="s">
        <v>122</v>
      </c>
      <c r="B1830" t="s">
        <v>122</v>
      </c>
      <c r="C1830" t="s">
        <v>123</v>
      </c>
      <c r="D1830" t="s">
        <v>101</v>
      </c>
      <c r="E1830" t="s">
        <v>99</v>
      </c>
      <c r="F1830" t="s">
        <v>12</v>
      </c>
      <c r="G1830">
        <v>1</v>
      </c>
      <c r="H1830">
        <v>132</v>
      </c>
      <c r="I1830">
        <v>0.91034482758620605</v>
      </c>
      <c r="J1830" s="25">
        <f t="shared" si="111"/>
        <v>0.91034482758620694</v>
      </c>
      <c r="K1830">
        <v>1340</v>
      </c>
      <c r="L1830">
        <v>17</v>
      </c>
      <c r="M1830">
        <v>1.25276344878408E-2</v>
      </c>
      <c r="N1830" s="25">
        <f t="shared" si="110"/>
        <v>1.2527634487840777E-2</v>
      </c>
      <c r="O1830">
        <v>0.987472365512159</v>
      </c>
      <c r="P1830" s="25">
        <f t="shared" si="112"/>
        <v>0.98747236551215922</v>
      </c>
      <c r="Q1830">
        <v>13</v>
      </c>
      <c r="R1830" t="s">
        <v>124</v>
      </c>
      <c r="S1830" t="s">
        <v>124</v>
      </c>
      <c r="T1830" t="s">
        <v>124</v>
      </c>
      <c r="U1830" t="s">
        <v>124</v>
      </c>
      <c r="X1830" s="19">
        <f t="shared" si="108"/>
        <v>0.91034482758620694</v>
      </c>
      <c r="Y1830" s="19">
        <f t="shared" si="109"/>
        <v>1.2527634487840777E-2</v>
      </c>
      <c r="Z1830" s="26"/>
    </row>
    <row r="1831" spans="1:26" x14ac:dyDescent="0.35">
      <c r="A1831" t="s">
        <v>122</v>
      </c>
      <c r="B1831" t="s">
        <v>122</v>
      </c>
      <c r="C1831" t="s">
        <v>123</v>
      </c>
      <c r="D1831" t="s">
        <v>101</v>
      </c>
      <c r="E1831" t="s">
        <v>99</v>
      </c>
      <c r="F1831" t="s">
        <v>12</v>
      </c>
      <c r="G1831">
        <v>1</v>
      </c>
      <c r="H1831">
        <v>132</v>
      </c>
      <c r="I1831">
        <v>0.91034482758620605</v>
      </c>
      <c r="J1831" s="25">
        <f t="shared" si="111"/>
        <v>0.91034482758620694</v>
      </c>
      <c r="K1831">
        <v>1340</v>
      </c>
      <c r="L1831">
        <v>17</v>
      </c>
      <c r="M1831">
        <v>1.25276344878408E-2</v>
      </c>
      <c r="N1831" s="25">
        <f t="shared" si="110"/>
        <v>1.2527634487840777E-2</v>
      </c>
      <c r="O1831">
        <v>0.987472365512159</v>
      </c>
      <c r="P1831" s="25">
        <f t="shared" si="112"/>
        <v>0.98747236551215922</v>
      </c>
      <c r="Q1831">
        <v>13</v>
      </c>
      <c r="R1831" t="s">
        <v>124</v>
      </c>
      <c r="S1831" t="s">
        <v>124</v>
      </c>
      <c r="T1831" t="s">
        <v>124</v>
      </c>
      <c r="U1831" t="s">
        <v>124</v>
      </c>
      <c r="X1831" s="19">
        <f t="shared" si="108"/>
        <v>0.91034482758620694</v>
      </c>
      <c r="Y1831" s="19">
        <f t="shared" si="109"/>
        <v>1.2527634487840777E-2</v>
      </c>
      <c r="Z1831" s="26"/>
    </row>
    <row r="1832" spans="1:26" x14ac:dyDescent="0.35">
      <c r="A1832" t="s">
        <v>122</v>
      </c>
      <c r="B1832" t="s">
        <v>122</v>
      </c>
      <c r="C1832" t="s">
        <v>123</v>
      </c>
      <c r="D1832" t="s">
        <v>101</v>
      </c>
      <c r="E1832" t="s">
        <v>99</v>
      </c>
      <c r="F1832" t="s">
        <v>12</v>
      </c>
      <c r="G1832">
        <v>1</v>
      </c>
      <c r="H1832">
        <v>132</v>
      </c>
      <c r="I1832">
        <v>0.91034482758620605</v>
      </c>
      <c r="J1832" s="25">
        <f t="shared" si="111"/>
        <v>0.91034482758620694</v>
      </c>
      <c r="K1832">
        <v>1340</v>
      </c>
      <c r="L1832">
        <v>17</v>
      </c>
      <c r="M1832">
        <v>1.25276344878408E-2</v>
      </c>
      <c r="N1832" s="25">
        <f t="shared" si="110"/>
        <v>1.2527634487840777E-2</v>
      </c>
      <c r="O1832">
        <v>0.987472365512159</v>
      </c>
      <c r="P1832" s="25">
        <f t="shared" si="112"/>
        <v>0.98747236551215922</v>
      </c>
      <c r="Q1832">
        <v>13</v>
      </c>
      <c r="R1832" t="s">
        <v>124</v>
      </c>
      <c r="S1832" t="s">
        <v>124</v>
      </c>
      <c r="T1832" t="s">
        <v>124</v>
      </c>
      <c r="U1832" t="s">
        <v>124</v>
      </c>
      <c r="X1832" s="19">
        <f t="shared" si="108"/>
        <v>0.91034482758620694</v>
      </c>
      <c r="Y1832" s="19">
        <f t="shared" si="109"/>
        <v>1.2527634487840777E-2</v>
      </c>
      <c r="Z1832" s="26"/>
    </row>
    <row r="1833" spans="1:26" x14ac:dyDescent="0.35">
      <c r="A1833" t="s">
        <v>122</v>
      </c>
      <c r="B1833" t="s">
        <v>122</v>
      </c>
      <c r="C1833" t="s">
        <v>123</v>
      </c>
      <c r="D1833" t="s">
        <v>101</v>
      </c>
      <c r="E1833" t="s">
        <v>99</v>
      </c>
      <c r="F1833" t="s">
        <v>12</v>
      </c>
      <c r="G1833">
        <v>1</v>
      </c>
      <c r="H1833">
        <v>132</v>
      </c>
      <c r="I1833">
        <v>0.91034482758620605</v>
      </c>
      <c r="J1833" s="25">
        <f t="shared" si="111"/>
        <v>0.91034482758620694</v>
      </c>
      <c r="K1833">
        <v>1340</v>
      </c>
      <c r="L1833">
        <v>17</v>
      </c>
      <c r="M1833">
        <v>1.25276344878408E-2</v>
      </c>
      <c r="N1833" s="25">
        <f t="shared" si="110"/>
        <v>1.2527634487840777E-2</v>
      </c>
      <c r="O1833">
        <v>0.987472365512159</v>
      </c>
      <c r="P1833" s="25">
        <f t="shared" si="112"/>
        <v>0.98747236551215922</v>
      </c>
      <c r="Q1833">
        <v>13</v>
      </c>
      <c r="R1833" t="s">
        <v>124</v>
      </c>
      <c r="S1833" t="s">
        <v>124</v>
      </c>
      <c r="T1833" t="s">
        <v>124</v>
      </c>
      <c r="U1833" t="s">
        <v>124</v>
      </c>
      <c r="X1833" s="19">
        <f t="shared" si="108"/>
        <v>0.91034482758620694</v>
      </c>
      <c r="Y1833" s="19">
        <f t="shared" si="109"/>
        <v>1.2527634487840777E-2</v>
      </c>
      <c r="Z1833" s="26"/>
    </row>
    <row r="1834" spans="1:26" x14ac:dyDescent="0.35">
      <c r="A1834" t="s">
        <v>122</v>
      </c>
      <c r="B1834" t="s">
        <v>122</v>
      </c>
      <c r="C1834" t="s">
        <v>123</v>
      </c>
      <c r="D1834" t="s">
        <v>101</v>
      </c>
      <c r="E1834" t="s">
        <v>99</v>
      </c>
      <c r="F1834" t="s">
        <v>12</v>
      </c>
      <c r="G1834">
        <v>1</v>
      </c>
      <c r="H1834">
        <v>132</v>
      </c>
      <c r="I1834">
        <v>0.91034482758620605</v>
      </c>
      <c r="J1834" s="25">
        <f t="shared" si="111"/>
        <v>0.91034482758620694</v>
      </c>
      <c r="K1834">
        <v>1340</v>
      </c>
      <c r="L1834">
        <v>17</v>
      </c>
      <c r="M1834">
        <v>1.25276344878408E-2</v>
      </c>
      <c r="N1834" s="25">
        <f t="shared" si="110"/>
        <v>1.2527634487840777E-2</v>
      </c>
      <c r="O1834">
        <v>0.987472365512159</v>
      </c>
      <c r="P1834" s="25">
        <f t="shared" si="112"/>
        <v>0.98747236551215922</v>
      </c>
      <c r="Q1834">
        <v>13</v>
      </c>
      <c r="R1834" t="s">
        <v>124</v>
      </c>
      <c r="S1834" t="s">
        <v>124</v>
      </c>
      <c r="T1834" t="s">
        <v>124</v>
      </c>
      <c r="U1834" t="s">
        <v>124</v>
      </c>
      <c r="X1834" s="19">
        <f t="shared" si="108"/>
        <v>0.91034482758620694</v>
      </c>
      <c r="Y1834" s="19">
        <f t="shared" si="109"/>
        <v>1.2527634487840777E-2</v>
      </c>
      <c r="Z1834" s="26"/>
    </row>
    <row r="1835" spans="1:26" x14ac:dyDescent="0.35">
      <c r="A1835" t="s">
        <v>122</v>
      </c>
      <c r="B1835" t="s">
        <v>122</v>
      </c>
      <c r="C1835" t="s">
        <v>123</v>
      </c>
      <c r="D1835" t="s">
        <v>101</v>
      </c>
      <c r="E1835" t="s">
        <v>99</v>
      </c>
      <c r="F1835" t="s">
        <v>12</v>
      </c>
      <c r="G1835">
        <v>1</v>
      </c>
      <c r="H1835">
        <v>132</v>
      </c>
      <c r="I1835">
        <v>0.91034482758620605</v>
      </c>
      <c r="J1835" s="25">
        <f t="shared" si="111"/>
        <v>0.91034482758620694</v>
      </c>
      <c r="K1835">
        <v>1340</v>
      </c>
      <c r="L1835">
        <v>17</v>
      </c>
      <c r="M1835">
        <v>1.25276344878408E-2</v>
      </c>
      <c r="N1835" s="25">
        <f t="shared" si="110"/>
        <v>1.2527634487840777E-2</v>
      </c>
      <c r="O1835">
        <v>0.987472365512159</v>
      </c>
      <c r="P1835" s="25">
        <f t="shared" si="112"/>
        <v>0.98747236551215922</v>
      </c>
      <c r="Q1835">
        <v>13</v>
      </c>
      <c r="R1835" t="s">
        <v>124</v>
      </c>
      <c r="S1835" t="s">
        <v>124</v>
      </c>
      <c r="T1835" t="s">
        <v>124</v>
      </c>
      <c r="U1835" t="s">
        <v>124</v>
      </c>
      <c r="X1835" s="19">
        <f t="shared" si="108"/>
        <v>0.91034482758620694</v>
      </c>
      <c r="Y1835" s="19">
        <f t="shared" si="109"/>
        <v>1.2527634487840777E-2</v>
      </c>
      <c r="Z1835" s="26"/>
    </row>
    <row r="1836" spans="1:26" x14ac:dyDescent="0.35">
      <c r="A1836" t="s">
        <v>122</v>
      </c>
      <c r="B1836" t="s">
        <v>122</v>
      </c>
      <c r="C1836" t="s">
        <v>123</v>
      </c>
      <c r="D1836" t="s">
        <v>101</v>
      </c>
      <c r="E1836" t="s">
        <v>99</v>
      </c>
      <c r="F1836" t="s">
        <v>12</v>
      </c>
      <c r="G1836">
        <v>1</v>
      </c>
      <c r="H1836">
        <v>132</v>
      </c>
      <c r="I1836">
        <v>0.91034482758620605</v>
      </c>
      <c r="J1836" s="25">
        <f t="shared" si="111"/>
        <v>0.91034482758620694</v>
      </c>
      <c r="K1836">
        <v>1340</v>
      </c>
      <c r="L1836">
        <v>17</v>
      </c>
      <c r="M1836">
        <v>1.25276344878408E-2</v>
      </c>
      <c r="N1836" s="25">
        <f t="shared" si="110"/>
        <v>1.2527634487840777E-2</v>
      </c>
      <c r="O1836">
        <v>0.987472365512159</v>
      </c>
      <c r="P1836" s="25">
        <f t="shared" si="112"/>
        <v>0.98747236551215922</v>
      </c>
      <c r="Q1836">
        <v>13</v>
      </c>
      <c r="R1836" t="s">
        <v>124</v>
      </c>
      <c r="S1836" t="s">
        <v>124</v>
      </c>
      <c r="T1836" t="s">
        <v>124</v>
      </c>
      <c r="U1836" t="s">
        <v>124</v>
      </c>
      <c r="X1836" s="19">
        <f t="shared" si="108"/>
        <v>0.91034482758620694</v>
      </c>
      <c r="Y1836" s="19">
        <f t="shared" si="109"/>
        <v>1.2527634487840777E-2</v>
      </c>
      <c r="Z1836" s="26"/>
    </row>
    <row r="1837" spans="1:26" x14ac:dyDescent="0.35">
      <c r="A1837" t="s">
        <v>122</v>
      </c>
      <c r="B1837" t="s">
        <v>122</v>
      </c>
      <c r="C1837" t="s">
        <v>123</v>
      </c>
      <c r="D1837" t="s">
        <v>101</v>
      </c>
      <c r="E1837" t="s">
        <v>99</v>
      </c>
      <c r="F1837" t="s">
        <v>12</v>
      </c>
      <c r="G1837">
        <v>1</v>
      </c>
      <c r="H1837">
        <v>132</v>
      </c>
      <c r="I1837">
        <v>0.91034482758620605</v>
      </c>
      <c r="J1837" s="25">
        <f t="shared" si="111"/>
        <v>0.91034482758620694</v>
      </c>
      <c r="K1837">
        <v>1340</v>
      </c>
      <c r="L1837">
        <v>17</v>
      </c>
      <c r="M1837">
        <v>1.25276344878408E-2</v>
      </c>
      <c r="N1837" s="25">
        <f t="shared" si="110"/>
        <v>1.2527634487840777E-2</v>
      </c>
      <c r="O1837">
        <v>0.987472365512159</v>
      </c>
      <c r="P1837" s="25">
        <f t="shared" si="112"/>
        <v>0.98747236551215922</v>
      </c>
      <c r="Q1837">
        <v>13</v>
      </c>
      <c r="R1837" t="s">
        <v>124</v>
      </c>
      <c r="S1837" t="s">
        <v>124</v>
      </c>
      <c r="T1837" t="s">
        <v>124</v>
      </c>
      <c r="U1837" t="s">
        <v>124</v>
      </c>
      <c r="X1837" s="19">
        <f t="shared" si="108"/>
        <v>0.91034482758620694</v>
      </c>
      <c r="Y1837" s="19">
        <f t="shared" si="109"/>
        <v>1.2527634487840777E-2</v>
      </c>
      <c r="Z1837" s="26"/>
    </row>
    <row r="1838" spans="1:26" x14ac:dyDescent="0.35">
      <c r="A1838" t="s">
        <v>122</v>
      </c>
      <c r="B1838" t="s">
        <v>122</v>
      </c>
      <c r="C1838" t="s">
        <v>123</v>
      </c>
      <c r="D1838" t="s">
        <v>101</v>
      </c>
      <c r="E1838" t="s">
        <v>99</v>
      </c>
      <c r="F1838" t="s">
        <v>12</v>
      </c>
      <c r="G1838">
        <v>1</v>
      </c>
      <c r="H1838">
        <v>132</v>
      </c>
      <c r="I1838">
        <v>0.91034482758620605</v>
      </c>
      <c r="J1838" s="25">
        <f t="shared" si="111"/>
        <v>0.91034482758620694</v>
      </c>
      <c r="K1838">
        <v>1340</v>
      </c>
      <c r="L1838">
        <v>17</v>
      </c>
      <c r="M1838">
        <v>1.25276344878408E-2</v>
      </c>
      <c r="N1838" s="25">
        <f t="shared" si="110"/>
        <v>1.2527634487840777E-2</v>
      </c>
      <c r="O1838">
        <v>0.987472365512159</v>
      </c>
      <c r="P1838" s="25">
        <f t="shared" si="112"/>
        <v>0.98747236551215922</v>
      </c>
      <c r="Q1838">
        <v>13</v>
      </c>
      <c r="R1838" t="s">
        <v>124</v>
      </c>
      <c r="S1838" t="s">
        <v>124</v>
      </c>
      <c r="T1838" t="s">
        <v>124</v>
      </c>
      <c r="U1838" t="s">
        <v>124</v>
      </c>
      <c r="X1838" s="19">
        <f t="shared" ref="X1838:X1901" si="113">J1838</f>
        <v>0.91034482758620694</v>
      </c>
      <c r="Y1838" s="19">
        <f t="shared" ref="Y1838:Y1901" si="114">N1838</f>
        <v>1.2527634487840777E-2</v>
      </c>
      <c r="Z1838" s="26"/>
    </row>
    <row r="1839" spans="1:26" x14ac:dyDescent="0.35">
      <c r="A1839" t="s">
        <v>122</v>
      </c>
      <c r="B1839" t="s">
        <v>122</v>
      </c>
      <c r="C1839" t="s">
        <v>123</v>
      </c>
      <c r="D1839" t="s">
        <v>101</v>
      </c>
      <c r="E1839" t="s">
        <v>99</v>
      </c>
      <c r="F1839" t="s">
        <v>12</v>
      </c>
      <c r="G1839">
        <v>1</v>
      </c>
      <c r="H1839">
        <v>132</v>
      </c>
      <c r="I1839">
        <v>0.91034482758620605</v>
      </c>
      <c r="J1839" s="25">
        <f t="shared" si="111"/>
        <v>0.91034482758620694</v>
      </c>
      <c r="K1839">
        <v>1340</v>
      </c>
      <c r="L1839">
        <v>17</v>
      </c>
      <c r="M1839">
        <v>1.25276344878408E-2</v>
      </c>
      <c r="N1839" s="25">
        <f t="shared" si="110"/>
        <v>1.2527634487840777E-2</v>
      </c>
      <c r="O1839">
        <v>0.987472365512159</v>
      </c>
      <c r="P1839" s="25">
        <f t="shared" si="112"/>
        <v>0.98747236551215922</v>
      </c>
      <c r="Q1839">
        <v>13</v>
      </c>
      <c r="R1839" t="s">
        <v>124</v>
      </c>
      <c r="S1839" t="s">
        <v>124</v>
      </c>
      <c r="T1839" t="s">
        <v>124</v>
      </c>
      <c r="U1839" t="s">
        <v>124</v>
      </c>
      <c r="X1839" s="19">
        <f t="shared" si="113"/>
        <v>0.91034482758620694</v>
      </c>
      <c r="Y1839" s="19">
        <f t="shared" si="114"/>
        <v>1.2527634487840777E-2</v>
      </c>
      <c r="Z1839" s="26"/>
    </row>
    <row r="1840" spans="1:26" x14ac:dyDescent="0.35">
      <c r="A1840" t="s">
        <v>122</v>
      </c>
      <c r="B1840" t="s">
        <v>122</v>
      </c>
      <c r="C1840" t="s">
        <v>123</v>
      </c>
      <c r="D1840" t="s">
        <v>101</v>
      </c>
      <c r="E1840" t="s">
        <v>99</v>
      </c>
      <c r="F1840" t="s">
        <v>12</v>
      </c>
      <c r="G1840">
        <v>1</v>
      </c>
      <c r="H1840">
        <v>132</v>
      </c>
      <c r="I1840">
        <v>0.91034482758620605</v>
      </c>
      <c r="J1840" s="25">
        <f t="shared" si="111"/>
        <v>0.91034482758620694</v>
      </c>
      <c r="K1840">
        <v>1340</v>
      </c>
      <c r="L1840">
        <v>17</v>
      </c>
      <c r="M1840">
        <v>1.25276344878408E-2</v>
      </c>
      <c r="N1840" s="25">
        <f t="shared" si="110"/>
        <v>1.2527634487840777E-2</v>
      </c>
      <c r="O1840">
        <v>0.987472365512159</v>
      </c>
      <c r="P1840" s="25">
        <f t="shared" si="112"/>
        <v>0.98747236551215922</v>
      </c>
      <c r="Q1840">
        <v>13</v>
      </c>
      <c r="R1840" t="s">
        <v>124</v>
      </c>
      <c r="S1840" t="s">
        <v>124</v>
      </c>
      <c r="T1840" t="s">
        <v>124</v>
      </c>
      <c r="U1840" t="s">
        <v>124</v>
      </c>
      <c r="X1840" s="19">
        <f t="shared" si="113"/>
        <v>0.91034482758620694</v>
      </c>
      <c r="Y1840" s="19">
        <f t="shared" si="114"/>
        <v>1.2527634487840777E-2</v>
      </c>
      <c r="Z1840" s="26"/>
    </row>
    <row r="1841" spans="1:26" x14ac:dyDescent="0.35">
      <c r="A1841" t="s">
        <v>122</v>
      </c>
      <c r="B1841" t="s">
        <v>122</v>
      </c>
      <c r="C1841" t="s">
        <v>123</v>
      </c>
      <c r="D1841" t="s">
        <v>101</v>
      </c>
      <c r="E1841" t="s">
        <v>99</v>
      </c>
      <c r="F1841" t="s">
        <v>12</v>
      </c>
      <c r="G1841">
        <v>1</v>
      </c>
      <c r="H1841">
        <v>132</v>
      </c>
      <c r="I1841">
        <v>0.91034482758620605</v>
      </c>
      <c r="J1841" s="25">
        <f t="shared" si="111"/>
        <v>0.91034482758620694</v>
      </c>
      <c r="K1841">
        <v>1340</v>
      </c>
      <c r="L1841">
        <v>17</v>
      </c>
      <c r="M1841">
        <v>1.25276344878408E-2</v>
      </c>
      <c r="N1841" s="25">
        <f t="shared" si="110"/>
        <v>1.2527634487840777E-2</v>
      </c>
      <c r="O1841">
        <v>0.987472365512159</v>
      </c>
      <c r="P1841" s="25">
        <f t="shared" si="112"/>
        <v>0.98747236551215922</v>
      </c>
      <c r="Q1841">
        <v>13</v>
      </c>
      <c r="R1841" t="s">
        <v>124</v>
      </c>
      <c r="S1841" t="s">
        <v>124</v>
      </c>
      <c r="T1841" t="s">
        <v>124</v>
      </c>
      <c r="U1841" t="s">
        <v>124</v>
      </c>
      <c r="X1841" s="19">
        <f t="shared" si="113"/>
        <v>0.91034482758620694</v>
      </c>
      <c r="Y1841" s="19">
        <f t="shared" si="114"/>
        <v>1.2527634487840777E-2</v>
      </c>
      <c r="Z1841" s="26"/>
    </row>
    <row r="1842" spans="1:26" x14ac:dyDescent="0.35">
      <c r="A1842" t="s">
        <v>122</v>
      </c>
      <c r="B1842" t="s">
        <v>122</v>
      </c>
      <c r="C1842" t="s">
        <v>123</v>
      </c>
      <c r="D1842" t="s">
        <v>101</v>
      </c>
      <c r="E1842" t="s">
        <v>99</v>
      </c>
      <c r="F1842" t="s">
        <v>12</v>
      </c>
      <c r="G1842">
        <v>1</v>
      </c>
      <c r="H1842">
        <v>132</v>
      </c>
      <c r="I1842">
        <v>0.91034482758620605</v>
      </c>
      <c r="J1842" s="25">
        <f t="shared" si="111"/>
        <v>0.91034482758620694</v>
      </c>
      <c r="K1842">
        <v>1340</v>
      </c>
      <c r="L1842">
        <v>17</v>
      </c>
      <c r="M1842">
        <v>1.25276344878408E-2</v>
      </c>
      <c r="N1842" s="25">
        <f t="shared" si="110"/>
        <v>1.2527634487840777E-2</v>
      </c>
      <c r="O1842">
        <v>0.987472365512159</v>
      </c>
      <c r="P1842" s="25">
        <f t="shared" si="112"/>
        <v>0.98747236551215922</v>
      </c>
      <c r="Q1842">
        <v>13</v>
      </c>
      <c r="R1842" t="s">
        <v>124</v>
      </c>
      <c r="S1842" t="s">
        <v>124</v>
      </c>
      <c r="T1842" t="s">
        <v>124</v>
      </c>
      <c r="U1842" t="s">
        <v>124</v>
      </c>
      <c r="X1842" s="19">
        <f t="shared" si="113"/>
        <v>0.91034482758620694</v>
      </c>
      <c r="Y1842" s="19">
        <f t="shared" si="114"/>
        <v>1.2527634487840777E-2</v>
      </c>
      <c r="Z1842" s="26"/>
    </row>
    <row r="1843" spans="1:26" x14ac:dyDescent="0.35">
      <c r="A1843" t="s">
        <v>122</v>
      </c>
      <c r="B1843" t="s">
        <v>122</v>
      </c>
      <c r="C1843" t="s">
        <v>123</v>
      </c>
      <c r="D1843" t="s">
        <v>101</v>
      </c>
      <c r="E1843" t="s">
        <v>99</v>
      </c>
      <c r="F1843" t="s">
        <v>12</v>
      </c>
      <c r="G1843">
        <v>1</v>
      </c>
      <c r="H1843">
        <v>132</v>
      </c>
      <c r="I1843">
        <v>0.91034482758620605</v>
      </c>
      <c r="J1843" s="25">
        <f t="shared" si="111"/>
        <v>0.91034482758620694</v>
      </c>
      <c r="K1843">
        <v>1340</v>
      </c>
      <c r="L1843">
        <v>17</v>
      </c>
      <c r="M1843">
        <v>1.25276344878408E-2</v>
      </c>
      <c r="N1843" s="25">
        <f t="shared" si="110"/>
        <v>1.2527634487840777E-2</v>
      </c>
      <c r="O1843">
        <v>0.987472365512159</v>
      </c>
      <c r="P1843" s="25">
        <f t="shared" si="112"/>
        <v>0.98747236551215922</v>
      </c>
      <c r="Q1843">
        <v>13</v>
      </c>
      <c r="R1843" t="s">
        <v>124</v>
      </c>
      <c r="S1843" t="s">
        <v>124</v>
      </c>
      <c r="T1843" t="s">
        <v>124</v>
      </c>
      <c r="U1843" t="s">
        <v>124</v>
      </c>
      <c r="X1843" s="19">
        <f t="shared" si="113"/>
        <v>0.91034482758620694</v>
      </c>
      <c r="Y1843" s="19">
        <f t="shared" si="114"/>
        <v>1.2527634487840777E-2</v>
      </c>
      <c r="Z1843" s="26"/>
    </row>
    <row r="1844" spans="1:26" x14ac:dyDescent="0.35">
      <c r="A1844" t="s">
        <v>122</v>
      </c>
      <c r="B1844" t="s">
        <v>122</v>
      </c>
      <c r="C1844" t="s">
        <v>123</v>
      </c>
      <c r="D1844" t="s">
        <v>101</v>
      </c>
      <c r="E1844" t="s">
        <v>99</v>
      </c>
      <c r="F1844" t="s">
        <v>12</v>
      </c>
      <c r="G1844">
        <v>1</v>
      </c>
      <c r="H1844">
        <v>132</v>
      </c>
      <c r="I1844">
        <v>0.91034482758620605</v>
      </c>
      <c r="J1844" s="25">
        <f t="shared" si="111"/>
        <v>0.91034482758620694</v>
      </c>
      <c r="K1844">
        <v>1340</v>
      </c>
      <c r="L1844">
        <v>17</v>
      </c>
      <c r="M1844">
        <v>1.25276344878408E-2</v>
      </c>
      <c r="N1844" s="25">
        <f t="shared" si="110"/>
        <v>1.2527634487840777E-2</v>
      </c>
      <c r="O1844">
        <v>0.987472365512159</v>
      </c>
      <c r="P1844" s="25">
        <f t="shared" si="112"/>
        <v>0.98747236551215922</v>
      </c>
      <c r="Q1844">
        <v>13</v>
      </c>
      <c r="R1844" t="s">
        <v>124</v>
      </c>
      <c r="S1844" t="s">
        <v>124</v>
      </c>
      <c r="T1844" t="s">
        <v>124</v>
      </c>
      <c r="U1844" t="s">
        <v>124</v>
      </c>
      <c r="X1844" s="19">
        <f t="shared" si="113"/>
        <v>0.91034482758620694</v>
      </c>
      <c r="Y1844" s="19">
        <f t="shared" si="114"/>
        <v>1.2527634487840777E-2</v>
      </c>
      <c r="Z1844" s="26"/>
    </row>
    <row r="1845" spans="1:26" x14ac:dyDescent="0.35">
      <c r="A1845" t="s">
        <v>122</v>
      </c>
      <c r="B1845" t="s">
        <v>122</v>
      </c>
      <c r="C1845" t="s">
        <v>123</v>
      </c>
      <c r="D1845" t="s">
        <v>101</v>
      </c>
      <c r="E1845" t="s">
        <v>99</v>
      </c>
      <c r="F1845" t="s">
        <v>12</v>
      </c>
      <c r="G1845">
        <v>1</v>
      </c>
      <c r="H1845">
        <v>132</v>
      </c>
      <c r="I1845">
        <v>0.91034482758620605</v>
      </c>
      <c r="J1845" s="25">
        <f t="shared" si="111"/>
        <v>0.91034482758620694</v>
      </c>
      <c r="K1845">
        <v>1340</v>
      </c>
      <c r="L1845">
        <v>17</v>
      </c>
      <c r="M1845">
        <v>1.25276344878408E-2</v>
      </c>
      <c r="N1845" s="25">
        <f t="shared" si="110"/>
        <v>1.2527634487840777E-2</v>
      </c>
      <c r="O1845">
        <v>0.987472365512159</v>
      </c>
      <c r="P1845" s="25">
        <f t="shared" si="112"/>
        <v>0.98747236551215922</v>
      </c>
      <c r="Q1845">
        <v>13</v>
      </c>
      <c r="R1845" t="s">
        <v>124</v>
      </c>
      <c r="S1845" t="s">
        <v>124</v>
      </c>
      <c r="T1845" t="s">
        <v>124</v>
      </c>
      <c r="U1845" t="s">
        <v>124</v>
      </c>
      <c r="X1845" s="19">
        <f t="shared" si="113"/>
        <v>0.91034482758620694</v>
      </c>
      <c r="Y1845" s="19">
        <f t="shared" si="114"/>
        <v>1.2527634487840777E-2</v>
      </c>
      <c r="Z1845" s="26"/>
    </row>
    <row r="1846" spans="1:26" x14ac:dyDescent="0.35">
      <c r="A1846" t="s">
        <v>122</v>
      </c>
      <c r="B1846" t="s">
        <v>122</v>
      </c>
      <c r="C1846" t="s">
        <v>123</v>
      </c>
      <c r="D1846" t="s">
        <v>101</v>
      </c>
      <c r="E1846" t="s">
        <v>99</v>
      </c>
      <c r="F1846" t="s">
        <v>12</v>
      </c>
      <c r="G1846">
        <v>1</v>
      </c>
      <c r="H1846">
        <v>132</v>
      </c>
      <c r="I1846">
        <v>0.91034482758620605</v>
      </c>
      <c r="J1846" s="25">
        <f t="shared" si="111"/>
        <v>0.91034482758620694</v>
      </c>
      <c r="K1846">
        <v>1340</v>
      </c>
      <c r="L1846">
        <v>17</v>
      </c>
      <c r="M1846">
        <v>1.25276344878408E-2</v>
      </c>
      <c r="N1846" s="25">
        <f t="shared" si="110"/>
        <v>1.2527634487840777E-2</v>
      </c>
      <c r="O1846">
        <v>0.987472365512159</v>
      </c>
      <c r="P1846" s="25">
        <f t="shared" si="112"/>
        <v>0.98747236551215922</v>
      </c>
      <c r="Q1846">
        <v>13</v>
      </c>
      <c r="R1846" t="s">
        <v>124</v>
      </c>
      <c r="S1846" t="s">
        <v>124</v>
      </c>
      <c r="T1846" t="s">
        <v>124</v>
      </c>
      <c r="U1846" t="s">
        <v>124</v>
      </c>
      <c r="X1846" s="19">
        <f t="shared" si="113"/>
        <v>0.91034482758620694</v>
      </c>
      <c r="Y1846" s="19">
        <f t="shared" si="114"/>
        <v>1.2527634487840777E-2</v>
      </c>
      <c r="Z1846" s="26"/>
    </row>
    <row r="1847" spans="1:26" x14ac:dyDescent="0.35">
      <c r="A1847" t="s">
        <v>122</v>
      </c>
      <c r="B1847" t="s">
        <v>122</v>
      </c>
      <c r="C1847" t="s">
        <v>123</v>
      </c>
      <c r="D1847" t="s">
        <v>101</v>
      </c>
      <c r="E1847" t="s">
        <v>99</v>
      </c>
      <c r="F1847" t="s">
        <v>12</v>
      </c>
      <c r="G1847">
        <v>1</v>
      </c>
      <c r="H1847">
        <v>132</v>
      </c>
      <c r="I1847">
        <v>0.91034482758620605</v>
      </c>
      <c r="J1847" s="25">
        <f t="shared" si="111"/>
        <v>0.91034482758620694</v>
      </c>
      <c r="K1847">
        <v>1340</v>
      </c>
      <c r="L1847">
        <v>17</v>
      </c>
      <c r="M1847">
        <v>1.25276344878408E-2</v>
      </c>
      <c r="N1847" s="25">
        <f t="shared" si="110"/>
        <v>1.2527634487840777E-2</v>
      </c>
      <c r="O1847">
        <v>0.987472365512159</v>
      </c>
      <c r="P1847" s="25">
        <f t="shared" si="112"/>
        <v>0.98747236551215922</v>
      </c>
      <c r="Q1847">
        <v>13</v>
      </c>
      <c r="R1847" t="s">
        <v>124</v>
      </c>
      <c r="S1847" t="s">
        <v>124</v>
      </c>
      <c r="T1847" t="s">
        <v>124</v>
      </c>
      <c r="U1847" t="s">
        <v>124</v>
      </c>
      <c r="X1847" s="19">
        <f t="shared" si="113"/>
        <v>0.91034482758620694</v>
      </c>
      <c r="Y1847" s="19">
        <f t="shared" si="114"/>
        <v>1.2527634487840777E-2</v>
      </c>
      <c r="Z1847" s="26"/>
    </row>
    <row r="1848" spans="1:26" x14ac:dyDescent="0.35">
      <c r="A1848" t="s">
        <v>122</v>
      </c>
      <c r="B1848" t="s">
        <v>122</v>
      </c>
      <c r="C1848" t="s">
        <v>123</v>
      </c>
      <c r="D1848" t="s">
        <v>101</v>
      </c>
      <c r="E1848" t="s">
        <v>99</v>
      </c>
      <c r="F1848" t="s">
        <v>12</v>
      </c>
      <c r="G1848">
        <v>1</v>
      </c>
      <c r="H1848">
        <v>132</v>
      </c>
      <c r="I1848">
        <v>0.91034482758620605</v>
      </c>
      <c r="J1848" s="25">
        <f t="shared" si="111"/>
        <v>0.91034482758620694</v>
      </c>
      <c r="K1848">
        <v>1340</v>
      </c>
      <c r="L1848">
        <v>17</v>
      </c>
      <c r="M1848">
        <v>1.25276344878408E-2</v>
      </c>
      <c r="N1848" s="25">
        <f t="shared" si="110"/>
        <v>1.2527634487840777E-2</v>
      </c>
      <c r="O1848">
        <v>0.987472365512159</v>
      </c>
      <c r="P1848" s="25">
        <f t="shared" si="112"/>
        <v>0.98747236551215922</v>
      </c>
      <c r="Q1848">
        <v>13</v>
      </c>
      <c r="R1848" t="s">
        <v>124</v>
      </c>
      <c r="S1848" t="s">
        <v>124</v>
      </c>
      <c r="T1848" t="s">
        <v>124</v>
      </c>
      <c r="U1848" t="s">
        <v>124</v>
      </c>
      <c r="X1848" s="19">
        <f t="shared" si="113"/>
        <v>0.91034482758620694</v>
      </c>
      <c r="Y1848" s="19">
        <f t="shared" si="114"/>
        <v>1.2527634487840777E-2</v>
      </c>
      <c r="Z1848" s="26"/>
    </row>
    <row r="1849" spans="1:26" x14ac:dyDescent="0.35">
      <c r="A1849" t="s">
        <v>122</v>
      </c>
      <c r="B1849" t="s">
        <v>122</v>
      </c>
      <c r="C1849" t="s">
        <v>123</v>
      </c>
      <c r="D1849" t="s">
        <v>101</v>
      </c>
      <c r="E1849" t="s">
        <v>99</v>
      </c>
      <c r="F1849" t="s">
        <v>12</v>
      </c>
      <c r="G1849">
        <v>1</v>
      </c>
      <c r="H1849">
        <v>132</v>
      </c>
      <c r="I1849">
        <v>0.91034482758620605</v>
      </c>
      <c r="J1849" s="25">
        <f t="shared" si="111"/>
        <v>0.91034482758620694</v>
      </c>
      <c r="K1849">
        <v>1340</v>
      </c>
      <c r="L1849">
        <v>17</v>
      </c>
      <c r="M1849">
        <v>1.25276344878408E-2</v>
      </c>
      <c r="N1849" s="25">
        <f t="shared" si="110"/>
        <v>1.2527634487840777E-2</v>
      </c>
      <c r="O1849">
        <v>0.987472365512159</v>
      </c>
      <c r="P1849" s="25">
        <f t="shared" si="112"/>
        <v>0.98747236551215922</v>
      </c>
      <c r="Q1849">
        <v>13</v>
      </c>
      <c r="R1849" t="s">
        <v>124</v>
      </c>
      <c r="S1849" t="s">
        <v>124</v>
      </c>
      <c r="T1849" t="s">
        <v>124</v>
      </c>
      <c r="U1849" t="s">
        <v>124</v>
      </c>
      <c r="X1849" s="19">
        <f t="shared" si="113"/>
        <v>0.91034482758620694</v>
      </c>
      <c r="Y1849" s="19">
        <f t="shared" si="114"/>
        <v>1.2527634487840777E-2</v>
      </c>
      <c r="Z1849" s="26"/>
    </row>
    <row r="1850" spans="1:26" x14ac:dyDescent="0.35">
      <c r="A1850" t="s">
        <v>122</v>
      </c>
      <c r="B1850" t="s">
        <v>122</v>
      </c>
      <c r="C1850" t="s">
        <v>123</v>
      </c>
      <c r="D1850" t="s">
        <v>101</v>
      </c>
      <c r="E1850" t="s">
        <v>99</v>
      </c>
      <c r="F1850" t="s">
        <v>12</v>
      </c>
      <c r="G1850">
        <v>1</v>
      </c>
      <c r="H1850">
        <v>132</v>
      </c>
      <c r="I1850">
        <v>0.91034482758620605</v>
      </c>
      <c r="J1850" s="25">
        <f t="shared" si="111"/>
        <v>0.91034482758620694</v>
      </c>
      <c r="K1850">
        <v>1340</v>
      </c>
      <c r="L1850">
        <v>17</v>
      </c>
      <c r="M1850">
        <v>1.25276344878408E-2</v>
      </c>
      <c r="N1850" s="25">
        <f t="shared" si="110"/>
        <v>1.2527634487840777E-2</v>
      </c>
      <c r="O1850">
        <v>0.987472365512159</v>
      </c>
      <c r="P1850" s="25">
        <f t="shared" si="112"/>
        <v>0.98747236551215922</v>
      </c>
      <c r="Q1850">
        <v>13</v>
      </c>
      <c r="R1850" t="s">
        <v>124</v>
      </c>
      <c r="S1850" t="s">
        <v>124</v>
      </c>
      <c r="T1850" t="s">
        <v>124</v>
      </c>
      <c r="U1850" t="s">
        <v>124</v>
      </c>
      <c r="X1850" s="19">
        <f t="shared" si="113"/>
        <v>0.91034482758620694</v>
      </c>
      <c r="Y1850" s="19">
        <f t="shared" si="114"/>
        <v>1.2527634487840777E-2</v>
      </c>
      <c r="Z1850" s="26"/>
    </row>
    <row r="1851" spans="1:26" x14ac:dyDescent="0.35">
      <c r="A1851" t="s">
        <v>122</v>
      </c>
      <c r="B1851" t="s">
        <v>122</v>
      </c>
      <c r="C1851" t="s">
        <v>123</v>
      </c>
      <c r="D1851" t="s">
        <v>101</v>
      </c>
      <c r="E1851" t="s">
        <v>99</v>
      </c>
      <c r="F1851" t="s">
        <v>12</v>
      </c>
      <c r="G1851">
        <v>1</v>
      </c>
      <c r="H1851">
        <v>132</v>
      </c>
      <c r="I1851">
        <v>0.91034482758620605</v>
      </c>
      <c r="J1851" s="25">
        <f t="shared" si="111"/>
        <v>0.91034482758620694</v>
      </c>
      <c r="K1851">
        <v>1340</v>
      </c>
      <c r="L1851">
        <v>17</v>
      </c>
      <c r="M1851">
        <v>1.25276344878408E-2</v>
      </c>
      <c r="N1851" s="25">
        <f t="shared" si="110"/>
        <v>1.2527634487840777E-2</v>
      </c>
      <c r="O1851">
        <v>0.987472365512159</v>
      </c>
      <c r="P1851" s="25">
        <f t="shared" si="112"/>
        <v>0.98747236551215922</v>
      </c>
      <c r="Q1851">
        <v>13</v>
      </c>
      <c r="R1851" t="s">
        <v>124</v>
      </c>
      <c r="S1851" t="s">
        <v>124</v>
      </c>
      <c r="T1851" t="s">
        <v>124</v>
      </c>
      <c r="U1851" t="s">
        <v>124</v>
      </c>
      <c r="X1851" s="19">
        <f t="shared" si="113"/>
        <v>0.91034482758620694</v>
      </c>
      <c r="Y1851" s="19">
        <f t="shared" si="114"/>
        <v>1.2527634487840777E-2</v>
      </c>
      <c r="Z1851" s="26"/>
    </row>
    <row r="1852" spans="1:26" x14ac:dyDescent="0.35">
      <c r="A1852" t="s">
        <v>122</v>
      </c>
      <c r="B1852" t="s">
        <v>122</v>
      </c>
      <c r="C1852" t="s">
        <v>123</v>
      </c>
      <c r="D1852" t="s">
        <v>101</v>
      </c>
      <c r="E1852" t="s">
        <v>99</v>
      </c>
      <c r="F1852" t="s">
        <v>12</v>
      </c>
      <c r="G1852">
        <v>1</v>
      </c>
      <c r="H1852">
        <v>132</v>
      </c>
      <c r="I1852">
        <v>0.91034482758620605</v>
      </c>
      <c r="J1852" s="25">
        <f t="shared" si="111"/>
        <v>0.91034482758620694</v>
      </c>
      <c r="K1852">
        <v>1340</v>
      </c>
      <c r="L1852">
        <v>17</v>
      </c>
      <c r="M1852">
        <v>1.25276344878408E-2</v>
      </c>
      <c r="N1852" s="25">
        <f t="shared" si="110"/>
        <v>1.2527634487840777E-2</v>
      </c>
      <c r="O1852">
        <v>0.987472365512159</v>
      </c>
      <c r="P1852" s="25">
        <f t="shared" si="112"/>
        <v>0.98747236551215922</v>
      </c>
      <c r="Q1852">
        <v>13</v>
      </c>
      <c r="R1852" t="s">
        <v>124</v>
      </c>
      <c r="S1852" t="s">
        <v>124</v>
      </c>
      <c r="T1852" t="s">
        <v>124</v>
      </c>
      <c r="U1852" t="s">
        <v>124</v>
      </c>
      <c r="X1852" s="19">
        <f t="shared" si="113"/>
        <v>0.91034482758620694</v>
      </c>
      <c r="Y1852" s="19">
        <f t="shared" si="114"/>
        <v>1.2527634487840777E-2</v>
      </c>
      <c r="Z1852" s="26"/>
    </row>
    <row r="1853" spans="1:26" x14ac:dyDescent="0.35">
      <c r="A1853" t="s">
        <v>122</v>
      </c>
      <c r="B1853" t="s">
        <v>122</v>
      </c>
      <c r="C1853" t="s">
        <v>123</v>
      </c>
      <c r="D1853" t="s">
        <v>101</v>
      </c>
      <c r="E1853" t="s">
        <v>99</v>
      </c>
      <c r="F1853" t="s">
        <v>12</v>
      </c>
      <c r="G1853">
        <v>1</v>
      </c>
      <c r="H1853">
        <v>132</v>
      </c>
      <c r="I1853">
        <v>0.91034482758620605</v>
      </c>
      <c r="J1853" s="25">
        <f t="shared" si="111"/>
        <v>0.91034482758620694</v>
      </c>
      <c r="K1853">
        <v>1340</v>
      </c>
      <c r="L1853">
        <v>17</v>
      </c>
      <c r="M1853">
        <v>1.25276344878408E-2</v>
      </c>
      <c r="N1853" s="25">
        <f t="shared" si="110"/>
        <v>1.2527634487840777E-2</v>
      </c>
      <c r="O1853">
        <v>0.987472365512159</v>
      </c>
      <c r="P1853" s="25">
        <f t="shared" si="112"/>
        <v>0.98747236551215922</v>
      </c>
      <c r="Q1853">
        <v>13</v>
      </c>
      <c r="R1853" t="s">
        <v>124</v>
      </c>
      <c r="S1853" t="s">
        <v>124</v>
      </c>
      <c r="T1853" t="s">
        <v>124</v>
      </c>
      <c r="U1853" t="s">
        <v>124</v>
      </c>
      <c r="X1853" s="19">
        <f t="shared" si="113"/>
        <v>0.91034482758620694</v>
      </c>
      <c r="Y1853" s="19">
        <f t="shared" si="114"/>
        <v>1.2527634487840777E-2</v>
      </c>
      <c r="Z1853" s="26"/>
    </row>
    <row r="1854" spans="1:26" x14ac:dyDescent="0.35">
      <c r="A1854" t="s">
        <v>122</v>
      </c>
      <c r="B1854" t="s">
        <v>122</v>
      </c>
      <c r="C1854" t="s">
        <v>123</v>
      </c>
      <c r="D1854" t="s">
        <v>101</v>
      </c>
      <c r="E1854" t="s">
        <v>99</v>
      </c>
      <c r="F1854" t="s">
        <v>12</v>
      </c>
      <c r="G1854">
        <v>1</v>
      </c>
      <c r="H1854">
        <v>132</v>
      </c>
      <c r="I1854">
        <v>0.91034482758620605</v>
      </c>
      <c r="J1854" s="25">
        <f t="shared" si="111"/>
        <v>0.91034482758620694</v>
      </c>
      <c r="K1854">
        <v>1340</v>
      </c>
      <c r="L1854">
        <v>17</v>
      </c>
      <c r="M1854">
        <v>1.25276344878408E-2</v>
      </c>
      <c r="N1854" s="25">
        <f t="shared" si="110"/>
        <v>1.2527634487840777E-2</v>
      </c>
      <c r="O1854">
        <v>0.987472365512159</v>
      </c>
      <c r="P1854" s="25">
        <f t="shared" si="112"/>
        <v>0.98747236551215922</v>
      </c>
      <c r="Q1854">
        <v>13</v>
      </c>
      <c r="R1854" t="s">
        <v>124</v>
      </c>
      <c r="S1854" t="s">
        <v>124</v>
      </c>
      <c r="T1854" t="s">
        <v>124</v>
      </c>
      <c r="U1854" t="s">
        <v>124</v>
      </c>
      <c r="X1854" s="19">
        <f t="shared" si="113"/>
        <v>0.91034482758620694</v>
      </c>
      <c r="Y1854" s="19">
        <f t="shared" si="114"/>
        <v>1.2527634487840777E-2</v>
      </c>
      <c r="Z1854" s="26"/>
    </row>
    <row r="1855" spans="1:26" x14ac:dyDescent="0.35">
      <c r="A1855" t="s">
        <v>122</v>
      </c>
      <c r="B1855" t="s">
        <v>122</v>
      </c>
      <c r="C1855" t="s">
        <v>123</v>
      </c>
      <c r="D1855" t="s">
        <v>101</v>
      </c>
      <c r="E1855" t="s">
        <v>99</v>
      </c>
      <c r="F1855" t="s">
        <v>12</v>
      </c>
      <c r="G1855">
        <v>1</v>
      </c>
      <c r="H1855">
        <v>132</v>
      </c>
      <c r="I1855">
        <v>0.91034482758620605</v>
      </c>
      <c r="J1855" s="25">
        <f t="shared" si="111"/>
        <v>0.91034482758620694</v>
      </c>
      <c r="K1855">
        <v>1340</v>
      </c>
      <c r="L1855">
        <v>17</v>
      </c>
      <c r="M1855">
        <v>1.25276344878408E-2</v>
      </c>
      <c r="N1855" s="25">
        <f t="shared" si="110"/>
        <v>1.2527634487840777E-2</v>
      </c>
      <c r="O1855">
        <v>0.987472365512159</v>
      </c>
      <c r="P1855" s="25">
        <f t="shared" si="112"/>
        <v>0.98747236551215922</v>
      </c>
      <c r="Q1855">
        <v>13</v>
      </c>
      <c r="R1855" t="s">
        <v>124</v>
      </c>
      <c r="S1855" t="s">
        <v>124</v>
      </c>
      <c r="T1855" t="s">
        <v>124</v>
      </c>
      <c r="U1855" t="s">
        <v>124</v>
      </c>
      <c r="X1855" s="19">
        <f t="shared" si="113"/>
        <v>0.91034482758620694</v>
      </c>
      <c r="Y1855" s="19">
        <f t="shared" si="114"/>
        <v>1.2527634487840777E-2</v>
      </c>
      <c r="Z1855" s="26"/>
    </row>
    <row r="1856" spans="1:26" x14ac:dyDescent="0.35">
      <c r="A1856" t="s">
        <v>122</v>
      </c>
      <c r="B1856" t="s">
        <v>122</v>
      </c>
      <c r="C1856" t="s">
        <v>123</v>
      </c>
      <c r="D1856" t="s">
        <v>101</v>
      </c>
      <c r="E1856" t="s">
        <v>99</v>
      </c>
      <c r="F1856" t="s">
        <v>12</v>
      </c>
      <c r="G1856">
        <v>1</v>
      </c>
      <c r="H1856">
        <v>132</v>
      </c>
      <c r="I1856">
        <v>0.91034482758620605</v>
      </c>
      <c r="J1856" s="25">
        <f t="shared" si="111"/>
        <v>0.91034482758620694</v>
      </c>
      <c r="K1856">
        <v>1340</v>
      </c>
      <c r="L1856">
        <v>17</v>
      </c>
      <c r="M1856">
        <v>1.25276344878408E-2</v>
      </c>
      <c r="N1856" s="25">
        <f t="shared" si="110"/>
        <v>1.2527634487840777E-2</v>
      </c>
      <c r="O1856">
        <v>0.987472365512159</v>
      </c>
      <c r="P1856" s="25">
        <f t="shared" si="112"/>
        <v>0.98747236551215922</v>
      </c>
      <c r="Q1856">
        <v>13</v>
      </c>
      <c r="R1856" t="s">
        <v>124</v>
      </c>
      <c r="S1856" t="s">
        <v>124</v>
      </c>
      <c r="T1856" t="s">
        <v>124</v>
      </c>
      <c r="U1856" t="s">
        <v>124</v>
      </c>
      <c r="X1856" s="19">
        <f t="shared" si="113"/>
        <v>0.91034482758620694</v>
      </c>
      <c r="Y1856" s="19">
        <f t="shared" si="114"/>
        <v>1.2527634487840777E-2</v>
      </c>
      <c r="Z1856" s="26"/>
    </row>
    <row r="1857" spans="1:26" x14ac:dyDescent="0.35">
      <c r="A1857" t="s">
        <v>122</v>
      </c>
      <c r="B1857" t="s">
        <v>122</v>
      </c>
      <c r="C1857" t="s">
        <v>123</v>
      </c>
      <c r="D1857" t="s">
        <v>101</v>
      </c>
      <c r="E1857" t="s">
        <v>99</v>
      </c>
      <c r="F1857" t="s">
        <v>12</v>
      </c>
      <c r="G1857">
        <v>1</v>
      </c>
      <c r="H1857">
        <v>132</v>
      </c>
      <c r="I1857">
        <v>0.91034482758620605</v>
      </c>
      <c r="J1857" s="25">
        <f t="shared" si="111"/>
        <v>0.91034482758620694</v>
      </c>
      <c r="K1857">
        <v>1340</v>
      </c>
      <c r="L1857">
        <v>17</v>
      </c>
      <c r="M1857">
        <v>1.25276344878408E-2</v>
      </c>
      <c r="N1857" s="25">
        <f t="shared" si="110"/>
        <v>1.2527634487840777E-2</v>
      </c>
      <c r="O1857">
        <v>0.987472365512159</v>
      </c>
      <c r="P1857" s="25">
        <f t="shared" si="112"/>
        <v>0.98747236551215922</v>
      </c>
      <c r="Q1857">
        <v>13</v>
      </c>
      <c r="R1857" t="s">
        <v>124</v>
      </c>
      <c r="S1857" t="s">
        <v>124</v>
      </c>
      <c r="T1857" t="s">
        <v>124</v>
      </c>
      <c r="U1857" t="s">
        <v>124</v>
      </c>
      <c r="X1857" s="19">
        <f t="shared" si="113"/>
        <v>0.91034482758620694</v>
      </c>
      <c r="Y1857" s="19">
        <f t="shared" si="114"/>
        <v>1.2527634487840777E-2</v>
      </c>
      <c r="Z1857" s="26"/>
    </row>
    <row r="1858" spans="1:26" x14ac:dyDescent="0.35">
      <c r="A1858" t="s">
        <v>122</v>
      </c>
      <c r="B1858" t="s">
        <v>122</v>
      </c>
      <c r="C1858" t="s">
        <v>123</v>
      </c>
      <c r="D1858" t="s">
        <v>101</v>
      </c>
      <c r="E1858" t="s">
        <v>99</v>
      </c>
      <c r="F1858" t="s">
        <v>12</v>
      </c>
      <c r="G1858">
        <v>1</v>
      </c>
      <c r="H1858">
        <v>132</v>
      </c>
      <c r="I1858">
        <v>0.91034482758620605</v>
      </c>
      <c r="J1858" s="25">
        <f t="shared" si="111"/>
        <v>0.91034482758620694</v>
      </c>
      <c r="K1858">
        <v>1340</v>
      </c>
      <c r="L1858">
        <v>17</v>
      </c>
      <c r="M1858">
        <v>1.25276344878408E-2</v>
      </c>
      <c r="N1858" s="25">
        <f t="shared" ref="N1858:N1921" si="115">1-P1858</f>
        <v>1.2527634487840777E-2</v>
      </c>
      <c r="O1858">
        <v>0.987472365512159</v>
      </c>
      <c r="P1858" s="25">
        <f t="shared" si="112"/>
        <v>0.98747236551215922</v>
      </c>
      <c r="Q1858">
        <v>13</v>
      </c>
      <c r="R1858" t="s">
        <v>124</v>
      </c>
      <c r="S1858" t="s">
        <v>124</v>
      </c>
      <c r="T1858" t="s">
        <v>124</v>
      </c>
      <c r="U1858" t="s">
        <v>124</v>
      </c>
      <c r="X1858" s="19">
        <f t="shared" si="113"/>
        <v>0.91034482758620694</v>
      </c>
      <c r="Y1858" s="19">
        <f t="shared" si="114"/>
        <v>1.2527634487840777E-2</v>
      </c>
      <c r="Z1858" s="26"/>
    </row>
    <row r="1859" spans="1:26" x14ac:dyDescent="0.35">
      <c r="A1859" t="s">
        <v>122</v>
      </c>
      <c r="B1859" t="s">
        <v>122</v>
      </c>
      <c r="C1859" t="s">
        <v>123</v>
      </c>
      <c r="D1859" t="s">
        <v>101</v>
      </c>
      <c r="E1859" t="s">
        <v>99</v>
      </c>
      <c r="F1859" t="s">
        <v>12</v>
      </c>
      <c r="G1859">
        <v>1</v>
      </c>
      <c r="H1859">
        <v>132</v>
      </c>
      <c r="I1859">
        <v>0.91034482758620605</v>
      </c>
      <c r="J1859" s="25">
        <f t="shared" ref="J1859:J1922" si="116">H1859/(H1859+Q1859)</f>
        <v>0.91034482758620694</v>
      </c>
      <c r="K1859">
        <v>1340</v>
      </c>
      <c r="L1859">
        <v>17</v>
      </c>
      <c r="M1859">
        <v>1.25276344878408E-2</v>
      </c>
      <c r="N1859" s="25">
        <f t="shared" si="115"/>
        <v>1.2527634487840777E-2</v>
      </c>
      <c r="O1859">
        <v>0.987472365512159</v>
      </c>
      <c r="P1859" s="25">
        <f t="shared" ref="P1859:P1922" si="117">K1859/(K1859+L1859)</f>
        <v>0.98747236551215922</v>
      </c>
      <c r="Q1859">
        <v>13</v>
      </c>
      <c r="R1859" t="s">
        <v>124</v>
      </c>
      <c r="S1859" t="s">
        <v>124</v>
      </c>
      <c r="T1859" t="s">
        <v>124</v>
      </c>
      <c r="U1859" t="s">
        <v>124</v>
      </c>
      <c r="X1859" s="19">
        <f t="shared" si="113"/>
        <v>0.91034482758620694</v>
      </c>
      <c r="Y1859" s="19">
        <f t="shared" si="114"/>
        <v>1.2527634487840777E-2</v>
      </c>
      <c r="Z1859" s="26"/>
    </row>
    <row r="1860" spans="1:26" x14ac:dyDescent="0.35">
      <c r="A1860" t="s">
        <v>122</v>
      </c>
      <c r="B1860" t="s">
        <v>122</v>
      </c>
      <c r="C1860" t="s">
        <v>123</v>
      </c>
      <c r="D1860" t="s">
        <v>101</v>
      </c>
      <c r="E1860" t="s">
        <v>99</v>
      </c>
      <c r="F1860" t="s">
        <v>12</v>
      </c>
      <c r="G1860">
        <v>1</v>
      </c>
      <c r="H1860">
        <v>132</v>
      </c>
      <c r="I1860">
        <v>0.91034482758620605</v>
      </c>
      <c r="J1860" s="25">
        <f t="shared" si="116"/>
        <v>0.91034482758620694</v>
      </c>
      <c r="K1860">
        <v>1340</v>
      </c>
      <c r="L1860">
        <v>17</v>
      </c>
      <c r="M1860">
        <v>1.25276344878408E-2</v>
      </c>
      <c r="N1860" s="25">
        <f t="shared" si="115"/>
        <v>1.2527634487840777E-2</v>
      </c>
      <c r="O1860">
        <v>0.987472365512159</v>
      </c>
      <c r="P1860" s="25">
        <f t="shared" si="117"/>
        <v>0.98747236551215922</v>
      </c>
      <c r="Q1860">
        <v>13</v>
      </c>
      <c r="R1860" t="s">
        <v>124</v>
      </c>
      <c r="S1860" t="s">
        <v>124</v>
      </c>
      <c r="T1860" t="s">
        <v>124</v>
      </c>
      <c r="U1860" t="s">
        <v>124</v>
      </c>
      <c r="X1860" s="19">
        <f t="shared" si="113"/>
        <v>0.91034482758620694</v>
      </c>
      <c r="Y1860" s="19">
        <f t="shared" si="114"/>
        <v>1.2527634487840777E-2</v>
      </c>
      <c r="Z1860" s="26"/>
    </row>
    <row r="1861" spans="1:26" x14ac:dyDescent="0.35">
      <c r="A1861" t="s">
        <v>122</v>
      </c>
      <c r="B1861" t="s">
        <v>122</v>
      </c>
      <c r="C1861" t="s">
        <v>123</v>
      </c>
      <c r="D1861" t="s">
        <v>101</v>
      </c>
      <c r="E1861" t="s">
        <v>99</v>
      </c>
      <c r="F1861" t="s">
        <v>12</v>
      </c>
      <c r="G1861">
        <v>1</v>
      </c>
      <c r="H1861">
        <v>132</v>
      </c>
      <c r="I1861">
        <v>0.91034482758620605</v>
      </c>
      <c r="J1861" s="25">
        <f t="shared" si="116"/>
        <v>0.91034482758620694</v>
      </c>
      <c r="K1861">
        <v>1340</v>
      </c>
      <c r="L1861">
        <v>17</v>
      </c>
      <c r="M1861">
        <v>1.25276344878408E-2</v>
      </c>
      <c r="N1861" s="25">
        <f t="shared" si="115"/>
        <v>1.2527634487840777E-2</v>
      </c>
      <c r="O1861">
        <v>0.987472365512159</v>
      </c>
      <c r="P1861" s="25">
        <f t="shared" si="117"/>
        <v>0.98747236551215922</v>
      </c>
      <c r="Q1861">
        <v>13</v>
      </c>
      <c r="R1861" t="s">
        <v>124</v>
      </c>
      <c r="S1861" t="s">
        <v>124</v>
      </c>
      <c r="T1861" t="s">
        <v>124</v>
      </c>
      <c r="U1861" t="s">
        <v>124</v>
      </c>
      <c r="X1861" s="19">
        <f t="shared" si="113"/>
        <v>0.91034482758620694</v>
      </c>
      <c r="Y1861" s="19">
        <f t="shared" si="114"/>
        <v>1.2527634487840777E-2</v>
      </c>
      <c r="Z1861" s="26"/>
    </row>
    <row r="1862" spans="1:26" x14ac:dyDescent="0.35">
      <c r="A1862" t="s">
        <v>122</v>
      </c>
      <c r="B1862" t="s">
        <v>122</v>
      </c>
      <c r="C1862" t="s">
        <v>123</v>
      </c>
      <c r="D1862" t="s">
        <v>101</v>
      </c>
      <c r="E1862" t="s">
        <v>99</v>
      </c>
      <c r="F1862" t="s">
        <v>12</v>
      </c>
      <c r="G1862">
        <v>1</v>
      </c>
      <c r="H1862">
        <v>132</v>
      </c>
      <c r="I1862">
        <v>0.91034482758620605</v>
      </c>
      <c r="J1862" s="25">
        <f t="shared" si="116"/>
        <v>0.91034482758620694</v>
      </c>
      <c r="K1862">
        <v>1340</v>
      </c>
      <c r="L1862">
        <v>17</v>
      </c>
      <c r="M1862">
        <v>1.25276344878408E-2</v>
      </c>
      <c r="N1862" s="25">
        <f t="shared" si="115"/>
        <v>1.2527634487840777E-2</v>
      </c>
      <c r="O1862">
        <v>0.987472365512159</v>
      </c>
      <c r="P1862" s="25">
        <f t="shared" si="117"/>
        <v>0.98747236551215922</v>
      </c>
      <c r="Q1862">
        <v>13</v>
      </c>
      <c r="R1862" t="s">
        <v>124</v>
      </c>
      <c r="S1862" t="s">
        <v>124</v>
      </c>
      <c r="T1862" t="s">
        <v>124</v>
      </c>
      <c r="U1862" t="s">
        <v>124</v>
      </c>
      <c r="X1862" s="19">
        <f t="shared" si="113"/>
        <v>0.91034482758620694</v>
      </c>
      <c r="Y1862" s="19">
        <f t="shared" si="114"/>
        <v>1.2527634487840777E-2</v>
      </c>
      <c r="Z1862" s="26"/>
    </row>
    <row r="1863" spans="1:26" x14ac:dyDescent="0.35">
      <c r="A1863" t="s">
        <v>122</v>
      </c>
      <c r="B1863" t="s">
        <v>122</v>
      </c>
      <c r="C1863" t="s">
        <v>123</v>
      </c>
      <c r="D1863" t="s">
        <v>101</v>
      </c>
      <c r="E1863" t="s">
        <v>99</v>
      </c>
      <c r="F1863" t="s">
        <v>12</v>
      </c>
      <c r="G1863">
        <v>1</v>
      </c>
      <c r="H1863">
        <v>132</v>
      </c>
      <c r="I1863">
        <v>0.91034482758620605</v>
      </c>
      <c r="J1863" s="25">
        <f t="shared" si="116"/>
        <v>0.91034482758620694</v>
      </c>
      <c r="K1863">
        <v>1340</v>
      </c>
      <c r="L1863">
        <v>17</v>
      </c>
      <c r="M1863">
        <v>1.25276344878408E-2</v>
      </c>
      <c r="N1863" s="25">
        <f t="shared" si="115"/>
        <v>1.2527634487840777E-2</v>
      </c>
      <c r="O1863">
        <v>0.987472365512159</v>
      </c>
      <c r="P1863" s="25">
        <f t="shared" si="117"/>
        <v>0.98747236551215922</v>
      </c>
      <c r="Q1863">
        <v>13</v>
      </c>
      <c r="R1863" t="s">
        <v>124</v>
      </c>
      <c r="S1863" t="s">
        <v>124</v>
      </c>
      <c r="T1863" t="s">
        <v>124</v>
      </c>
      <c r="U1863" t="s">
        <v>124</v>
      </c>
      <c r="X1863" s="19">
        <f t="shared" si="113"/>
        <v>0.91034482758620694</v>
      </c>
      <c r="Y1863" s="19">
        <f t="shared" si="114"/>
        <v>1.2527634487840777E-2</v>
      </c>
      <c r="Z1863" s="26"/>
    </row>
    <row r="1864" spans="1:26" x14ac:dyDescent="0.35">
      <c r="A1864" t="s">
        <v>122</v>
      </c>
      <c r="B1864" t="s">
        <v>122</v>
      </c>
      <c r="C1864" t="s">
        <v>123</v>
      </c>
      <c r="D1864" t="s">
        <v>101</v>
      </c>
      <c r="E1864" t="s">
        <v>99</v>
      </c>
      <c r="F1864" t="s">
        <v>12</v>
      </c>
      <c r="G1864">
        <v>1</v>
      </c>
      <c r="H1864">
        <v>132</v>
      </c>
      <c r="I1864">
        <v>0.91034482758620605</v>
      </c>
      <c r="J1864" s="25">
        <f t="shared" si="116"/>
        <v>0.91034482758620694</v>
      </c>
      <c r="K1864">
        <v>1340</v>
      </c>
      <c r="L1864">
        <v>17</v>
      </c>
      <c r="M1864">
        <v>1.25276344878408E-2</v>
      </c>
      <c r="N1864" s="25">
        <f t="shared" si="115"/>
        <v>1.2527634487840777E-2</v>
      </c>
      <c r="O1864">
        <v>0.987472365512159</v>
      </c>
      <c r="P1864" s="25">
        <f t="shared" si="117"/>
        <v>0.98747236551215922</v>
      </c>
      <c r="Q1864">
        <v>13</v>
      </c>
      <c r="R1864" t="s">
        <v>124</v>
      </c>
      <c r="S1864" t="s">
        <v>124</v>
      </c>
      <c r="T1864" t="s">
        <v>124</v>
      </c>
      <c r="U1864" t="s">
        <v>124</v>
      </c>
      <c r="X1864" s="19">
        <f t="shared" si="113"/>
        <v>0.91034482758620694</v>
      </c>
      <c r="Y1864" s="19">
        <f t="shared" si="114"/>
        <v>1.2527634487840777E-2</v>
      </c>
      <c r="Z1864" s="26"/>
    </row>
    <row r="1865" spans="1:26" x14ac:dyDescent="0.35">
      <c r="A1865" t="s">
        <v>122</v>
      </c>
      <c r="B1865" t="s">
        <v>122</v>
      </c>
      <c r="C1865" t="s">
        <v>123</v>
      </c>
      <c r="D1865" t="s">
        <v>101</v>
      </c>
      <c r="E1865" t="s">
        <v>99</v>
      </c>
      <c r="F1865" t="s">
        <v>12</v>
      </c>
      <c r="G1865">
        <v>1</v>
      </c>
      <c r="H1865">
        <v>132</v>
      </c>
      <c r="I1865">
        <v>0.91034482758620605</v>
      </c>
      <c r="J1865" s="25">
        <f t="shared" si="116"/>
        <v>0.91034482758620694</v>
      </c>
      <c r="K1865">
        <v>1340</v>
      </c>
      <c r="L1865">
        <v>17</v>
      </c>
      <c r="M1865">
        <v>1.25276344878408E-2</v>
      </c>
      <c r="N1865" s="25">
        <f t="shared" si="115"/>
        <v>1.2527634487840777E-2</v>
      </c>
      <c r="O1865">
        <v>0.987472365512159</v>
      </c>
      <c r="P1865" s="25">
        <f t="shared" si="117"/>
        <v>0.98747236551215922</v>
      </c>
      <c r="Q1865">
        <v>13</v>
      </c>
      <c r="R1865" t="s">
        <v>124</v>
      </c>
      <c r="S1865" t="s">
        <v>124</v>
      </c>
      <c r="T1865" t="s">
        <v>124</v>
      </c>
      <c r="U1865" t="s">
        <v>124</v>
      </c>
      <c r="X1865" s="19">
        <f t="shared" si="113"/>
        <v>0.91034482758620694</v>
      </c>
      <c r="Y1865" s="19">
        <f t="shared" si="114"/>
        <v>1.2527634487840777E-2</v>
      </c>
      <c r="Z1865" s="26"/>
    </row>
    <row r="1866" spans="1:26" x14ac:dyDescent="0.35">
      <c r="A1866" t="s">
        <v>122</v>
      </c>
      <c r="B1866" t="s">
        <v>122</v>
      </c>
      <c r="C1866" t="s">
        <v>123</v>
      </c>
      <c r="D1866" t="s">
        <v>101</v>
      </c>
      <c r="E1866" t="s">
        <v>99</v>
      </c>
      <c r="F1866" t="s">
        <v>12</v>
      </c>
      <c r="G1866">
        <v>1</v>
      </c>
      <c r="H1866">
        <v>132</v>
      </c>
      <c r="I1866">
        <v>0.91034482758620605</v>
      </c>
      <c r="J1866" s="25">
        <f t="shared" si="116"/>
        <v>0.91034482758620694</v>
      </c>
      <c r="K1866">
        <v>1340</v>
      </c>
      <c r="L1866">
        <v>17</v>
      </c>
      <c r="M1866">
        <v>1.25276344878408E-2</v>
      </c>
      <c r="N1866" s="25">
        <f t="shared" si="115"/>
        <v>1.2527634487840777E-2</v>
      </c>
      <c r="O1866">
        <v>0.987472365512159</v>
      </c>
      <c r="P1866" s="25">
        <f t="shared" si="117"/>
        <v>0.98747236551215922</v>
      </c>
      <c r="Q1866">
        <v>13</v>
      </c>
      <c r="R1866" t="s">
        <v>124</v>
      </c>
      <c r="S1866" t="s">
        <v>124</v>
      </c>
      <c r="T1866" t="s">
        <v>124</v>
      </c>
      <c r="U1866" t="s">
        <v>124</v>
      </c>
      <c r="X1866" s="19">
        <f t="shared" si="113"/>
        <v>0.91034482758620694</v>
      </c>
      <c r="Y1866" s="19">
        <f t="shared" si="114"/>
        <v>1.2527634487840777E-2</v>
      </c>
      <c r="Z1866" s="26"/>
    </row>
    <row r="1867" spans="1:26" x14ac:dyDescent="0.35">
      <c r="A1867" t="s">
        <v>122</v>
      </c>
      <c r="B1867" t="s">
        <v>122</v>
      </c>
      <c r="C1867" t="s">
        <v>123</v>
      </c>
      <c r="D1867" t="s">
        <v>101</v>
      </c>
      <c r="E1867" t="s">
        <v>99</v>
      </c>
      <c r="F1867" t="s">
        <v>12</v>
      </c>
      <c r="G1867">
        <v>1</v>
      </c>
      <c r="H1867">
        <v>132</v>
      </c>
      <c r="I1867">
        <v>0.91034482758620605</v>
      </c>
      <c r="J1867" s="25">
        <f t="shared" si="116"/>
        <v>0.91034482758620694</v>
      </c>
      <c r="K1867">
        <v>1340</v>
      </c>
      <c r="L1867">
        <v>17</v>
      </c>
      <c r="M1867">
        <v>1.25276344878408E-2</v>
      </c>
      <c r="N1867" s="25">
        <f t="shared" si="115"/>
        <v>1.2527634487840777E-2</v>
      </c>
      <c r="O1867">
        <v>0.987472365512159</v>
      </c>
      <c r="P1867" s="25">
        <f t="shared" si="117"/>
        <v>0.98747236551215922</v>
      </c>
      <c r="Q1867">
        <v>13</v>
      </c>
      <c r="R1867" t="s">
        <v>124</v>
      </c>
      <c r="S1867" t="s">
        <v>124</v>
      </c>
      <c r="T1867" t="s">
        <v>124</v>
      </c>
      <c r="U1867" t="s">
        <v>124</v>
      </c>
      <c r="X1867" s="19">
        <f t="shared" si="113"/>
        <v>0.91034482758620694</v>
      </c>
      <c r="Y1867" s="19">
        <f t="shared" si="114"/>
        <v>1.2527634487840777E-2</v>
      </c>
      <c r="Z1867" s="26"/>
    </row>
    <row r="1868" spans="1:26" x14ac:dyDescent="0.35">
      <c r="A1868" t="s">
        <v>122</v>
      </c>
      <c r="B1868" t="s">
        <v>122</v>
      </c>
      <c r="C1868" t="s">
        <v>123</v>
      </c>
      <c r="D1868" t="s">
        <v>101</v>
      </c>
      <c r="E1868" t="s">
        <v>99</v>
      </c>
      <c r="F1868" t="s">
        <v>12</v>
      </c>
      <c r="G1868">
        <v>1</v>
      </c>
      <c r="H1868">
        <v>132</v>
      </c>
      <c r="I1868">
        <v>0.91034482758620605</v>
      </c>
      <c r="J1868" s="25">
        <f t="shared" si="116"/>
        <v>0.91034482758620694</v>
      </c>
      <c r="K1868">
        <v>1340</v>
      </c>
      <c r="L1868">
        <v>17</v>
      </c>
      <c r="M1868">
        <v>1.25276344878408E-2</v>
      </c>
      <c r="N1868" s="25">
        <f t="shared" si="115"/>
        <v>1.2527634487840777E-2</v>
      </c>
      <c r="O1868">
        <v>0.987472365512159</v>
      </c>
      <c r="P1868" s="25">
        <f t="shared" si="117"/>
        <v>0.98747236551215922</v>
      </c>
      <c r="Q1868">
        <v>13</v>
      </c>
      <c r="R1868" t="s">
        <v>124</v>
      </c>
      <c r="S1868" t="s">
        <v>124</v>
      </c>
      <c r="T1868" t="s">
        <v>124</v>
      </c>
      <c r="U1868" t="s">
        <v>124</v>
      </c>
      <c r="X1868" s="19">
        <f t="shared" si="113"/>
        <v>0.91034482758620694</v>
      </c>
      <c r="Y1868" s="19">
        <f t="shared" si="114"/>
        <v>1.2527634487840777E-2</v>
      </c>
      <c r="Z1868" s="26"/>
    </row>
    <row r="1869" spans="1:26" x14ac:dyDescent="0.35">
      <c r="A1869" t="s">
        <v>122</v>
      </c>
      <c r="B1869" t="s">
        <v>122</v>
      </c>
      <c r="C1869" t="s">
        <v>123</v>
      </c>
      <c r="D1869" t="s">
        <v>101</v>
      </c>
      <c r="E1869" t="s">
        <v>99</v>
      </c>
      <c r="F1869" t="s">
        <v>12</v>
      </c>
      <c r="G1869">
        <v>1</v>
      </c>
      <c r="H1869">
        <v>132</v>
      </c>
      <c r="I1869">
        <v>0.91034482758620605</v>
      </c>
      <c r="J1869" s="25">
        <f t="shared" si="116"/>
        <v>0.91034482758620694</v>
      </c>
      <c r="K1869">
        <v>1340</v>
      </c>
      <c r="L1869">
        <v>17</v>
      </c>
      <c r="M1869">
        <v>1.25276344878408E-2</v>
      </c>
      <c r="N1869" s="25">
        <f t="shared" si="115"/>
        <v>1.2527634487840777E-2</v>
      </c>
      <c r="O1869">
        <v>0.987472365512159</v>
      </c>
      <c r="P1869" s="25">
        <f t="shared" si="117"/>
        <v>0.98747236551215922</v>
      </c>
      <c r="Q1869">
        <v>13</v>
      </c>
      <c r="R1869" t="s">
        <v>124</v>
      </c>
      <c r="S1869" t="s">
        <v>124</v>
      </c>
      <c r="T1869" t="s">
        <v>124</v>
      </c>
      <c r="U1869" t="s">
        <v>124</v>
      </c>
      <c r="X1869" s="19">
        <f t="shared" si="113"/>
        <v>0.91034482758620694</v>
      </c>
      <c r="Y1869" s="19">
        <f t="shared" si="114"/>
        <v>1.2527634487840777E-2</v>
      </c>
      <c r="Z1869" s="26"/>
    </row>
    <row r="1870" spans="1:26" x14ac:dyDescent="0.35">
      <c r="A1870" t="s">
        <v>122</v>
      </c>
      <c r="B1870" t="s">
        <v>122</v>
      </c>
      <c r="C1870" t="s">
        <v>123</v>
      </c>
      <c r="D1870" t="s">
        <v>101</v>
      </c>
      <c r="E1870" t="s">
        <v>99</v>
      </c>
      <c r="F1870" t="s">
        <v>12</v>
      </c>
      <c r="G1870">
        <v>1</v>
      </c>
      <c r="H1870">
        <v>132</v>
      </c>
      <c r="I1870">
        <v>0.91034482758620605</v>
      </c>
      <c r="J1870" s="25">
        <f t="shared" si="116"/>
        <v>0.91034482758620694</v>
      </c>
      <c r="K1870">
        <v>1340</v>
      </c>
      <c r="L1870">
        <v>17</v>
      </c>
      <c r="M1870">
        <v>1.25276344878408E-2</v>
      </c>
      <c r="N1870" s="25">
        <f t="shared" si="115"/>
        <v>1.2527634487840777E-2</v>
      </c>
      <c r="O1870">
        <v>0.987472365512159</v>
      </c>
      <c r="P1870" s="25">
        <f t="shared" si="117"/>
        <v>0.98747236551215922</v>
      </c>
      <c r="Q1870">
        <v>13</v>
      </c>
      <c r="R1870" t="s">
        <v>124</v>
      </c>
      <c r="S1870" t="s">
        <v>124</v>
      </c>
      <c r="T1870" t="s">
        <v>124</v>
      </c>
      <c r="U1870" t="s">
        <v>124</v>
      </c>
      <c r="X1870" s="19">
        <f t="shared" si="113"/>
        <v>0.91034482758620694</v>
      </c>
      <c r="Y1870" s="19">
        <f t="shared" si="114"/>
        <v>1.2527634487840777E-2</v>
      </c>
      <c r="Z1870" s="26"/>
    </row>
    <row r="1871" spans="1:26" x14ac:dyDescent="0.35">
      <c r="A1871" t="s">
        <v>122</v>
      </c>
      <c r="B1871" t="s">
        <v>122</v>
      </c>
      <c r="C1871" t="s">
        <v>123</v>
      </c>
      <c r="D1871" t="s">
        <v>101</v>
      </c>
      <c r="E1871" t="s">
        <v>99</v>
      </c>
      <c r="F1871" t="s">
        <v>12</v>
      </c>
      <c r="G1871">
        <v>1</v>
      </c>
      <c r="H1871">
        <v>132</v>
      </c>
      <c r="I1871">
        <v>0.91034482758620605</v>
      </c>
      <c r="J1871" s="25">
        <f t="shared" si="116"/>
        <v>0.91034482758620694</v>
      </c>
      <c r="K1871">
        <v>1340</v>
      </c>
      <c r="L1871">
        <v>17</v>
      </c>
      <c r="M1871">
        <v>1.25276344878408E-2</v>
      </c>
      <c r="N1871" s="25">
        <f t="shared" si="115"/>
        <v>1.2527634487840777E-2</v>
      </c>
      <c r="O1871">
        <v>0.987472365512159</v>
      </c>
      <c r="P1871" s="25">
        <f t="shared" si="117"/>
        <v>0.98747236551215922</v>
      </c>
      <c r="Q1871">
        <v>13</v>
      </c>
      <c r="R1871" t="s">
        <v>124</v>
      </c>
      <c r="S1871" t="s">
        <v>124</v>
      </c>
      <c r="T1871" t="s">
        <v>124</v>
      </c>
      <c r="U1871" t="s">
        <v>124</v>
      </c>
      <c r="X1871" s="19">
        <f t="shared" si="113"/>
        <v>0.91034482758620694</v>
      </c>
      <c r="Y1871" s="19">
        <f t="shared" si="114"/>
        <v>1.2527634487840777E-2</v>
      </c>
      <c r="Z1871" s="26"/>
    </row>
    <row r="1872" spans="1:26" x14ac:dyDescent="0.35">
      <c r="A1872" t="s">
        <v>122</v>
      </c>
      <c r="B1872" t="s">
        <v>122</v>
      </c>
      <c r="C1872" t="s">
        <v>123</v>
      </c>
      <c r="D1872" t="s">
        <v>101</v>
      </c>
      <c r="E1872" t="s">
        <v>99</v>
      </c>
      <c r="F1872" t="s">
        <v>12</v>
      </c>
      <c r="G1872">
        <v>1</v>
      </c>
      <c r="H1872">
        <v>132</v>
      </c>
      <c r="I1872">
        <v>0.91034482758620605</v>
      </c>
      <c r="J1872" s="25">
        <f t="shared" si="116"/>
        <v>0.91034482758620694</v>
      </c>
      <c r="K1872">
        <v>1340</v>
      </c>
      <c r="L1872">
        <v>17</v>
      </c>
      <c r="M1872">
        <v>1.25276344878408E-2</v>
      </c>
      <c r="N1872" s="25">
        <f t="shared" si="115"/>
        <v>1.2527634487840777E-2</v>
      </c>
      <c r="O1872">
        <v>0.987472365512159</v>
      </c>
      <c r="P1872" s="25">
        <f t="shared" si="117"/>
        <v>0.98747236551215922</v>
      </c>
      <c r="Q1872">
        <v>13</v>
      </c>
      <c r="R1872" t="s">
        <v>124</v>
      </c>
      <c r="S1872" t="s">
        <v>124</v>
      </c>
      <c r="T1872" t="s">
        <v>124</v>
      </c>
      <c r="U1872" t="s">
        <v>124</v>
      </c>
      <c r="X1872" s="19">
        <f t="shared" si="113"/>
        <v>0.91034482758620694</v>
      </c>
      <c r="Y1872" s="19">
        <f t="shared" si="114"/>
        <v>1.2527634487840777E-2</v>
      </c>
      <c r="Z1872" s="26"/>
    </row>
    <row r="1873" spans="1:26" x14ac:dyDescent="0.35">
      <c r="A1873" t="s">
        <v>122</v>
      </c>
      <c r="B1873" t="s">
        <v>122</v>
      </c>
      <c r="C1873" t="s">
        <v>123</v>
      </c>
      <c r="D1873" t="s">
        <v>101</v>
      </c>
      <c r="E1873" t="s">
        <v>99</v>
      </c>
      <c r="F1873" t="s">
        <v>12</v>
      </c>
      <c r="G1873">
        <v>1</v>
      </c>
      <c r="H1873">
        <v>132</v>
      </c>
      <c r="I1873">
        <v>0.91034482758620605</v>
      </c>
      <c r="J1873" s="25">
        <f t="shared" si="116"/>
        <v>0.91034482758620694</v>
      </c>
      <c r="K1873">
        <v>1340</v>
      </c>
      <c r="L1873">
        <v>17</v>
      </c>
      <c r="M1873">
        <v>1.25276344878408E-2</v>
      </c>
      <c r="N1873" s="25">
        <f t="shared" si="115"/>
        <v>1.2527634487840777E-2</v>
      </c>
      <c r="O1873">
        <v>0.987472365512159</v>
      </c>
      <c r="P1873" s="25">
        <f t="shared" si="117"/>
        <v>0.98747236551215922</v>
      </c>
      <c r="Q1873">
        <v>13</v>
      </c>
      <c r="R1873" t="s">
        <v>124</v>
      </c>
      <c r="S1873" t="s">
        <v>124</v>
      </c>
      <c r="T1873" t="s">
        <v>124</v>
      </c>
      <c r="U1873" t="s">
        <v>124</v>
      </c>
      <c r="X1873" s="19">
        <f t="shared" si="113"/>
        <v>0.91034482758620694</v>
      </c>
      <c r="Y1873" s="19">
        <f t="shared" si="114"/>
        <v>1.2527634487840777E-2</v>
      </c>
      <c r="Z1873" s="26"/>
    </row>
    <row r="1874" spans="1:26" x14ac:dyDescent="0.35">
      <c r="A1874" t="s">
        <v>122</v>
      </c>
      <c r="B1874" t="s">
        <v>122</v>
      </c>
      <c r="C1874" t="s">
        <v>123</v>
      </c>
      <c r="D1874" t="s">
        <v>101</v>
      </c>
      <c r="E1874" t="s">
        <v>99</v>
      </c>
      <c r="F1874" t="s">
        <v>12</v>
      </c>
      <c r="G1874">
        <v>1</v>
      </c>
      <c r="H1874">
        <v>132</v>
      </c>
      <c r="I1874">
        <v>0.91034482758620605</v>
      </c>
      <c r="J1874" s="25">
        <f t="shared" si="116"/>
        <v>0.91034482758620694</v>
      </c>
      <c r="K1874">
        <v>1340</v>
      </c>
      <c r="L1874">
        <v>17</v>
      </c>
      <c r="M1874">
        <v>1.25276344878408E-2</v>
      </c>
      <c r="N1874" s="25">
        <f t="shared" si="115"/>
        <v>1.2527634487840777E-2</v>
      </c>
      <c r="O1874">
        <v>0.987472365512159</v>
      </c>
      <c r="P1874" s="25">
        <f t="shared" si="117"/>
        <v>0.98747236551215922</v>
      </c>
      <c r="Q1874">
        <v>13</v>
      </c>
      <c r="R1874" t="s">
        <v>124</v>
      </c>
      <c r="S1874" t="s">
        <v>124</v>
      </c>
      <c r="T1874" t="s">
        <v>124</v>
      </c>
      <c r="U1874" t="s">
        <v>124</v>
      </c>
      <c r="X1874" s="19">
        <f t="shared" si="113"/>
        <v>0.91034482758620694</v>
      </c>
      <c r="Y1874" s="19">
        <f t="shared" si="114"/>
        <v>1.2527634487840777E-2</v>
      </c>
      <c r="Z1874" s="26"/>
    </row>
    <row r="1875" spans="1:26" x14ac:dyDescent="0.35">
      <c r="A1875" t="s">
        <v>122</v>
      </c>
      <c r="B1875" t="s">
        <v>122</v>
      </c>
      <c r="C1875" t="s">
        <v>123</v>
      </c>
      <c r="D1875" t="s">
        <v>101</v>
      </c>
      <c r="E1875" t="s">
        <v>99</v>
      </c>
      <c r="F1875" t="s">
        <v>12</v>
      </c>
      <c r="G1875">
        <v>1</v>
      </c>
      <c r="H1875">
        <v>132</v>
      </c>
      <c r="I1875">
        <v>0.91034482758620605</v>
      </c>
      <c r="J1875" s="25">
        <f t="shared" si="116"/>
        <v>0.91034482758620694</v>
      </c>
      <c r="K1875">
        <v>1340</v>
      </c>
      <c r="L1875">
        <v>17</v>
      </c>
      <c r="M1875">
        <v>1.25276344878408E-2</v>
      </c>
      <c r="N1875" s="25">
        <f t="shared" si="115"/>
        <v>1.2527634487840777E-2</v>
      </c>
      <c r="O1875">
        <v>0.987472365512159</v>
      </c>
      <c r="P1875" s="25">
        <f t="shared" si="117"/>
        <v>0.98747236551215922</v>
      </c>
      <c r="Q1875">
        <v>13</v>
      </c>
      <c r="R1875" t="s">
        <v>124</v>
      </c>
      <c r="S1875" t="s">
        <v>124</v>
      </c>
      <c r="T1875" t="s">
        <v>124</v>
      </c>
      <c r="U1875" t="s">
        <v>124</v>
      </c>
      <c r="X1875" s="19">
        <f t="shared" si="113"/>
        <v>0.91034482758620694</v>
      </c>
      <c r="Y1875" s="19">
        <f t="shared" si="114"/>
        <v>1.2527634487840777E-2</v>
      </c>
      <c r="Z1875" s="26"/>
    </row>
    <row r="1876" spans="1:26" x14ac:dyDescent="0.35">
      <c r="A1876" t="s">
        <v>122</v>
      </c>
      <c r="B1876" t="s">
        <v>122</v>
      </c>
      <c r="C1876" t="s">
        <v>123</v>
      </c>
      <c r="D1876" t="s">
        <v>101</v>
      </c>
      <c r="E1876" t="s">
        <v>99</v>
      </c>
      <c r="F1876" t="s">
        <v>12</v>
      </c>
      <c r="G1876">
        <v>1</v>
      </c>
      <c r="H1876">
        <v>132</v>
      </c>
      <c r="I1876">
        <v>0.91034482758620605</v>
      </c>
      <c r="J1876" s="25">
        <f t="shared" si="116"/>
        <v>0.91034482758620694</v>
      </c>
      <c r="K1876">
        <v>1340</v>
      </c>
      <c r="L1876">
        <v>17</v>
      </c>
      <c r="M1876">
        <v>1.25276344878408E-2</v>
      </c>
      <c r="N1876" s="25">
        <f t="shared" si="115"/>
        <v>1.2527634487840777E-2</v>
      </c>
      <c r="O1876">
        <v>0.987472365512159</v>
      </c>
      <c r="P1876" s="25">
        <f t="shared" si="117"/>
        <v>0.98747236551215922</v>
      </c>
      <c r="Q1876">
        <v>13</v>
      </c>
      <c r="R1876" t="s">
        <v>124</v>
      </c>
      <c r="S1876" t="s">
        <v>124</v>
      </c>
      <c r="T1876" t="s">
        <v>124</v>
      </c>
      <c r="U1876" t="s">
        <v>124</v>
      </c>
      <c r="X1876" s="19">
        <f t="shared" si="113"/>
        <v>0.91034482758620694</v>
      </c>
      <c r="Y1876" s="19">
        <f t="shared" si="114"/>
        <v>1.2527634487840777E-2</v>
      </c>
      <c r="Z1876" s="26"/>
    </row>
    <row r="1877" spans="1:26" x14ac:dyDescent="0.35">
      <c r="A1877" t="s">
        <v>122</v>
      </c>
      <c r="B1877" t="s">
        <v>122</v>
      </c>
      <c r="C1877" t="s">
        <v>123</v>
      </c>
      <c r="D1877" t="s">
        <v>101</v>
      </c>
      <c r="E1877" t="s">
        <v>99</v>
      </c>
      <c r="F1877" t="s">
        <v>12</v>
      </c>
      <c r="G1877">
        <v>1</v>
      </c>
      <c r="H1877">
        <v>132</v>
      </c>
      <c r="I1877">
        <v>0.91034482758620605</v>
      </c>
      <c r="J1877" s="25">
        <f t="shared" si="116"/>
        <v>0.91034482758620694</v>
      </c>
      <c r="K1877">
        <v>1340</v>
      </c>
      <c r="L1877">
        <v>17</v>
      </c>
      <c r="M1877">
        <v>1.25276344878408E-2</v>
      </c>
      <c r="N1877" s="25">
        <f t="shared" si="115"/>
        <v>1.2527634487840777E-2</v>
      </c>
      <c r="O1877">
        <v>0.987472365512159</v>
      </c>
      <c r="P1877" s="25">
        <f t="shared" si="117"/>
        <v>0.98747236551215922</v>
      </c>
      <c r="Q1877">
        <v>13</v>
      </c>
      <c r="R1877" t="s">
        <v>124</v>
      </c>
      <c r="S1877" t="s">
        <v>124</v>
      </c>
      <c r="T1877" t="s">
        <v>124</v>
      </c>
      <c r="U1877" t="s">
        <v>124</v>
      </c>
      <c r="X1877" s="19">
        <f t="shared" si="113"/>
        <v>0.91034482758620694</v>
      </c>
      <c r="Y1877" s="19">
        <f t="shared" si="114"/>
        <v>1.2527634487840777E-2</v>
      </c>
      <c r="Z1877" s="26"/>
    </row>
    <row r="1878" spans="1:26" x14ac:dyDescent="0.35">
      <c r="A1878" t="s">
        <v>122</v>
      </c>
      <c r="B1878" t="s">
        <v>122</v>
      </c>
      <c r="C1878" t="s">
        <v>123</v>
      </c>
      <c r="D1878" t="s">
        <v>101</v>
      </c>
      <c r="E1878" t="s">
        <v>99</v>
      </c>
      <c r="F1878" t="s">
        <v>12</v>
      </c>
      <c r="G1878">
        <v>1</v>
      </c>
      <c r="H1878">
        <v>132</v>
      </c>
      <c r="I1878">
        <v>0.91034482758620605</v>
      </c>
      <c r="J1878" s="25">
        <f t="shared" si="116"/>
        <v>0.91034482758620694</v>
      </c>
      <c r="K1878">
        <v>1340</v>
      </c>
      <c r="L1878">
        <v>17</v>
      </c>
      <c r="M1878">
        <v>1.25276344878408E-2</v>
      </c>
      <c r="N1878" s="25">
        <f t="shared" si="115"/>
        <v>1.2527634487840777E-2</v>
      </c>
      <c r="O1878">
        <v>0.987472365512159</v>
      </c>
      <c r="P1878" s="25">
        <f t="shared" si="117"/>
        <v>0.98747236551215922</v>
      </c>
      <c r="Q1878">
        <v>13</v>
      </c>
      <c r="R1878" t="s">
        <v>124</v>
      </c>
      <c r="S1878" t="s">
        <v>124</v>
      </c>
      <c r="T1878" t="s">
        <v>124</v>
      </c>
      <c r="U1878" t="s">
        <v>124</v>
      </c>
      <c r="X1878" s="19">
        <f t="shared" si="113"/>
        <v>0.91034482758620694</v>
      </c>
      <c r="Y1878" s="19">
        <f t="shared" si="114"/>
        <v>1.2527634487840777E-2</v>
      </c>
      <c r="Z1878" s="26"/>
    </row>
    <row r="1879" spans="1:26" x14ac:dyDescent="0.35">
      <c r="A1879" t="s">
        <v>122</v>
      </c>
      <c r="B1879" t="s">
        <v>122</v>
      </c>
      <c r="C1879" t="s">
        <v>123</v>
      </c>
      <c r="D1879" t="s">
        <v>101</v>
      </c>
      <c r="E1879" t="s">
        <v>99</v>
      </c>
      <c r="F1879" t="s">
        <v>12</v>
      </c>
      <c r="G1879">
        <v>1</v>
      </c>
      <c r="H1879">
        <v>132</v>
      </c>
      <c r="I1879">
        <v>0.91034482758620605</v>
      </c>
      <c r="J1879" s="25">
        <f t="shared" si="116"/>
        <v>0.91034482758620694</v>
      </c>
      <c r="K1879">
        <v>1340</v>
      </c>
      <c r="L1879">
        <v>17</v>
      </c>
      <c r="M1879">
        <v>1.25276344878408E-2</v>
      </c>
      <c r="N1879" s="25">
        <f t="shared" si="115"/>
        <v>1.2527634487840777E-2</v>
      </c>
      <c r="O1879">
        <v>0.987472365512159</v>
      </c>
      <c r="P1879" s="25">
        <f t="shared" si="117"/>
        <v>0.98747236551215922</v>
      </c>
      <c r="Q1879">
        <v>13</v>
      </c>
      <c r="R1879" t="s">
        <v>124</v>
      </c>
      <c r="S1879" t="s">
        <v>124</v>
      </c>
      <c r="T1879" t="s">
        <v>124</v>
      </c>
      <c r="U1879" t="s">
        <v>124</v>
      </c>
      <c r="X1879" s="19">
        <f t="shared" si="113"/>
        <v>0.91034482758620694</v>
      </c>
      <c r="Y1879" s="19">
        <f t="shared" si="114"/>
        <v>1.2527634487840777E-2</v>
      </c>
      <c r="Z1879" s="26"/>
    </row>
    <row r="1880" spans="1:26" x14ac:dyDescent="0.35">
      <c r="A1880" t="s">
        <v>122</v>
      </c>
      <c r="B1880" t="s">
        <v>122</v>
      </c>
      <c r="C1880" t="s">
        <v>123</v>
      </c>
      <c r="D1880" t="s">
        <v>101</v>
      </c>
      <c r="E1880" t="s">
        <v>99</v>
      </c>
      <c r="F1880" t="s">
        <v>12</v>
      </c>
      <c r="G1880">
        <v>1</v>
      </c>
      <c r="H1880">
        <v>132</v>
      </c>
      <c r="I1880">
        <v>0.91034482758620605</v>
      </c>
      <c r="J1880" s="25">
        <f t="shared" si="116"/>
        <v>0.91034482758620694</v>
      </c>
      <c r="K1880">
        <v>1340</v>
      </c>
      <c r="L1880">
        <v>17</v>
      </c>
      <c r="M1880">
        <v>1.25276344878408E-2</v>
      </c>
      <c r="N1880" s="25">
        <f t="shared" si="115"/>
        <v>1.2527634487840777E-2</v>
      </c>
      <c r="O1880">
        <v>0.987472365512159</v>
      </c>
      <c r="P1880" s="25">
        <f t="shared" si="117"/>
        <v>0.98747236551215922</v>
      </c>
      <c r="Q1880">
        <v>13</v>
      </c>
      <c r="R1880" t="s">
        <v>124</v>
      </c>
      <c r="S1880" t="s">
        <v>124</v>
      </c>
      <c r="T1880" t="s">
        <v>124</v>
      </c>
      <c r="U1880" t="s">
        <v>124</v>
      </c>
      <c r="X1880" s="19">
        <f t="shared" si="113"/>
        <v>0.91034482758620694</v>
      </c>
      <c r="Y1880" s="19">
        <f t="shared" si="114"/>
        <v>1.2527634487840777E-2</v>
      </c>
      <c r="Z1880" s="26"/>
    </row>
    <row r="1881" spans="1:26" x14ac:dyDescent="0.35">
      <c r="A1881" t="s">
        <v>122</v>
      </c>
      <c r="B1881" t="s">
        <v>122</v>
      </c>
      <c r="C1881" t="s">
        <v>123</v>
      </c>
      <c r="D1881" t="s">
        <v>101</v>
      </c>
      <c r="E1881" t="s">
        <v>99</v>
      </c>
      <c r="F1881" t="s">
        <v>12</v>
      </c>
      <c r="G1881">
        <v>1</v>
      </c>
      <c r="H1881">
        <v>132</v>
      </c>
      <c r="I1881">
        <v>0.91034482758620605</v>
      </c>
      <c r="J1881" s="25">
        <f t="shared" si="116"/>
        <v>0.91034482758620694</v>
      </c>
      <c r="K1881">
        <v>1340</v>
      </c>
      <c r="L1881">
        <v>17</v>
      </c>
      <c r="M1881">
        <v>1.25276344878408E-2</v>
      </c>
      <c r="N1881" s="25">
        <f t="shared" si="115"/>
        <v>1.2527634487840777E-2</v>
      </c>
      <c r="O1881">
        <v>0.987472365512159</v>
      </c>
      <c r="P1881" s="25">
        <f t="shared" si="117"/>
        <v>0.98747236551215922</v>
      </c>
      <c r="Q1881">
        <v>13</v>
      </c>
      <c r="R1881" t="s">
        <v>124</v>
      </c>
      <c r="S1881" t="s">
        <v>124</v>
      </c>
      <c r="T1881" t="s">
        <v>124</v>
      </c>
      <c r="U1881" t="s">
        <v>124</v>
      </c>
      <c r="X1881" s="19">
        <f t="shared" si="113"/>
        <v>0.91034482758620694</v>
      </c>
      <c r="Y1881" s="19">
        <f t="shared" si="114"/>
        <v>1.2527634487840777E-2</v>
      </c>
      <c r="Z1881" s="26"/>
    </row>
    <row r="1882" spans="1:26" x14ac:dyDescent="0.35">
      <c r="A1882" t="s">
        <v>122</v>
      </c>
      <c r="B1882" t="s">
        <v>122</v>
      </c>
      <c r="C1882" t="s">
        <v>123</v>
      </c>
      <c r="D1882" t="s">
        <v>101</v>
      </c>
      <c r="E1882" t="s">
        <v>99</v>
      </c>
      <c r="F1882" t="s">
        <v>12</v>
      </c>
      <c r="G1882">
        <v>1</v>
      </c>
      <c r="H1882">
        <v>132</v>
      </c>
      <c r="I1882">
        <v>0.91034482758620605</v>
      </c>
      <c r="J1882" s="25">
        <f t="shared" si="116"/>
        <v>0.91034482758620694</v>
      </c>
      <c r="K1882">
        <v>1340</v>
      </c>
      <c r="L1882">
        <v>17</v>
      </c>
      <c r="M1882">
        <v>1.25276344878408E-2</v>
      </c>
      <c r="N1882" s="25">
        <f t="shared" si="115"/>
        <v>1.2527634487840777E-2</v>
      </c>
      <c r="O1882">
        <v>0.987472365512159</v>
      </c>
      <c r="P1882" s="25">
        <f t="shared" si="117"/>
        <v>0.98747236551215922</v>
      </c>
      <c r="Q1882">
        <v>13</v>
      </c>
      <c r="R1882" t="s">
        <v>124</v>
      </c>
      <c r="S1882" t="s">
        <v>124</v>
      </c>
      <c r="T1882" t="s">
        <v>124</v>
      </c>
      <c r="U1882" t="s">
        <v>124</v>
      </c>
      <c r="X1882" s="19">
        <f t="shared" si="113"/>
        <v>0.91034482758620694</v>
      </c>
      <c r="Y1882" s="19">
        <f t="shared" si="114"/>
        <v>1.2527634487840777E-2</v>
      </c>
      <c r="Z1882" s="26"/>
    </row>
    <row r="1883" spans="1:26" x14ac:dyDescent="0.35">
      <c r="A1883" t="s">
        <v>122</v>
      </c>
      <c r="B1883" t="s">
        <v>122</v>
      </c>
      <c r="C1883" t="s">
        <v>123</v>
      </c>
      <c r="D1883" t="s">
        <v>101</v>
      </c>
      <c r="E1883" t="s">
        <v>99</v>
      </c>
      <c r="F1883" t="s">
        <v>12</v>
      </c>
      <c r="G1883">
        <v>1</v>
      </c>
      <c r="H1883">
        <v>132</v>
      </c>
      <c r="I1883">
        <v>0.91034482758620605</v>
      </c>
      <c r="J1883" s="25">
        <f t="shared" si="116"/>
        <v>0.91034482758620694</v>
      </c>
      <c r="K1883">
        <v>1340</v>
      </c>
      <c r="L1883">
        <v>17</v>
      </c>
      <c r="M1883">
        <v>1.25276344878408E-2</v>
      </c>
      <c r="N1883" s="25">
        <f t="shared" si="115"/>
        <v>1.2527634487840777E-2</v>
      </c>
      <c r="O1883">
        <v>0.987472365512159</v>
      </c>
      <c r="P1883" s="25">
        <f t="shared" si="117"/>
        <v>0.98747236551215922</v>
      </c>
      <c r="Q1883">
        <v>13</v>
      </c>
      <c r="R1883" t="s">
        <v>124</v>
      </c>
      <c r="S1883" t="s">
        <v>124</v>
      </c>
      <c r="T1883" t="s">
        <v>124</v>
      </c>
      <c r="U1883" t="s">
        <v>124</v>
      </c>
      <c r="X1883" s="19">
        <f t="shared" si="113"/>
        <v>0.91034482758620694</v>
      </c>
      <c r="Y1883" s="19">
        <f t="shared" si="114"/>
        <v>1.2527634487840777E-2</v>
      </c>
      <c r="Z1883" s="26"/>
    </row>
    <row r="1884" spans="1:26" x14ac:dyDescent="0.35">
      <c r="A1884" t="s">
        <v>122</v>
      </c>
      <c r="B1884" t="s">
        <v>122</v>
      </c>
      <c r="C1884" t="s">
        <v>123</v>
      </c>
      <c r="D1884" t="s">
        <v>101</v>
      </c>
      <c r="E1884" t="s">
        <v>99</v>
      </c>
      <c r="F1884" t="s">
        <v>12</v>
      </c>
      <c r="G1884">
        <v>1</v>
      </c>
      <c r="H1884">
        <v>132</v>
      </c>
      <c r="I1884">
        <v>0.91034482758620605</v>
      </c>
      <c r="J1884" s="25">
        <f t="shared" si="116"/>
        <v>0.91034482758620694</v>
      </c>
      <c r="K1884">
        <v>1340</v>
      </c>
      <c r="L1884">
        <v>17</v>
      </c>
      <c r="M1884">
        <v>1.25276344878408E-2</v>
      </c>
      <c r="N1884" s="25">
        <f t="shared" si="115"/>
        <v>1.2527634487840777E-2</v>
      </c>
      <c r="O1884">
        <v>0.987472365512159</v>
      </c>
      <c r="P1884" s="25">
        <f t="shared" si="117"/>
        <v>0.98747236551215922</v>
      </c>
      <c r="Q1884">
        <v>13</v>
      </c>
      <c r="R1884" t="s">
        <v>124</v>
      </c>
      <c r="S1884" t="s">
        <v>124</v>
      </c>
      <c r="T1884" t="s">
        <v>124</v>
      </c>
      <c r="U1884" t="s">
        <v>124</v>
      </c>
      <c r="X1884" s="19">
        <f t="shared" si="113"/>
        <v>0.91034482758620694</v>
      </c>
      <c r="Y1884" s="19">
        <f t="shared" si="114"/>
        <v>1.2527634487840777E-2</v>
      </c>
      <c r="Z1884" s="26"/>
    </row>
    <row r="1885" spans="1:26" x14ac:dyDescent="0.35">
      <c r="A1885" t="s">
        <v>122</v>
      </c>
      <c r="B1885" t="s">
        <v>122</v>
      </c>
      <c r="C1885" t="s">
        <v>123</v>
      </c>
      <c r="D1885" t="s">
        <v>101</v>
      </c>
      <c r="E1885" t="s">
        <v>99</v>
      </c>
      <c r="F1885" t="s">
        <v>12</v>
      </c>
      <c r="G1885">
        <v>1</v>
      </c>
      <c r="H1885">
        <v>132</v>
      </c>
      <c r="I1885">
        <v>0.91034482758620605</v>
      </c>
      <c r="J1885" s="25">
        <f t="shared" si="116"/>
        <v>0.91034482758620694</v>
      </c>
      <c r="K1885">
        <v>1340</v>
      </c>
      <c r="L1885">
        <v>17</v>
      </c>
      <c r="M1885">
        <v>1.25276344878408E-2</v>
      </c>
      <c r="N1885" s="25">
        <f t="shared" si="115"/>
        <v>1.2527634487840777E-2</v>
      </c>
      <c r="O1885">
        <v>0.987472365512159</v>
      </c>
      <c r="P1885" s="25">
        <f t="shared" si="117"/>
        <v>0.98747236551215922</v>
      </c>
      <c r="Q1885">
        <v>13</v>
      </c>
      <c r="R1885" t="s">
        <v>124</v>
      </c>
      <c r="S1885" t="s">
        <v>124</v>
      </c>
      <c r="T1885" t="s">
        <v>124</v>
      </c>
      <c r="U1885" t="s">
        <v>124</v>
      </c>
      <c r="X1885" s="19">
        <f t="shared" si="113"/>
        <v>0.91034482758620694</v>
      </c>
      <c r="Y1885" s="19">
        <f t="shared" si="114"/>
        <v>1.2527634487840777E-2</v>
      </c>
      <c r="Z1885" s="26"/>
    </row>
    <row r="1886" spans="1:26" x14ac:dyDescent="0.35">
      <c r="A1886" t="s">
        <v>122</v>
      </c>
      <c r="B1886" t="s">
        <v>122</v>
      </c>
      <c r="C1886" t="s">
        <v>123</v>
      </c>
      <c r="D1886" t="s">
        <v>101</v>
      </c>
      <c r="E1886" t="s">
        <v>99</v>
      </c>
      <c r="F1886" t="s">
        <v>12</v>
      </c>
      <c r="G1886">
        <v>1</v>
      </c>
      <c r="H1886">
        <v>132</v>
      </c>
      <c r="I1886">
        <v>0.91034482758620605</v>
      </c>
      <c r="J1886" s="25">
        <f t="shared" si="116"/>
        <v>0.91034482758620694</v>
      </c>
      <c r="K1886">
        <v>1340</v>
      </c>
      <c r="L1886">
        <v>17</v>
      </c>
      <c r="M1886">
        <v>1.25276344878408E-2</v>
      </c>
      <c r="N1886" s="25">
        <f t="shared" si="115"/>
        <v>1.2527634487840777E-2</v>
      </c>
      <c r="O1886">
        <v>0.987472365512159</v>
      </c>
      <c r="P1886" s="25">
        <f t="shared" si="117"/>
        <v>0.98747236551215922</v>
      </c>
      <c r="Q1886">
        <v>13</v>
      </c>
      <c r="R1886" t="s">
        <v>124</v>
      </c>
      <c r="S1886" t="s">
        <v>124</v>
      </c>
      <c r="T1886" t="s">
        <v>124</v>
      </c>
      <c r="U1886" t="s">
        <v>124</v>
      </c>
      <c r="X1886" s="19">
        <f t="shared" si="113"/>
        <v>0.91034482758620694</v>
      </c>
      <c r="Y1886" s="19">
        <f t="shared" si="114"/>
        <v>1.2527634487840777E-2</v>
      </c>
      <c r="Z1886" s="26"/>
    </row>
    <row r="1887" spans="1:26" x14ac:dyDescent="0.35">
      <c r="A1887" t="s">
        <v>122</v>
      </c>
      <c r="B1887" t="s">
        <v>122</v>
      </c>
      <c r="C1887" t="s">
        <v>123</v>
      </c>
      <c r="D1887" t="s">
        <v>101</v>
      </c>
      <c r="E1887" t="s">
        <v>99</v>
      </c>
      <c r="F1887" t="s">
        <v>12</v>
      </c>
      <c r="G1887">
        <v>1</v>
      </c>
      <c r="H1887">
        <v>132</v>
      </c>
      <c r="I1887">
        <v>0.91034482758620605</v>
      </c>
      <c r="J1887" s="25">
        <f t="shared" si="116"/>
        <v>0.91034482758620694</v>
      </c>
      <c r="K1887">
        <v>1340</v>
      </c>
      <c r="L1887">
        <v>17</v>
      </c>
      <c r="M1887">
        <v>1.25276344878408E-2</v>
      </c>
      <c r="N1887" s="25">
        <f t="shared" si="115"/>
        <v>1.2527634487840777E-2</v>
      </c>
      <c r="O1887">
        <v>0.987472365512159</v>
      </c>
      <c r="P1887" s="25">
        <f t="shared" si="117"/>
        <v>0.98747236551215922</v>
      </c>
      <c r="Q1887">
        <v>13</v>
      </c>
      <c r="R1887" t="s">
        <v>124</v>
      </c>
      <c r="S1887" t="s">
        <v>124</v>
      </c>
      <c r="T1887" t="s">
        <v>124</v>
      </c>
      <c r="U1887" t="s">
        <v>124</v>
      </c>
      <c r="X1887" s="19">
        <f t="shared" si="113"/>
        <v>0.91034482758620694</v>
      </c>
      <c r="Y1887" s="19">
        <f t="shared" si="114"/>
        <v>1.2527634487840777E-2</v>
      </c>
      <c r="Z1887" s="26"/>
    </row>
    <row r="1888" spans="1:26" x14ac:dyDescent="0.35">
      <c r="A1888" t="s">
        <v>122</v>
      </c>
      <c r="B1888" t="s">
        <v>122</v>
      </c>
      <c r="C1888" t="s">
        <v>123</v>
      </c>
      <c r="D1888" t="s">
        <v>101</v>
      </c>
      <c r="E1888" t="s">
        <v>99</v>
      </c>
      <c r="F1888" t="s">
        <v>12</v>
      </c>
      <c r="G1888">
        <v>1</v>
      </c>
      <c r="H1888">
        <v>132</v>
      </c>
      <c r="I1888">
        <v>0.91034482758620605</v>
      </c>
      <c r="J1888" s="25">
        <f t="shared" si="116"/>
        <v>0.91034482758620694</v>
      </c>
      <c r="K1888">
        <v>1340</v>
      </c>
      <c r="L1888">
        <v>17</v>
      </c>
      <c r="M1888">
        <v>1.25276344878408E-2</v>
      </c>
      <c r="N1888" s="25">
        <f t="shared" si="115"/>
        <v>1.2527634487840777E-2</v>
      </c>
      <c r="O1888">
        <v>0.987472365512159</v>
      </c>
      <c r="P1888" s="25">
        <f t="shared" si="117"/>
        <v>0.98747236551215922</v>
      </c>
      <c r="Q1888">
        <v>13</v>
      </c>
      <c r="R1888" t="s">
        <v>124</v>
      </c>
      <c r="S1888" t="s">
        <v>124</v>
      </c>
      <c r="T1888" t="s">
        <v>124</v>
      </c>
      <c r="U1888" t="s">
        <v>124</v>
      </c>
      <c r="X1888" s="19">
        <f t="shared" si="113"/>
        <v>0.91034482758620694</v>
      </c>
      <c r="Y1888" s="19">
        <f t="shared" si="114"/>
        <v>1.2527634487840777E-2</v>
      </c>
      <c r="Z1888" s="26"/>
    </row>
    <row r="1889" spans="1:26" x14ac:dyDescent="0.35">
      <c r="A1889" t="s">
        <v>122</v>
      </c>
      <c r="B1889" t="s">
        <v>122</v>
      </c>
      <c r="C1889" t="s">
        <v>123</v>
      </c>
      <c r="D1889" t="s">
        <v>101</v>
      </c>
      <c r="E1889" t="s">
        <v>99</v>
      </c>
      <c r="F1889" t="s">
        <v>12</v>
      </c>
      <c r="G1889">
        <v>1</v>
      </c>
      <c r="H1889">
        <v>132</v>
      </c>
      <c r="I1889">
        <v>0.91034482758620605</v>
      </c>
      <c r="J1889" s="25">
        <f t="shared" si="116"/>
        <v>0.91034482758620694</v>
      </c>
      <c r="K1889">
        <v>1340</v>
      </c>
      <c r="L1889">
        <v>17</v>
      </c>
      <c r="M1889">
        <v>1.25276344878408E-2</v>
      </c>
      <c r="N1889" s="25">
        <f t="shared" si="115"/>
        <v>1.2527634487840777E-2</v>
      </c>
      <c r="O1889">
        <v>0.987472365512159</v>
      </c>
      <c r="P1889" s="25">
        <f t="shared" si="117"/>
        <v>0.98747236551215922</v>
      </c>
      <c r="Q1889">
        <v>13</v>
      </c>
      <c r="R1889" t="s">
        <v>124</v>
      </c>
      <c r="S1889" t="s">
        <v>124</v>
      </c>
      <c r="T1889" t="s">
        <v>124</v>
      </c>
      <c r="U1889" t="s">
        <v>124</v>
      </c>
      <c r="X1889" s="19">
        <f t="shared" si="113"/>
        <v>0.91034482758620694</v>
      </c>
      <c r="Y1889" s="19">
        <f t="shared" si="114"/>
        <v>1.2527634487840777E-2</v>
      </c>
      <c r="Z1889" s="26"/>
    </row>
    <row r="1890" spans="1:26" x14ac:dyDescent="0.35">
      <c r="A1890" t="s">
        <v>122</v>
      </c>
      <c r="B1890" t="s">
        <v>122</v>
      </c>
      <c r="C1890" t="s">
        <v>123</v>
      </c>
      <c r="D1890" t="s">
        <v>101</v>
      </c>
      <c r="E1890" t="s">
        <v>99</v>
      </c>
      <c r="F1890" t="s">
        <v>12</v>
      </c>
      <c r="G1890">
        <v>1</v>
      </c>
      <c r="H1890">
        <v>132</v>
      </c>
      <c r="I1890">
        <v>0.91034482758620605</v>
      </c>
      <c r="J1890" s="25">
        <f t="shared" si="116"/>
        <v>0.91034482758620694</v>
      </c>
      <c r="K1890">
        <v>1340</v>
      </c>
      <c r="L1890">
        <v>17</v>
      </c>
      <c r="M1890">
        <v>1.25276344878408E-2</v>
      </c>
      <c r="N1890" s="25">
        <f t="shared" si="115"/>
        <v>1.2527634487840777E-2</v>
      </c>
      <c r="O1890">
        <v>0.987472365512159</v>
      </c>
      <c r="P1890" s="25">
        <f t="shared" si="117"/>
        <v>0.98747236551215922</v>
      </c>
      <c r="Q1890">
        <v>13</v>
      </c>
      <c r="R1890" t="s">
        <v>124</v>
      </c>
      <c r="S1890" t="s">
        <v>124</v>
      </c>
      <c r="T1890" t="s">
        <v>124</v>
      </c>
      <c r="U1890" t="s">
        <v>124</v>
      </c>
      <c r="X1890" s="19">
        <f t="shared" si="113"/>
        <v>0.91034482758620694</v>
      </c>
      <c r="Y1890" s="19">
        <f t="shared" si="114"/>
        <v>1.2527634487840777E-2</v>
      </c>
      <c r="Z1890" s="26"/>
    </row>
    <row r="1891" spans="1:26" x14ac:dyDescent="0.35">
      <c r="A1891" t="s">
        <v>122</v>
      </c>
      <c r="B1891" t="s">
        <v>122</v>
      </c>
      <c r="C1891" t="s">
        <v>123</v>
      </c>
      <c r="D1891" t="s">
        <v>101</v>
      </c>
      <c r="E1891" t="s">
        <v>99</v>
      </c>
      <c r="F1891" t="s">
        <v>12</v>
      </c>
      <c r="G1891">
        <v>1</v>
      </c>
      <c r="H1891">
        <v>132</v>
      </c>
      <c r="I1891">
        <v>0.91034482758620605</v>
      </c>
      <c r="J1891" s="25">
        <f t="shared" si="116"/>
        <v>0.91034482758620694</v>
      </c>
      <c r="K1891">
        <v>1340</v>
      </c>
      <c r="L1891">
        <v>17</v>
      </c>
      <c r="M1891">
        <v>1.25276344878408E-2</v>
      </c>
      <c r="N1891" s="25">
        <f t="shared" si="115"/>
        <v>1.2527634487840777E-2</v>
      </c>
      <c r="O1891">
        <v>0.987472365512159</v>
      </c>
      <c r="P1891" s="25">
        <f t="shared" si="117"/>
        <v>0.98747236551215922</v>
      </c>
      <c r="Q1891">
        <v>13</v>
      </c>
      <c r="R1891" t="s">
        <v>124</v>
      </c>
      <c r="S1891" t="s">
        <v>124</v>
      </c>
      <c r="T1891" t="s">
        <v>124</v>
      </c>
      <c r="U1891" t="s">
        <v>124</v>
      </c>
      <c r="X1891" s="19">
        <f t="shared" si="113"/>
        <v>0.91034482758620694</v>
      </c>
      <c r="Y1891" s="19">
        <f t="shared" si="114"/>
        <v>1.2527634487840777E-2</v>
      </c>
      <c r="Z1891" s="26"/>
    </row>
    <row r="1892" spans="1:26" x14ac:dyDescent="0.35">
      <c r="A1892" t="s">
        <v>122</v>
      </c>
      <c r="B1892" t="s">
        <v>122</v>
      </c>
      <c r="C1892" t="s">
        <v>123</v>
      </c>
      <c r="D1892" t="s">
        <v>101</v>
      </c>
      <c r="E1892" t="s">
        <v>99</v>
      </c>
      <c r="F1892" t="s">
        <v>12</v>
      </c>
      <c r="G1892">
        <v>1</v>
      </c>
      <c r="H1892">
        <v>137</v>
      </c>
      <c r="I1892">
        <v>0.944827586206896</v>
      </c>
      <c r="J1892" s="25">
        <f t="shared" si="116"/>
        <v>0.94482758620689655</v>
      </c>
      <c r="K1892">
        <v>1307</v>
      </c>
      <c r="L1892">
        <v>50</v>
      </c>
      <c r="M1892">
        <v>3.68459837877671E-2</v>
      </c>
      <c r="N1892" s="25">
        <f t="shared" si="115"/>
        <v>3.6845983787767156E-2</v>
      </c>
      <c r="O1892">
        <v>0.96315401621223196</v>
      </c>
      <c r="P1892" s="25">
        <f t="shared" si="117"/>
        <v>0.96315401621223284</v>
      </c>
      <c r="Q1892">
        <v>8</v>
      </c>
      <c r="R1892" t="s">
        <v>124</v>
      </c>
      <c r="S1892" t="s">
        <v>124</v>
      </c>
      <c r="T1892" t="s">
        <v>124</v>
      </c>
      <c r="U1892" t="s">
        <v>124</v>
      </c>
      <c r="X1892" s="19">
        <f t="shared" si="113"/>
        <v>0.94482758620689655</v>
      </c>
      <c r="Y1892" s="19">
        <f t="shared" si="114"/>
        <v>3.6845983787767156E-2</v>
      </c>
      <c r="Z1892" s="26"/>
    </row>
    <row r="1893" spans="1:26" x14ac:dyDescent="0.35">
      <c r="A1893" t="s">
        <v>122</v>
      </c>
      <c r="B1893" t="s">
        <v>122</v>
      </c>
      <c r="C1893" t="s">
        <v>123</v>
      </c>
      <c r="D1893" t="s">
        <v>101</v>
      </c>
      <c r="E1893" t="s">
        <v>99</v>
      </c>
      <c r="F1893" t="s">
        <v>12</v>
      </c>
      <c r="G1893">
        <v>1</v>
      </c>
      <c r="H1893">
        <v>137</v>
      </c>
      <c r="I1893">
        <v>0.944827586206896</v>
      </c>
      <c r="J1893" s="25">
        <f t="shared" si="116"/>
        <v>0.94482758620689655</v>
      </c>
      <c r="K1893">
        <v>1307</v>
      </c>
      <c r="L1893">
        <v>50</v>
      </c>
      <c r="M1893">
        <v>3.68459837877671E-2</v>
      </c>
      <c r="N1893" s="25">
        <f t="shared" si="115"/>
        <v>3.6845983787767156E-2</v>
      </c>
      <c r="O1893">
        <v>0.96315401621223196</v>
      </c>
      <c r="P1893" s="25">
        <f t="shared" si="117"/>
        <v>0.96315401621223284</v>
      </c>
      <c r="Q1893">
        <v>8</v>
      </c>
      <c r="R1893" t="s">
        <v>124</v>
      </c>
      <c r="S1893" t="s">
        <v>124</v>
      </c>
      <c r="T1893" t="s">
        <v>124</v>
      </c>
      <c r="U1893" t="s">
        <v>124</v>
      </c>
      <c r="X1893" s="19">
        <f t="shared" si="113"/>
        <v>0.94482758620689655</v>
      </c>
      <c r="Y1893" s="19">
        <f t="shared" si="114"/>
        <v>3.6845983787767156E-2</v>
      </c>
      <c r="Z1893" s="26"/>
    </row>
    <row r="1894" spans="1:26" x14ac:dyDescent="0.35">
      <c r="A1894" t="s">
        <v>122</v>
      </c>
      <c r="B1894" t="s">
        <v>122</v>
      </c>
      <c r="C1894" t="s">
        <v>123</v>
      </c>
      <c r="D1894" t="s">
        <v>101</v>
      </c>
      <c r="E1894" t="s">
        <v>99</v>
      </c>
      <c r="F1894" t="s">
        <v>12</v>
      </c>
      <c r="G1894">
        <v>1</v>
      </c>
      <c r="H1894">
        <v>137</v>
      </c>
      <c r="I1894">
        <v>0.944827586206896</v>
      </c>
      <c r="J1894" s="25">
        <f t="shared" si="116"/>
        <v>0.94482758620689655</v>
      </c>
      <c r="K1894">
        <v>1307</v>
      </c>
      <c r="L1894">
        <v>50</v>
      </c>
      <c r="M1894">
        <v>3.68459837877671E-2</v>
      </c>
      <c r="N1894" s="25">
        <f t="shared" si="115"/>
        <v>3.6845983787767156E-2</v>
      </c>
      <c r="O1894">
        <v>0.96315401621223196</v>
      </c>
      <c r="P1894" s="25">
        <f t="shared" si="117"/>
        <v>0.96315401621223284</v>
      </c>
      <c r="Q1894">
        <v>8</v>
      </c>
      <c r="R1894" t="s">
        <v>124</v>
      </c>
      <c r="S1894" t="s">
        <v>124</v>
      </c>
      <c r="T1894" t="s">
        <v>124</v>
      </c>
      <c r="U1894" t="s">
        <v>124</v>
      </c>
      <c r="X1894" s="19">
        <f t="shared" si="113"/>
        <v>0.94482758620689655</v>
      </c>
      <c r="Y1894" s="19">
        <f t="shared" si="114"/>
        <v>3.6845983787767156E-2</v>
      </c>
      <c r="Z1894" s="26"/>
    </row>
    <row r="1895" spans="1:26" x14ac:dyDescent="0.35">
      <c r="A1895" t="s">
        <v>122</v>
      </c>
      <c r="B1895" t="s">
        <v>122</v>
      </c>
      <c r="C1895" t="s">
        <v>123</v>
      </c>
      <c r="D1895" t="s">
        <v>101</v>
      </c>
      <c r="E1895" t="s">
        <v>99</v>
      </c>
      <c r="F1895" t="s">
        <v>12</v>
      </c>
      <c r="G1895">
        <v>1</v>
      </c>
      <c r="H1895">
        <v>137</v>
      </c>
      <c r="I1895">
        <v>0.944827586206896</v>
      </c>
      <c r="J1895" s="25">
        <f t="shared" si="116"/>
        <v>0.94482758620689655</v>
      </c>
      <c r="K1895">
        <v>1307</v>
      </c>
      <c r="L1895">
        <v>50</v>
      </c>
      <c r="M1895">
        <v>3.68459837877671E-2</v>
      </c>
      <c r="N1895" s="25">
        <f t="shared" si="115"/>
        <v>3.6845983787767156E-2</v>
      </c>
      <c r="O1895">
        <v>0.96315401621223196</v>
      </c>
      <c r="P1895" s="25">
        <f t="shared" si="117"/>
        <v>0.96315401621223284</v>
      </c>
      <c r="Q1895">
        <v>8</v>
      </c>
      <c r="R1895" t="s">
        <v>124</v>
      </c>
      <c r="S1895" t="s">
        <v>124</v>
      </c>
      <c r="T1895" t="s">
        <v>124</v>
      </c>
      <c r="U1895" t="s">
        <v>124</v>
      </c>
      <c r="X1895" s="19">
        <f t="shared" si="113"/>
        <v>0.94482758620689655</v>
      </c>
      <c r="Y1895" s="19">
        <f t="shared" si="114"/>
        <v>3.6845983787767156E-2</v>
      </c>
      <c r="Z1895" s="26"/>
    </row>
    <row r="1896" spans="1:26" x14ac:dyDescent="0.35">
      <c r="A1896" t="s">
        <v>122</v>
      </c>
      <c r="B1896" t="s">
        <v>122</v>
      </c>
      <c r="C1896" t="s">
        <v>123</v>
      </c>
      <c r="D1896" t="s">
        <v>101</v>
      </c>
      <c r="E1896" t="s">
        <v>99</v>
      </c>
      <c r="F1896" t="s">
        <v>12</v>
      </c>
      <c r="G1896">
        <v>1</v>
      </c>
      <c r="H1896">
        <v>137</v>
      </c>
      <c r="I1896">
        <v>0.944827586206896</v>
      </c>
      <c r="J1896" s="25">
        <f t="shared" si="116"/>
        <v>0.94482758620689655</v>
      </c>
      <c r="K1896">
        <v>1307</v>
      </c>
      <c r="L1896">
        <v>50</v>
      </c>
      <c r="M1896">
        <v>3.68459837877671E-2</v>
      </c>
      <c r="N1896" s="25">
        <f t="shared" si="115"/>
        <v>3.6845983787767156E-2</v>
      </c>
      <c r="O1896">
        <v>0.96315401621223196</v>
      </c>
      <c r="P1896" s="25">
        <f t="shared" si="117"/>
        <v>0.96315401621223284</v>
      </c>
      <c r="Q1896">
        <v>8</v>
      </c>
      <c r="R1896" t="s">
        <v>124</v>
      </c>
      <c r="S1896" t="s">
        <v>124</v>
      </c>
      <c r="T1896" t="s">
        <v>124</v>
      </c>
      <c r="U1896" t="s">
        <v>124</v>
      </c>
      <c r="X1896" s="19">
        <f t="shared" si="113"/>
        <v>0.94482758620689655</v>
      </c>
      <c r="Y1896" s="19">
        <f t="shared" si="114"/>
        <v>3.6845983787767156E-2</v>
      </c>
      <c r="Z1896" s="26"/>
    </row>
    <row r="1897" spans="1:26" x14ac:dyDescent="0.35">
      <c r="A1897" t="s">
        <v>122</v>
      </c>
      <c r="B1897" t="s">
        <v>122</v>
      </c>
      <c r="C1897" t="s">
        <v>123</v>
      </c>
      <c r="D1897" t="s">
        <v>101</v>
      </c>
      <c r="E1897" t="s">
        <v>99</v>
      </c>
      <c r="F1897" t="s">
        <v>12</v>
      </c>
      <c r="G1897">
        <v>1</v>
      </c>
      <c r="H1897">
        <v>137</v>
      </c>
      <c r="I1897">
        <v>0.944827586206896</v>
      </c>
      <c r="J1897" s="25">
        <f t="shared" si="116"/>
        <v>0.94482758620689655</v>
      </c>
      <c r="K1897">
        <v>1307</v>
      </c>
      <c r="L1897">
        <v>50</v>
      </c>
      <c r="M1897">
        <v>3.68459837877671E-2</v>
      </c>
      <c r="N1897" s="25">
        <f t="shared" si="115"/>
        <v>3.6845983787767156E-2</v>
      </c>
      <c r="O1897">
        <v>0.96315401621223196</v>
      </c>
      <c r="P1897" s="25">
        <f t="shared" si="117"/>
        <v>0.96315401621223284</v>
      </c>
      <c r="Q1897">
        <v>8</v>
      </c>
      <c r="R1897" t="s">
        <v>124</v>
      </c>
      <c r="S1897" t="s">
        <v>124</v>
      </c>
      <c r="T1897" t="s">
        <v>124</v>
      </c>
      <c r="U1897" t="s">
        <v>124</v>
      </c>
      <c r="X1897" s="19">
        <f t="shared" si="113"/>
        <v>0.94482758620689655</v>
      </c>
      <c r="Y1897" s="19">
        <f t="shared" si="114"/>
        <v>3.6845983787767156E-2</v>
      </c>
      <c r="Z1897" s="26"/>
    </row>
    <row r="1898" spans="1:26" x14ac:dyDescent="0.35">
      <c r="A1898" t="s">
        <v>122</v>
      </c>
      <c r="B1898" t="s">
        <v>122</v>
      </c>
      <c r="C1898" t="s">
        <v>123</v>
      </c>
      <c r="D1898" t="s">
        <v>101</v>
      </c>
      <c r="E1898" t="s">
        <v>99</v>
      </c>
      <c r="F1898" t="s">
        <v>12</v>
      </c>
      <c r="G1898">
        <v>1</v>
      </c>
      <c r="H1898">
        <v>137</v>
      </c>
      <c r="I1898">
        <v>0.944827586206896</v>
      </c>
      <c r="J1898" s="25">
        <f t="shared" si="116"/>
        <v>0.94482758620689655</v>
      </c>
      <c r="K1898">
        <v>1307</v>
      </c>
      <c r="L1898">
        <v>50</v>
      </c>
      <c r="M1898">
        <v>3.68459837877671E-2</v>
      </c>
      <c r="N1898" s="25">
        <f t="shared" si="115"/>
        <v>3.6845983787767156E-2</v>
      </c>
      <c r="O1898">
        <v>0.96315401621223196</v>
      </c>
      <c r="P1898" s="25">
        <f t="shared" si="117"/>
        <v>0.96315401621223284</v>
      </c>
      <c r="Q1898">
        <v>8</v>
      </c>
      <c r="R1898" t="s">
        <v>124</v>
      </c>
      <c r="S1898" t="s">
        <v>124</v>
      </c>
      <c r="T1898" t="s">
        <v>124</v>
      </c>
      <c r="U1898" t="s">
        <v>124</v>
      </c>
      <c r="X1898" s="19">
        <f t="shared" si="113"/>
        <v>0.94482758620689655</v>
      </c>
      <c r="Y1898" s="19">
        <f t="shared" si="114"/>
        <v>3.6845983787767156E-2</v>
      </c>
      <c r="Z1898" s="26"/>
    </row>
    <row r="1899" spans="1:26" x14ac:dyDescent="0.35">
      <c r="A1899" t="s">
        <v>122</v>
      </c>
      <c r="B1899" t="s">
        <v>122</v>
      </c>
      <c r="C1899" t="s">
        <v>123</v>
      </c>
      <c r="D1899" t="s">
        <v>101</v>
      </c>
      <c r="E1899" t="s">
        <v>99</v>
      </c>
      <c r="F1899" t="s">
        <v>12</v>
      </c>
      <c r="G1899">
        <v>1</v>
      </c>
      <c r="H1899">
        <v>137</v>
      </c>
      <c r="I1899">
        <v>0.944827586206896</v>
      </c>
      <c r="J1899" s="25">
        <f t="shared" si="116"/>
        <v>0.94482758620689655</v>
      </c>
      <c r="K1899">
        <v>1307</v>
      </c>
      <c r="L1899">
        <v>50</v>
      </c>
      <c r="M1899">
        <v>3.68459837877671E-2</v>
      </c>
      <c r="N1899" s="25">
        <f t="shared" si="115"/>
        <v>3.6845983787767156E-2</v>
      </c>
      <c r="O1899">
        <v>0.96315401621223196</v>
      </c>
      <c r="P1899" s="25">
        <f t="shared" si="117"/>
        <v>0.96315401621223284</v>
      </c>
      <c r="Q1899">
        <v>8</v>
      </c>
      <c r="R1899" t="s">
        <v>124</v>
      </c>
      <c r="S1899" t="s">
        <v>124</v>
      </c>
      <c r="T1899" t="s">
        <v>124</v>
      </c>
      <c r="U1899" t="s">
        <v>124</v>
      </c>
      <c r="X1899" s="19">
        <f t="shared" si="113"/>
        <v>0.94482758620689655</v>
      </c>
      <c r="Y1899" s="19">
        <f t="shared" si="114"/>
        <v>3.6845983787767156E-2</v>
      </c>
      <c r="Z1899" s="26"/>
    </row>
    <row r="1900" spans="1:26" x14ac:dyDescent="0.35">
      <c r="A1900" t="s">
        <v>122</v>
      </c>
      <c r="B1900" t="s">
        <v>122</v>
      </c>
      <c r="C1900" t="s">
        <v>123</v>
      </c>
      <c r="D1900" t="s">
        <v>101</v>
      </c>
      <c r="E1900" t="s">
        <v>99</v>
      </c>
      <c r="F1900" t="s">
        <v>12</v>
      </c>
      <c r="G1900">
        <v>1</v>
      </c>
      <c r="H1900">
        <v>137</v>
      </c>
      <c r="I1900">
        <v>0.944827586206896</v>
      </c>
      <c r="J1900" s="25">
        <f t="shared" si="116"/>
        <v>0.94482758620689655</v>
      </c>
      <c r="K1900">
        <v>1307</v>
      </c>
      <c r="L1900">
        <v>50</v>
      </c>
      <c r="M1900">
        <v>3.68459837877671E-2</v>
      </c>
      <c r="N1900" s="25">
        <f t="shared" si="115"/>
        <v>3.6845983787767156E-2</v>
      </c>
      <c r="O1900">
        <v>0.96315401621223196</v>
      </c>
      <c r="P1900" s="25">
        <f t="shared" si="117"/>
        <v>0.96315401621223284</v>
      </c>
      <c r="Q1900">
        <v>8</v>
      </c>
      <c r="R1900" t="s">
        <v>124</v>
      </c>
      <c r="S1900" t="s">
        <v>124</v>
      </c>
      <c r="T1900" t="s">
        <v>124</v>
      </c>
      <c r="U1900" t="s">
        <v>124</v>
      </c>
      <c r="X1900" s="19">
        <f t="shared" si="113"/>
        <v>0.94482758620689655</v>
      </c>
      <c r="Y1900" s="19">
        <f t="shared" si="114"/>
        <v>3.6845983787767156E-2</v>
      </c>
      <c r="Z1900" s="26"/>
    </row>
    <row r="1901" spans="1:26" x14ac:dyDescent="0.35">
      <c r="A1901" t="s">
        <v>122</v>
      </c>
      <c r="B1901" t="s">
        <v>122</v>
      </c>
      <c r="C1901" t="s">
        <v>123</v>
      </c>
      <c r="D1901" t="s">
        <v>101</v>
      </c>
      <c r="E1901" t="s">
        <v>99</v>
      </c>
      <c r="F1901" t="s">
        <v>12</v>
      </c>
      <c r="G1901">
        <v>1</v>
      </c>
      <c r="H1901">
        <v>137</v>
      </c>
      <c r="I1901">
        <v>0.944827586206896</v>
      </c>
      <c r="J1901" s="25">
        <f t="shared" si="116"/>
        <v>0.94482758620689655</v>
      </c>
      <c r="K1901">
        <v>1307</v>
      </c>
      <c r="L1901">
        <v>50</v>
      </c>
      <c r="M1901">
        <v>3.68459837877671E-2</v>
      </c>
      <c r="N1901" s="25">
        <f t="shared" si="115"/>
        <v>3.6845983787767156E-2</v>
      </c>
      <c r="O1901">
        <v>0.96315401621223196</v>
      </c>
      <c r="P1901" s="25">
        <f t="shared" si="117"/>
        <v>0.96315401621223284</v>
      </c>
      <c r="Q1901">
        <v>8</v>
      </c>
      <c r="R1901" t="s">
        <v>124</v>
      </c>
      <c r="S1901" t="s">
        <v>124</v>
      </c>
      <c r="T1901" t="s">
        <v>124</v>
      </c>
      <c r="U1901" t="s">
        <v>124</v>
      </c>
      <c r="X1901" s="19">
        <f t="shared" si="113"/>
        <v>0.94482758620689655</v>
      </c>
      <c r="Y1901" s="19">
        <f t="shared" si="114"/>
        <v>3.6845983787767156E-2</v>
      </c>
      <c r="Z1901" s="26"/>
    </row>
    <row r="1902" spans="1:26" x14ac:dyDescent="0.35">
      <c r="A1902" t="s">
        <v>122</v>
      </c>
      <c r="B1902" t="s">
        <v>122</v>
      </c>
      <c r="C1902" t="s">
        <v>123</v>
      </c>
      <c r="D1902" t="s">
        <v>101</v>
      </c>
      <c r="E1902" t="s">
        <v>99</v>
      </c>
      <c r="F1902" t="s">
        <v>12</v>
      </c>
      <c r="G1902">
        <v>1</v>
      </c>
      <c r="H1902">
        <v>137</v>
      </c>
      <c r="I1902">
        <v>0.944827586206896</v>
      </c>
      <c r="J1902" s="25">
        <f t="shared" si="116"/>
        <v>0.94482758620689655</v>
      </c>
      <c r="K1902">
        <v>1307</v>
      </c>
      <c r="L1902">
        <v>50</v>
      </c>
      <c r="M1902">
        <v>3.68459837877671E-2</v>
      </c>
      <c r="N1902" s="25">
        <f t="shared" si="115"/>
        <v>3.6845983787767156E-2</v>
      </c>
      <c r="O1902">
        <v>0.96315401621223196</v>
      </c>
      <c r="P1902" s="25">
        <f t="shared" si="117"/>
        <v>0.96315401621223284</v>
      </c>
      <c r="Q1902">
        <v>8</v>
      </c>
      <c r="R1902" t="s">
        <v>124</v>
      </c>
      <c r="S1902" t="s">
        <v>124</v>
      </c>
      <c r="T1902" t="s">
        <v>124</v>
      </c>
      <c r="U1902" t="s">
        <v>124</v>
      </c>
      <c r="X1902" s="19">
        <f t="shared" ref="X1902:X1965" si="118">J1902</f>
        <v>0.94482758620689655</v>
      </c>
      <c r="Y1902" s="19">
        <f t="shared" ref="Y1902:Y1965" si="119">N1902</f>
        <v>3.6845983787767156E-2</v>
      </c>
      <c r="Z1902" s="26"/>
    </row>
    <row r="1903" spans="1:26" x14ac:dyDescent="0.35">
      <c r="A1903" t="s">
        <v>122</v>
      </c>
      <c r="B1903" t="s">
        <v>122</v>
      </c>
      <c r="C1903" t="s">
        <v>123</v>
      </c>
      <c r="D1903" t="s">
        <v>101</v>
      </c>
      <c r="E1903" t="s">
        <v>99</v>
      </c>
      <c r="F1903" t="s">
        <v>12</v>
      </c>
      <c r="G1903">
        <v>1</v>
      </c>
      <c r="H1903">
        <v>137</v>
      </c>
      <c r="I1903">
        <v>0.944827586206896</v>
      </c>
      <c r="J1903" s="25">
        <f t="shared" si="116"/>
        <v>0.94482758620689655</v>
      </c>
      <c r="K1903">
        <v>1307</v>
      </c>
      <c r="L1903">
        <v>50</v>
      </c>
      <c r="M1903">
        <v>3.68459837877671E-2</v>
      </c>
      <c r="N1903" s="25">
        <f t="shared" si="115"/>
        <v>3.6845983787767156E-2</v>
      </c>
      <c r="O1903">
        <v>0.96315401621223196</v>
      </c>
      <c r="P1903" s="25">
        <f t="shared" si="117"/>
        <v>0.96315401621223284</v>
      </c>
      <c r="Q1903">
        <v>8</v>
      </c>
      <c r="R1903" t="s">
        <v>124</v>
      </c>
      <c r="S1903" t="s">
        <v>124</v>
      </c>
      <c r="T1903" t="s">
        <v>124</v>
      </c>
      <c r="U1903" t="s">
        <v>124</v>
      </c>
      <c r="X1903" s="19">
        <f t="shared" si="118"/>
        <v>0.94482758620689655</v>
      </c>
      <c r="Y1903" s="19">
        <f t="shared" si="119"/>
        <v>3.6845983787767156E-2</v>
      </c>
      <c r="Z1903" s="26"/>
    </row>
    <row r="1904" spans="1:26" x14ac:dyDescent="0.35">
      <c r="A1904" t="s">
        <v>122</v>
      </c>
      <c r="B1904" t="s">
        <v>122</v>
      </c>
      <c r="C1904" t="s">
        <v>123</v>
      </c>
      <c r="D1904" t="s">
        <v>101</v>
      </c>
      <c r="E1904" t="s">
        <v>99</v>
      </c>
      <c r="F1904" t="s">
        <v>12</v>
      </c>
      <c r="G1904">
        <v>1</v>
      </c>
      <c r="H1904">
        <v>137</v>
      </c>
      <c r="I1904">
        <v>0.944827586206896</v>
      </c>
      <c r="J1904" s="25">
        <f t="shared" si="116"/>
        <v>0.94482758620689655</v>
      </c>
      <c r="K1904">
        <v>1307</v>
      </c>
      <c r="L1904">
        <v>50</v>
      </c>
      <c r="M1904">
        <v>3.68459837877671E-2</v>
      </c>
      <c r="N1904" s="25">
        <f t="shared" si="115"/>
        <v>3.6845983787767156E-2</v>
      </c>
      <c r="O1904">
        <v>0.96315401621223196</v>
      </c>
      <c r="P1904" s="25">
        <f t="shared" si="117"/>
        <v>0.96315401621223284</v>
      </c>
      <c r="Q1904">
        <v>8</v>
      </c>
      <c r="R1904" t="s">
        <v>124</v>
      </c>
      <c r="S1904" t="s">
        <v>124</v>
      </c>
      <c r="T1904" t="s">
        <v>124</v>
      </c>
      <c r="U1904" t="s">
        <v>124</v>
      </c>
      <c r="X1904" s="19">
        <f t="shared" si="118"/>
        <v>0.94482758620689655</v>
      </c>
      <c r="Y1904" s="19">
        <f t="shared" si="119"/>
        <v>3.6845983787767156E-2</v>
      </c>
      <c r="Z1904" s="26"/>
    </row>
    <row r="1905" spans="1:26" x14ac:dyDescent="0.35">
      <c r="A1905" t="s">
        <v>122</v>
      </c>
      <c r="B1905" t="s">
        <v>122</v>
      </c>
      <c r="C1905" t="s">
        <v>123</v>
      </c>
      <c r="D1905" t="s">
        <v>101</v>
      </c>
      <c r="E1905" t="s">
        <v>99</v>
      </c>
      <c r="F1905" t="s">
        <v>12</v>
      </c>
      <c r="G1905">
        <v>1</v>
      </c>
      <c r="H1905">
        <v>137</v>
      </c>
      <c r="I1905">
        <v>0.944827586206896</v>
      </c>
      <c r="J1905" s="25">
        <f t="shared" si="116"/>
        <v>0.94482758620689655</v>
      </c>
      <c r="K1905">
        <v>1307</v>
      </c>
      <c r="L1905">
        <v>50</v>
      </c>
      <c r="M1905">
        <v>3.68459837877671E-2</v>
      </c>
      <c r="N1905" s="25">
        <f t="shared" si="115"/>
        <v>3.6845983787767156E-2</v>
      </c>
      <c r="O1905">
        <v>0.96315401621223196</v>
      </c>
      <c r="P1905" s="25">
        <f t="shared" si="117"/>
        <v>0.96315401621223284</v>
      </c>
      <c r="Q1905">
        <v>8</v>
      </c>
      <c r="R1905" t="s">
        <v>124</v>
      </c>
      <c r="S1905" t="s">
        <v>124</v>
      </c>
      <c r="T1905" t="s">
        <v>124</v>
      </c>
      <c r="U1905" t="s">
        <v>124</v>
      </c>
      <c r="X1905" s="19">
        <f t="shared" si="118"/>
        <v>0.94482758620689655</v>
      </c>
      <c r="Y1905" s="19">
        <f t="shared" si="119"/>
        <v>3.6845983787767156E-2</v>
      </c>
      <c r="Z1905" s="26"/>
    </row>
    <row r="1906" spans="1:26" x14ac:dyDescent="0.35">
      <c r="A1906" t="s">
        <v>122</v>
      </c>
      <c r="B1906" t="s">
        <v>122</v>
      </c>
      <c r="C1906" t="s">
        <v>123</v>
      </c>
      <c r="D1906" t="s">
        <v>101</v>
      </c>
      <c r="E1906" t="s">
        <v>99</v>
      </c>
      <c r="F1906" t="s">
        <v>12</v>
      </c>
      <c r="G1906">
        <v>1</v>
      </c>
      <c r="H1906">
        <v>137</v>
      </c>
      <c r="I1906">
        <v>0.944827586206896</v>
      </c>
      <c r="J1906" s="25">
        <f t="shared" si="116"/>
        <v>0.94482758620689655</v>
      </c>
      <c r="K1906">
        <v>1307</v>
      </c>
      <c r="L1906">
        <v>50</v>
      </c>
      <c r="M1906">
        <v>3.68459837877671E-2</v>
      </c>
      <c r="N1906" s="25">
        <f t="shared" si="115"/>
        <v>3.6845983787767156E-2</v>
      </c>
      <c r="O1906">
        <v>0.96315401621223196</v>
      </c>
      <c r="P1906" s="25">
        <f t="shared" si="117"/>
        <v>0.96315401621223284</v>
      </c>
      <c r="Q1906">
        <v>8</v>
      </c>
      <c r="R1906" t="s">
        <v>124</v>
      </c>
      <c r="S1906" t="s">
        <v>124</v>
      </c>
      <c r="T1906" t="s">
        <v>124</v>
      </c>
      <c r="U1906" t="s">
        <v>124</v>
      </c>
      <c r="X1906" s="19">
        <f t="shared" si="118"/>
        <v>0.94482758620689655</v>
      </c>
      <c r="Y1906" s="19">
        <f t="shared" si="119"/>
        <v>3.6845983787767156E-2</v>
      </c>
      <c r="Z1906" s="26"/>
    </row>
    <row r="1907" spans="1:26" x14ac:dyDescent="0.35">
      <c r="A1907" t="s">
        <v>122</v>
      </c>
      <c r="B1907" t="s">
        <v>122</v>
      </c>
      <c r="C1907" t="s">
        <v>123</v>
      </c>
      <c r="D1907" t="s">
        <v>101</v>
      </c>
      <c r="E1907" t="s">
        <v>99</v>
      </c>
      <c r="F1907" t="s">
        <v>12</v>
      </c>
      <c r="G1907">
        <v>1</v>
      </c>
      <c r="H1907">
        <v>137</v>
      </c>
      <c r="I1907">
        <v>0.944827586206896</v>
      </c>
      <c r="J1907" s="25">
        <f t="shared" si="116"/>
        <v>0.94482758620689655</v>
      </c>
      <c r="K1907">
        <v>1307</v>
      </c>
      <c r="L1907">
        <v>50</v>
      </c>
      <c r="M1907">
        <v>3.68459837877671E-2</v>
      </c>
      <c r="N1907" s="25">
        <f t="shared" si="115"/>
        <v>3.6845983787767156E-2</v>
      </c>
      <c r="O1907">
        <v>0.96315401621223196</v>
      </c>
      <c r="P1907" s="25">
        <f t="shared" si="117"/>
        <v>0.96315401621223284</v>
      </c>
      <c r="Q1907">
        <v>8</v>
      </c>
      <c r="R1907" t="s">
        <v>124</v>
      </c>
      <c r="S1907" t="s">
        <v>124</v>
      </c>
      <c r="T1907" t="s">
        <v>124</v>
      </c>
      <c r="U1907" t="s">
        <v>124</v>
      </c>
      <c r="X1907" s="19">
        <f t="shared" si="118"/>
        <v>0.94482758620689655</v>
      </c>
      <c r="Y1907" s="19">
        <f t="shared" si="119"/>
        <v>3.6845983787767156E-2</v>
      </c>
      <c r="Z1907" s="26"/>
    </row>
    <row r="1908" spans="1:26" x14ac:dyDescent="0.35">
      <c r="A1908" t="s">
        <v>122</v>
      </c>
      <c r="B1908" t="s">
        <v>122</v>
      </c>
      <c r="C1908" t="s">
        <v>123</v>
      </c>
      <c r="D1908" t="s">
        <v>101</v>
      </c>
      <c r="E1908" t="s">
        <v>99</v>
      </c>
      <c r="F1908" t="s">
        <v>12</v>
      </c>
      <c r="G1908">
        <v>1</v>
      </c>
      <c r="H1908">
        <v>137</v>
      </c>
      <c r="I1908">
        <v>0.944827586206896</v>
      </c>
      <c r="J1908" s="25">
        <f t="shared" si="116"/>
        <v>0.94482758620689655</v>
      </c>
      <c r="K1908">
        <v>1307</v>
      </c>
      <c r="L1908">
        <v>50</v>
      </c>
      <c r="M1908">
        <v>3.68459837877671E-2</v>
      </c>
      <c r="N1908" s="25">
        <f t="shared" si="115"/>
        <v>3.6845983787767156E-2</v>
      </c>
      <c r="O1908">
        <v>0.96315401621223196</v>
      </c>
      <c r="P1908" s="25">
        <f t="shared" si="117"/>
        <v>0.96315401621223284</v>
      </c>
      <c r="Q1908">
        <v>8</v>
      </c>
      <c r="R1908" t="s">
        <v>124</v>
      </c>
      <c r="S1908" t="s">
        <v>124</v>
      </c>
      <c r="T1908" t="s">
        <v>124</v>
      </c>
      <c r="U1908" t="s">
        <v>124</v>
      </c>
      <c r="X1908" s="19">
        <f t="shared" si="118"/>
        <v>0.94482758620689655</v>
      </c>
      <c r="Y1908" s="19">
        <f t="shared" si="119"/>
        <v>3.6845983787767156E-2</v>
      </c>
      <c r="Z1908" s="26"/>
    </row>
    <row r="1909" spans="1:26" x14ac:dyDescent="0.35">
      <c r="A1909" t="s">
        <v>122</v>
      </c>
      <c r="B1909" t="s">
        <v>122</v>
      </c>
      <c r="C1909" t="s">
        <v>123</v>
      </c>
      <c r="D1909" t="s">
        <v>101</v>
      </c>
      <c r="E1909" t="s">
        <v>99</v>
      </c>
      <c r="F1909" t="s">
        <v>12</v>
      </c>
      <c r="G1909">
        <v>1</v>
      </c>
      <c r="H1909">
        <v>137</v>
      </c>
      <c r="I1909">
        <v>0.944827586206896</v>
      </c>
      <c r="J1909" s="25">
        <f t="shared" si="116"/>
        <v>0.94482758620689655</v>
      </c>
      <c r="K1909">
        <v>1307</v>
      </c>
      <c r="L1909">
        <v>50</v>
      </c>
      <c r="M1909">
        <v>3.68459837877671E-2</v>
      </c>
      <c r="N1909" s="25">
        <f t="shared" si="115"/>
        <v>3.6845983787767156E-2</v>
      </c>
      <c r="O1909">
        <v>0.96315401621223196</v>
      </c>
      <c r="P1909" s="25">
        <f t="shared" si="117"/>
        <v>0.96315401621223284</v>
      </c>
      <c r="Q1909">
        <v>8</v>
      </c>
      <c r="R1909" t="s">
        <v>124</v>
      </c>
      <c r="S1909" t="s">
        <v>124</v>
      </c>
      <c r="T1909" t="s">
        <v>124</v>
      </c>
      <c r="U1909" t="s">
        <v>124</v>
      </c>
      <c r="X1909" s="19">
        <f t="shared" si="118"/>
        <v>0.94482758620689655</v>
      </c>
      <c r="Y1909" s="19">
        <f t="shared" si="119"/>
        <v>3.6845983787767156E-2</v>
      </c>
      <c r="Z1909" s="26"/>
    </row>
    <row r="1910" spans="1:26" x14ac:dyDescent="0.35">
      <c r="A1910" t="s">
        <v>122</v>
      </c>
      <c r="B1910" t="s">
        <v>122</v>
      </c>
      <c r="C1910" t="s">
        <v>123</v>
      </c>
      <c r="D1910" t="s">
        <v>101</v>
      </c>
      <c r="E1910" t="s">
        <v>99</v>
      </c>
      <c r="F1910" t="s">
        <v>12</v>
      </c>
      <c r="G1910">
        <v>1</v>
      </c>
      <c r="H1910">
        <v>137</v>
      </c>
      <c r="I1910">
        <v>0.944827586206896</v>
      </c>
      <c r="J1910" s="25">
        <f t="shared" si="116"/>
        <v>0.94482758620689655</v>
      </c>
      <c r="K1910">
        <v>1307</v>
      </c>
      <c r="L1910">
        <v>50</v>
      </c>
      <c r="M1910">
        <v>3.68459837877671E-2</v>
      </c>
      <c r="N1910" s="25">
        <f t="shared" si="115"/>
        <v>3.6845983787767156E-2</v>
      </c>
      <c r="O1910">
        <v>0.96315401621223196</v>
      </c>
      <c r="P1910" s="25">
        <f t="shared" si="117"/>
        <v>0.96315401621223284</v>
      </c>
      <c r="Q1910">
        <v>8</v>
      </c>
      <c r="R1910" t="s">
        <v>124</v>
      </c>
      <c r="S1910" t="s">
        <v>124</v>
      </c>
      <c r="T1910" t="s">
        <v>124</v>
      </c>
      <c r="U1910" t="s">
        <v>124</v>
      </c>
      <c r="X1910" s="19">
        <f t="shared" si="118"/>
        <v>0.94482758620689655</v>
      </c>
      <c r="Y1910" s="19">
        <f t="shared" si="119"/>
        <v>3.6845983787767156E-2</v>
      </c>
      <c r="Z1910" s="26"/>
    </row>
    <row r="1911" spans="1:26" x14ac:dyDescent="0.35">
      <c r="A1911" t="s">
        <v>122</v>
      </c>
      <c r="B1911" t="s">
        <v>122</v>
      </c>
      <c r="C1911" t="s">
        <v>123</v>
      </c>
      <c r="D1911" t="s">
        <v>101</v>
      </c>
      <c r="E1911" t="s">
        <v>99</v>
      </c>
      <c r="F1911" t="s">
        <v>12</v>
      </c>
      <c r="G1911">
        <v>1</v>
      </c>
      <c r="H1911">
        <v>137</v>
      </c>
      <c r="I1911">
        <v>0.944827586206896</v>
      </c>
      <c r="J1911" s="25">
        <f t="shared" si="116"/>
        <v>0.94482758620689655</v>
      </c>
      <c r="K1911">
        <v>1307</v>
      </c>
      <c r="L1911">
        <v>50</v>
      </c>
      <c r="M1911">
        <v>3.68459837877671E-2</v>
      </c>
      <c r="N1911" s="25">
        <f t="shared" si="115"/>
        <v>3.6845983787767156E-2</v>
      </c>
      <c r="O1911">
        <v>0.96315401621223196</v>
      </c>
      <c r="P1911" s="25">
        <f t="shared" si="117"/>
        <v>0.96315401621223284</v>
      </c>
      <c r="Q1911">
        <v>8</v>
      </c>
      <c r="R1911">
        <v>1</v>
      </c>
      <c r="S1911">
        <v>1</v>
      </c>
      <c r="T1911">
        <v>1</v>
      </c>
      <c r="U1911">
        <v>1.0099</v>
      </c>
      <c r="X1911" s="19">
        <f t="shared" si="118"/>
        <v>0.94482758620689655</v>
      </c>
      <c r="Y1911" s="19">
        <f t="shared" si="119"/>
        <v>3.6845983787767156E-2</v>
      </c>
      <c r="Z1911" s="26"/>
    </row>
    <row r="1912" spans="1:26" x14ac:dyDescent="0.35">
      <c r="A1912" t="s">
        <v>122</v>
      </c>
      <c r="B1912" t="s">
        <v>122</v>
      </c>
      <c r="C1912" t="s">
        <v>123</v>
      </c>
      <c r="D1912" t="s">
        <v>101</v>
      </c>
      <c r="E1912" t="s">
        <v>99</v>
      </c>
      <c r="F1912" t="s">
        <v>12</v>
      </c>
      <c r="G1912">
        <v>1</v>
      </c>
      <c r="H1912">
        <v>137</v>
      </c>
      <c r="I1912">
        <v>0.944827586206896</v>
      </c>
      <c r="J1912" s="25">
        <f t="shared" si="116"/>
        <v>0.94482758620689655</v>
      </c>
      <c r="K1912">
        <v>1307</v>
      </c>
      <c r="L1912">
        <v>50</v>
      </c>
      <c r="M1912">
        <v>3.68459837877671E-2</v>
      </c>
      <c r="N1912" s="25">
        <f t="shared" si="115"/>
        <v>3.6845983787767156E-2</v>
      </c>
      <c r="O1912">
        <v>0.96315401621223196</v>
      </c>
      <c r="P1912" s="25">
        <f t="shared" si="117"/>
        <v>0.96315401621223284</v>
      </c>
      <c r="Q1912">
        <v>8</v>
      </c>
      <c r="R1912" t="s">
        <v>124</v>
      </c>
      <c r="S1912" t="s">
        <v>124</v>
      </c>
      <c r="T1912" t="s">
        <v>124</v>
      </c>
      <c r="U1912" t="s">
        <v>124</v>
      </c>
      <c r="X1912" s="19">
        <f t="shared" si="118"/>
        <v>0.94482758620689655</v>
      </c>
      <c r="Y1912" s="19">
        <f t="shared" si="119"/>
        <v>3.6845983787767156E-2</v>
      </c>
      <c r="Z1912" s="26"/>
    </row>
    <row r="1913" spans="1:26" x14ac:dyDescent="0.35">
      <c r="A1913" t="s">
        <v>122</v>
      </c>
      <c r="B1913" t="s">
        <v>122</v>
      </c>
      <c r="C1913" t="s">
        <v>123</v>
      </c>
      <c r="D1913" t="s">
        <v>101</v>
      </c>
      <c r="E1913" t="s">
        <v>99</v>
      </c>
      <c r="F1913" t="s">
        <v>12</v>
      </c>
      <c r="G1913">
        <v>1</v>
      </c>
      <c r="H1913">
        <v>137</v>
      </c>
      <c r="I1913">
        <v>0.944827586206896</v>
      </c>
      <c r="J1913" s="25">
        <f t="shared" si="116"/>
        <v>0.94482758620689655</v>
      </c>
      <c r="K1913">
        <v>1307</v>
      </c>
      <c r="L1913">
        <v>50</v>
      </c>
      <c r="M1913">
        <v>3.68459837877671E-2</v>
      </c>
      <c r="N1913" s="25">
        <f t="shared" si="115"/>
        <v>3.6845983787767156E-2</v>
      </c>
      <c r="O1913">
        <v>0.96315401621223196</v>
      </c>
      <c r="P1913" s="25">
        <f t="shared" si="117"/>
        <v>0.96315401621223284</v>
      </c>
      <c r="Q1913">
        <v>8</v>
      </c>
      <c r="R1913" t="s">
        <v>124</v>
      </c>
      <c r="S1913" t="s">
        <v>124</v>
      </c>
      <c r="T1913" t="s">
        <v>124</v>
      </c>
      <c r="U1913" t="s">
        <v>124</v>
      </c>
      <c r="X1913" s="19">
        <f t="shared" si="118"/>
        <v>0.94482758620689655</v>
      </c>
      <c r="Y1913" s="19">
        <f t="shared" si="119"/>
        <v>3.6845983787767156E-2</v>
      </c>
      <c r="Z1913" s="26"/>
    </row>
    <row r="1914" spans="1:26" x14ac:dyDescent="0.35">
      <c r="A1914" t="s">
        <v>122</v>
      </c>
      <c r="B1914" t="s">
        <v>122</v>
      </c>
      <c r="C1914" t="s">
        <v>123</v>
      </c>
      <c r="D1914" t="s">
        <v>101</v>
      </c>
      <c r="E1914" t="s">
        <v>99</v>
      </c>
      <c r="F1914" t="s">
        <v>12</v>
      </c>
      <c r="G1914">
        <v>1</v>
      </c>
      <c r="H1914">
        <v>137</v>
      </c>
      <c r="I1914">
        <v>0.944827586206896</v>
      </c>
      <c r="J1914" s="25">
        <f t="shared" si="116"/>
        <v>0.94482758620689655</v>
      </c>
      <c r="K1914">
        <v>1307</v>
      </c>
      <c r="L1914">
        <v>50</v>
      </c>
      <c r="M1914">
        <v>3.68459837877671E-2</v>
      </c>
      <c r="N1914" s="25">
        <f t="shared" si="115"/>
        <v>3.6845983787767156E-2</v>
      </c>
      <c r="O1914">
        <v>0.96315401621223196</v>
      </c>
      <c r="P1914" s="25">
        <f t="shared" si="117"/>
        <v>0.96315401621223284</v>
      </c>
      <c r="Q1914">
        <v>8</v>
      </c>
      <c r="R1914" t="s">
        <v>124</v>
      </c>
      <c r="S1914" t="s">
        <v>124</v>
      </c>
      <c r="T1914" t="s">
        <v>124</v>
      </c>
      <c r="U1914" t="s">
        <v>124</v>
      </c>
      <c r="X1914" s="19">
        <f t="shared" si="118"/>
        <v>0.94482758620689655</v>
      </c>
      <c r="Y1914" s="19">
        <f t="shared" si="119"/>
        <v>3.6845983787767156E-2</v>
      </c>
      <c r="Z1914" s="26"/>
    </row>
    <row r="1915" spans="1:26" x14ac:dyDescent="0.35">
      <c r="A1915" t="s">
        <v>122</v>
      </c>
      <c r="B1915" t="s">
        <v>122</v>
      </c>
      <c r="C1915" t="s">
        <v>123</v>
      </c>
      <c r="D1915" t="s">
        <v>101</v>
      </c>
      <c r="E1915" t="s">
        <v>99</v>
      </c>
      <c r="F1915" t="s">
        <v>12</v>
      </c>
      <c r="G1915">
        <v>1</v>
      </c>
      <c r="H1915">
        <v>137</v>
      </c>
      <c r="I1915">
        <v>0.944827586206896</v>
      </c>
      <c r="J1915" s="25">
        <f t="shared" si="116"/>
        <v>0.94482758620689655</v>
      </c>
      <c r="K1915">
        <v>1307</v>
      </c>
      <c r="L1915">
        <v>50</v>
      </c>
      <c r="M1915">
        <v>3.68459837877671E-2</v>
      </c>
      <c r="N1915" s="25">
        <f t="shared" si="115"/>
        <v>3.6845983787767156E-2</v>
      </c>
      <c r="O1915">
        <v>0.96315401621223196</v>
      </c>
      <c r="P1915" s="25">
        <f t="shared" si="117"/>
        <v>0.96315401621223284</v>
      </c>
      <c r="Q1915">
        <v>8</v>
      </c>
      <c r="R1915" t="s">
        <v>124</v>
      </c>
      <c r="S1915" t="s">
        <v>124</v>
      </c>
      <c r="T1915" t="s">
        <v>124</v>
      </c>
      <c r="U1915" t="s">
        <v>124</v>
      </c>
      <c r="X1915" s="19">
        <f t="shared" si="118"/>
        <v>0.94482758620689655</v>
      </c>
      <c r="Y1915" s="19">
        <f t="shared" si="119"/>
        <v>3.6845983787767156E-2</v>
      </c>
      <c r="Z1915" s="26"/>
    </row>
    <row r="1916" spans="1:26" x14ac:dyDescent="0.35">
      <c r="A1916" t="s">
        <v>122</v>
      </c>
      <c r="B1916" t="s">
        <v>122</v>
      </c>
      <c r="C1916" t="s">
        <v>123</v>
      </c>
      <c r="D1916" t="s">
        <v>101</v>
      </c>
      <c r="E1916" t="s">
        <v>99</v>
      </c>
      <c r="F1916" t="s">
        <v>12</v>
      </c>
      <c r="G1916">
        <v>1</v>
      </c>
      <c r="H1916">
        <v>137</v>
      </c>
      <c r="I1916">
        <v>0.944827586206896</v>
      </c>
      <c r="J1916" s="25">
        <f t="shared" si="116"/>
        <v>0.94482758620689655</v>
      </c>
      <c r="K1916">
        <v>1307</v>
      </c>
      <c r="L1916">
        <v>50</v>
      </c>
      <c r="M1916">
        <v>3.68459837877671E-2</v>
      </c>
      <c r="N1916" s="25">
        <f t="shared" si="115"/>
        <v>3.6845983787767156E-2</v>
      </c>
      <c r="O1916">
        <v>0.96315401621223196</v>
      </c>
      <c r="P1916" s="25">
        <f t="shared" si="117"/>
        <v>0.96315401621223284</v>
      </c>
      <c r="Q1916">
        <v>8</v>
      </c>
      <c r="R1916" t="s">
        <v>124</v>
      </c>
      <c r="S1916" t="s">
        <v>124</v>
      </c>
      <c r="T1916" t="s">
        <v>124</v>
      </c>
      <c r="U1916" t="s">
        <v>124</v>
      </c>
      <c r="X1916" s="19">
        <f t="shared" si="118"/>
        <v>0.94482758620689655</v>
      </c>
      <c r="Y1916" s="19">
        <f t="shared" si="119"/>
        <v>3.6845983787767156E-2</v>
      </c>
      <c r="Z1916" s="26"/>
    </row>
    <row r="1917" spans="1:26" x14ac:dyDescent="0.35">
      <c r="A1917" t="s">
        <v>122</v>
      </c>
      <c r="B1917" t="s">
        <v>122</v>
      </c>
      <c r="C1917" t="s">
        <v>123</v>
      </c>
      <c r="D1917" t="s">
        <v>101</v>
      </c>
      <c r="E1917" t="s">
        <v>99</v>
      </c>
      <c r="F1917" t="s">
        <v>12</v>
      </c>
      <c r="G1917">
        <v>1</v>
      </c>
      <c r="H1917">
        <v>137</v>
      </c>
      <c r="I1917">
        <v>0.944827586206896</v>
      </c>
      <c r="J1917" s="25">
        <f t="shared" si="116"/>
        <v>0.94482758620689655</v>
      </c>
      <c r="K1917">
        <v>1307</v>
      </c>
      <c r="L1917">
        <v>50</v>
      </c>
      <c r="M1917">
        <v>3.68459837877671E-2</v>
      </c>
      <c r="N1917" s="25">
        <f t="shared" si="115"/>
        <v>3.6845983787767156E-2</v>
      </c>
      <c r="O1917">
        <v>0.96315401621223196</v>
      </c>
      <c r="P1917" s="25">
        <f t="shared" si="117"/>
        <v>0.96315401621223284</v>
      </c>
      <c r="Q1917">
        <v>8</v>
      </c>
      <c r="R1917" t="s">
        <v>124</v>
      </c>
      <c r="S1917" t="s">
        <v>124</v>
      </c>
      <c r="T1917" t="s">
        <v>124</v>
      </c>
      <c r="U1917" t="s">
        <v>124</v>
      </c>
      <c r="X1917" s="19">
        <f t="shared" si="118"/>
        <v>0.94482758620689655</v>
      </c>
      <c r="Y1917" s="19">
        <f t="shared" si="119"/>
        <v>3.6845983787767156E-2</v>
      </c>
      <c r="Z1917" s="26"/>
    </row>
    <row r="1918" spans="1:26" x14ac:dyDescent="0.35">
      <c r="A1918" t="s">
        <v>122</v>
      </c>
      <c r="B1918" t="s">
        <v>122</v>
      </c>
      <c r="C1918" t="s">
        <v>123</v>
      </c>
      <c r="D1918" t="s">
        <v>101</v>
      </c>
      <c r="E1918" t="s">
        <v>99</v>
      </c>
      <c r="F1918" t="s">
        <v>12</v>
      </c>
      <c r="G1918">
        <v>1</v>
      </c>
      <c r="H1918">
        <v>137</v>
      </c>
      <c r="I1918">
        <v>0.944827586206896</v>
      </c>
      <c r="J1918" s="25">
        <f t="shared" si="116"/>
        <v>0.94482758620689655</v>
      </c>
      <c r="K1918">
        <v>1307</v>
      </c>
      <c r="L1918">
        <v>50</v>
      </c>
      <c r="M1918">
        <v>3.68459837877671E-2</v>
      </c>
      <c r="N1918" s="25">
        <f t="shared" si="115"/>
        <v>3.6845983787767156E-2</v>
      </c>
      <c r="O1918">
        <v>0.96315401621223196</v>
      </c>
      <c r="P1918" s="25">
        <f t="shared" si="117"/>
        <v>0.96315401621223284</v>
      </c>
      <c r="Q1918">
        <v>8</v>
      </c>
      <c r="R1918" t="s">
        <v>124</v>
      </c>
      <c r="S1918" t="s">
        <v>124</v>
      </c>
      <c r="T1918" t="s">
        <v>124</v>
      </c>
      <c r="U1918" t="s">
        <v>124</v>
      </c>
      <c r="X1918" s="19">
        <f t="shared" si="118"/>
        <v>0.94482758620689655</v>
      </c>
      <c r="Y1918" s="19">
        <f t="shared" si="119"/>
        <v>3.6845983787767156E-2</v>
      </c>
      <c r="Z1918" s="26"/>
    </row>
    <row r="1919" spans="1:26" x14ac:dyDescent="0.35">
      <c r="A1919" t="s">
        <v>122</v>
      </c>
      <c r="B1919" t="s">
        <v>122</v>
      </c>
      <c r="C1919" t="s">
        <v>123</v>
      </c>
      <c r="D1919" t="s">
        <v>101</v>
      </c>
      <c r="E1919" t="s">
        <v>99</v>
      </c>
      <c r="F1919" t="s">
        <v>12</v>
      </c>
      <c r="G1919">
        <v>1</v>
      </c>
      <c r="H1919">
        <v>137</v>
      </c>
      <c r="I1919">
        <v>0.944827586206896</v>
      </c>
      <c r="J1919" s="25">
        <f t="shared" si="116"/>
        <v>0.94482758620689655</v>
      </c>
      <c r="K1919">
        <v>1307</v>
      </c>
      <c r="L1919">
        <v>50</v>
      </c>
      <c r="M1919">
        <v>3.68459837877671E-2</v>
      </c>
      <c r="N1919" s="25">
        <f t="shared" si="115"/>
        <v>3.6845983787767156E-2</v>
      </c>
      <c r="O1919">
        <v>0.96315401621223196</v>
      </c>
      <c r="P1919" s="25">
        <f t="shared" si="117"/>
        <v>0.96315401621223284</v>
      </c>
      <c r="Q1919">
        <v>8</v>
      </c>
      <c r="R1919" t="s">
        <v>124</v>
      </c>
      <c r="S1919" t="s">
        <v>124</v>
      </c>
      <c r="T1919" t="s">
        <v>124</v>
      </c>
      <c r="U1919" t="s">
        <v>124</v>
      </c>
      <c r="X1919" s="19">
        <f t="shared" si="118"/>
        <v>0.94482758620689655</v>
      </c>
      <c r="Y1919" s="19">
        <f t="shared" si="119"/>
        <v>3.6845983787767156E-2</v>
      </c>
      <c r="Z1919" s="26"/>
    </row>
    <row r="1920" spans="1:26" x14ac:dyDescent="0.35">
      <c r="A1920" t="s">
        <v>122</v>
      </c>
      <c r="B1920" t="s">
        <v>122</v>
      </c>
      <c r="C1920" t="s">
        <v>123</v>
      </c>
      <c r="D1920" t="s">
        <v>101</v>
      </c>
      <c r="E1920" t="s">
        <v>99</v>
      </c>
      <c r="F1920" t="s">
        <v>12</v>
      </c>
      <c r="G1920">
        <v>1</v>
      </c>
      <c r="H1920">
        <v>137</v>
      </c>
      <c r="I1920">
        <v>0.944827586206896</v>
      </c>
      <c r="J1920" s="25">
        <f t="shared" si="116"/>
        <v>0.94482758620689655</v>
      </c>
      <c r="K1920">
        <v>1307</v>
      </c>
      <c r="L1920">
        <v>50</v>
      </c>
      <c r="M1920">
        <v>3.68459837877671E-2</v>
      </c>
      <c r="N1920" s="25">
        <f t="shared" si="115"/>
        <v>3.6845983787767156E-2</v>
      </c>
      <c r="O1920">
        <v>0.96315401621223196</v>
      </c>
      <c r="P1920" s="25">
        <f t="shared" si="117"/>
        <v>0.96315401621223284</v>
      </c>
      <c r="Q1920">
        <v>8</v>
      </c>
      <c r="R1920" t="s">
        <v>124</v>
      </c>
      <c r="S1920" t="s">
        <v>124</v>
      </c>
      <c r="T1920" t="s">
        <v>124</v>
      </c>
      <c r="U1920" t="s">
        <v>124</v>
      </c>
      <c r="X1920" s="19">
        <f t="shared" si="118"/>
        <v>0.94482758620689655</v>
      </c>
      <c r="Y1920" s="19">
        <f t="shared" si="119"/>
        <v>3.6845983787767156E-2</v>
      </c>
      <c r="Z1920" s="26"/>
    </row>
    <row r="1921" spans="1:26" x14ac:dyDescent="0.35">
      <c r="A1921" t="s">
        <v>122</v>
      </c>
      <c r="B1921" t="s">
        <v>122</v>
      </c>
      <c r="C1921" t="s">
        <v>123</v>
      </c>
      <c r="D1921" t="s">
        <v>101</v>
      </c>
      <c r="E1921" t="s">
        <v>99</v>
      </c>
      <c r="F1921" t="s">
        <v>12</v>
      </c>
      <c r="G1921">
        <v>1</v>
      </c>
      <c r="H1921">
        <v>137</v>
      </c>
      <c r="I1921">
        <v>0.944827586206896</v>
      </c>
      <c r="J1921" s="25">
        <f t="shared" si="116"/>
        <v>0.94482758620689655</v>
      </c>
      <c r="K1921">
        <v>1307</v>
      </c>
      <c r="L1921">
        <v>50</v>
      </c>
      <c r="M1921">
        <v>3.68459837877671E-2</v>
      </c>
      <c r="N1921" s="25">
        <f t="shared" si="115"/>
        <v>3.6845983787767156E-2</v>
      </c>
      <c r="O1921">
        <v>0.96315401621223196</v>
      </c>
      <c r="P1921" s="25">
        <f t="shared" si="117"/>
        <v>0.96315401621223284</v>
      </c>
      <c r="Q1921">
        <v>8</v>
      </c>
      <c r="R1921" t="s">
        <v>124</v>
      </c>
      <c r="S1921" t="s">
        <v>124</v>
      </c>
      <c r="T1921" t="s">
        <v>124</v>
      </c>
      <c r="U1921" t="s">
        <v>124</v>
      </c>
      <c r="X1921" s="19">
        <f t="shared" si="118"/>
        <v>0.94482758620689655</v>
      </c>
      <c r="Y1921" s="19">
        <f t="shared" si="119"/>
        <v>3.6845983787767156E-2</v>
      </c>
      <c r="Z1921" s="26"/>
    </row>
    <row r="1922" spans="1:26" x14ac:dyDescent="0.35">
      <c r="A1922" t="s">
        <v>122</v>
      </c>
      <c r="B1922" t="s">
        <v>122</v>
      </c>
      <c r="C1922" t="s">
        <v>123</v>
      </c>
      <c r="D1922" t="s">
        <v>101</v>
      </c>
      <c r="E1922" t="s">
        <v>99</v>
      </c>
      <c r="F1922" t="s">
        <v>12</v>
      </c>
      <c r="G1922">
        <v>1</v>
      </c>
      <c r="H1922">
        <v>137</v>
      </c>
      <c r="I1922">
        <v>0.944827586206896</v>
      </c>
      <c r="J1922" s="25">
        <f t="shared" si="116"/>
        <v>0.94482758620689655</v>
      </c>
      <c r="K1922">
        <v>1307</v>
      </c>
      <c r="L1922">
        <v>50</v>
      </c>
      <c r="M1922">
        <v>3.68459837877671E-2</v>
      </c>
      <c r="N1922" s="25">
        <f t="shared" ref="N1922:N1985" si="120">1-P1922</f>
        <v>3.6845983787767156E-2</v>
      </c>
      <c r="O1922">
        <v>0.96315401621223196</v>
      </c>
      <c r="P1922" s="25">
        <f t="shared" si="117"/>
        <v>0.96315401621223284</v>
      </c>
      <c r="Q1922">
        <v>8</v>
      </c>
      <c r="R1922" t="s">
        <v>124</v>
      </c>
      <c r="S1922" t="s">
        <v>124</v>
      </c>
      <c r="T1922" t="s">
        <v>124</v>
      </c>
      <c r="U1922" t="s">
        <v>124</v>
      </c>
      <c r="X1922" s="19">
        <f t="shared" si="118"/>
        <v>0.94482758620689655</v>
      </c>
      <c r="Y1922" s="19">
        <f t="shared" si="119"/>
        <v>3.6845983787767156E-2</v>
      </c>
      <c r="Z1922" s="26"/>
    </row>
    <row r="1923" spans="1:26" x14ac:dyDescent="0.35">
      <c r="A1923" t="s">
        <v>122</v>
      </c>
      <c r="B1923" t="s">
        <v>122</v>
      </c>
      <c r="C1923" t="s">
        <v>123</v>
      </c>
      <c r="D1923" t="s">
        <v>101</v>
      </c>
      <c r="E1923" t="s">
        <v>99</v>
      </c>
      <c r="F1923" t="s">
        <v>12</v>
      </c>
      <c r="G1923">
        <v>1</v>
      </c>
      <c r="H1923">
        <v>137</v>
      </c>
      <c r="I1923">
        <v>0.944827586206896</v>
      </c>
      <c r="J1923" s="25">
        <f t="shared" ref="J1923:J1986" si="121">H1923/(H1923+Q1923)</f>
        <v>0.94482758620689655</v>
      </c>
      <c r="K1923">
        <v>1307</v>
      </c>
      <c r="L1923">
        <v>50</v>
      </c>
      <c r="M1923">
        <v>3.68459837877671E-2</v>
      </c>
      <c r="N1923" s="25">
        <f t="shared" si="120"/>
        <v>3.6845983787767156E-2</v>
      </c>
      <c r="O1923">
        <v>0.96315401621223196</v>
      </c>
      <c r="P1923" s="25">
        <f t="shared" ref="P1923:P1986" si="122">K1923/(K1923+L1923)</f>
        <v>0.96315401621223284</v>
      </c>
      <c r="Q1923">
        <v>8</v>
      </c>
      <c r="R1923" t="s">
        <v>124</v>
      </c>
      <c r="S1923" t="s">
        <v>124</v>
      </c>
      <c r="T1923" t="s">
        <v>124</v>
      </c>
      <c r="U1923" t="s">
        <v>124</v>
      </c>
      <c r="X1923" s="19">
        <f t="shared" si="118"/>
        <v>0.94482758620689655</v>
      </c>
      <c r="Y1923" s="19">
        <f t="shared" si="119"/>
        <v>3.6845983787767156E-2</v>
      </c>
      <c r="Z1923" s="26"/>
    </row>
    <row r="1924" spans="1:26" x14ac:dyDescent="0.35">
      <c r="A1924" t="s">
        <v>122</v>
      </c>
      <c r="B1924" t="s">
        <v>122</v>
      </c>
      <c r="C1924" t="s">
        <v>123</v>
      </c>
      <c r="D1924" t="s">
        <v>101</v>
      </c>
      <c r="E1924" t="s">
        <v>99</v>
      </c>
      <c r="F1924" t="s">
        <v>12</v>
      </c>
      <c r="G1924">
        <v>1</v>
      </c>
      <c r="H1924">
        <v>137</v>
      </c>
      <c r="I1924">
        <v>0.944827586206896</v>
      </c>
      <c r="J1924" s="25">
        <f t="shared" si="121"/>
        <v>0.94482758620689655</v>
      </c>
      <c r="K1924">
        <v>1307</v>
      </c>
      <c r="L1924">
        <v>50</v>
      </c>
      <c r="M1924">
        <v>3.68459837877671E-2</v>
      </c>
      <c r="N1924" s="25">
        <f t="shared" si="120"/>
        <v>3.6845983787767156E-2</v>
      </c>
      <c r="O1924">
        <v>0.96315401621223196</v>
      </c>
      <c r="P1924" s="25">
        <f t="shared" si="122"/>
        <v>0.96315401621223284</v>
      </c>
      <c r="Q1924">
        <v>8</v>
      </c>
      <c r="R1924" t="s">
        <v>124</v>
      </c>
      <c r="S1924" t="s">
        <v>124</v>
      </c>
      <c r="T1924" t="s">
        <v>124</v>
      </c>
      <c r="U1924" t="s">
        <v>124</v>
      </c>
      <c r="X1924" s="19">
        <f t="shared" si="118"/>
        <v>0.94482758620689655</v>
      </c>
      <c r="Y1924" s="19">
        <f t="shared" si="119"/>
        <v>3.6845983787767156E-2</v>
      </c>
      <c r="Z1924" s="26"/>
    </row>
    <row r="1925" spans="1:26" x14ac:dyDescent="0.35">
      <c r="A1925" t="s">
        <v>122</v>
      </c>
      <c r="B1925" t="s">
        <v>122</v>
      </c>
      <c r="C1925" t="s">
        <v>123</v>
      </c>
      <c r="D1925" t="s">
        <v>101</v>
      </c>
      <c r="E1925" t="s">
        <v>99</v>
      </c>
      <c r="F1925" t="s">
        <v>12</v>
      </c>
      <c r="G1925">
        <v>1</v>
      </c>
      <c r="H1925">
        <v>144</v>
      </c>
      <c r="I1925">
        <v>0.99310344827586206</v>
      </c>
      <c r="J1925" s="25">
        <f t="shared" si="121"/>
        <v>0.99310344827586206</v>
      </c>
      <c r="K1925">
        <v>1264</v>
      </c>
      <c r="L1925">
        <v>93</v>
      </c>
      <c r="M1925">
        <v>6.8533529845246799E-2</v>
      </c>
      <c r="N1925" s="25">
        <f t="shared" si="120"/>
        <v>6.8533529845246854E-2</v>
      </c>
      <c r="O1925">
        <v>0.93146647015475303</v>
      </c>
      <c r="P1925" s="25">
        <f t="shared" si="122"/>
        <v>0.93146647015475315</v>
      </c>
      <c r="Q1925">
        <v>1</v>
      </c>
      <c r="R1925" t="s">
        <v>124</v>
      </c>
      <c r="S1925" t="s">
        <v>124</v>
      </c>
      <c r="T1925" t="s">
        <v>124</v>
      </c>
      <c r="U1925" t="s">
        <v>124</v>
      </c>
      <c r="X1925" s="19">
        <f t="shared" si="118"/>
        <v>0.99310344827586206</v>
      </c>
      <c r="Y1925" s="19">
        <f t="shared" si="119"/>
        <v>6.8533529845246854E-2</v>
      </c>
      <c r="Z1925" s="26"/>
    </row>
    <row r="1926" spans="1:26" x14ac:dyDescent="0.35">
      <c r="A1926" t="s">
        <v>122</v>
      </c>
      <c r="B1926" t="s">
        <v>122</v>
      </c>
      <c r="C1926" t="s">
        <v>123</v>
      </c>
      <c r="D1926" t="s">
        <v>101</v>
      </c>
      <c r="E1926" t="s">
        <v>99</v>
      </c>
      <c r="F1926" t="s">
        <v>12</v>
      </c>
      <c r="G1926">
        <v>1</v>
      </c>
      <c r="H1926">
        <v>144</v>
      </c>
      <c r="I1926">
        <v>0.99310344827586206</v>
      </c>
      <c r="J1926" s="25">
        <f t="shared" si="121"/>
        <v>0.99310344827586206</v>
      </c>
      <c r="K1926">
        <v>1264</v>
      </c>
      <c r="L1926">
        <v>93</v>
      </c>
      <c r="M1926">
        <v>6.8533529845246799E-2</v>
      </c>
      <c r="N1926" s="25">
        <f t="shared" si="120"/>
        <v>6.8533529845246854E-2</v>
      </c>
      <c r="O1926">
        <v>0.93146647015475303</v>
      </c>
      <c r="P1926" s="25">
        <f t="shared" si="122"/>
        <v>0.93146647015475315</v>
      </c>
      <c r="Q1926">
        <v>1</v>
      </c>
      <c r="R1926">
        <v>0.72727272727271997</v>
      </c>
      <c r="S1926">
        <v>0.72727272727271997</v>
      </c>
      <c r="T1926">
        <v>0.72699999999999998</v>
      </c>
      <c r="U1926">
        <v>0.7369</v>
      </c>
      <c r="X1926" s="19">
        <f t="shared" si="118"/>
        <v>0.99310344827586206</v>
      </c>
      <c r="Y1926" s="19">
        <f t="shared" si="119"/>
        <v>6.8533529845246854E-2</v>
      </c>
      <c r="Z1926" s="26"/>
    </row>
    <row r="1927" spans="1:26" x14ac:dyDescent="0.35">
      <c r="A1927" t="s">
        <v>122</v>
      </c>
      <c r="B1927" t="s">
        <v>122</v>
      </c>
      <c r="C1927" t="s">
        <v>123</v>
      </c>
      <c r="D1927" t="s">
        <v>101</v>
      </c>
      <c r="E1927" t="s">
        <v>99</v>
      </c>
      <c r="F1927" t="s">
        <v>12</v>
      </c>
      <c r="G1927">
        <v>1</v>
      </c>
      <c r="H1927">
        <v>144</v>
      </c>
      <c r="I1927">
        <v>0.99310344827586206</v>
      </c>
      <c r="J1927" s="25">
        <f t="shared" si="121"/>
        <v>0.99310344827586206</v>
      </c>
      <c r="K1927">
        <v>1264</v>
      </c>
      <c r="L1927">
        <v>93</v>
      </c>
      <c r="M1927">
        <v>6.8533529845246799E-2</v>
      </c>
      <c r="N1927" s="25">
        <f t="shared" si="120"/>
        <v>6.8533529845246854E-2</v>
      </c>
      <c r="O1927">
        <v>0.93146647015475303</v>
      </c>
      <c r="P1927" s="25">
        <f t="shared" si="122"/>
        <v>0.93146647015475315</v>
      </c>
      <c r="Q1927">
        <v>1</v>
      </c>
      <c r="R1927" t="s">
        <v>124</v>
      </c>
      <c r="S1927" t="s">
        <v>124</v>
      </c>
      <c r="T1927" t="s">
        <v>124</v>
      </c>
      <c r="U1927" t="s">
        <v>124</v>
      </c>
      <c r="X1927" s="19">
        <f t="shared" si="118"/>
        <v>0.99310344827586206</v>
      </c>
      <c r="Y1927" s="19">
        <f t="shared" si="119"/>
        <v>6.8533529845246854E-2</v>
      </c>
      <c r="Z1927" s="26"/>
    </row>
    <row r="1928" spans="1:26" x14ac:dyDescent="0.35">
      <c r="A1928" t="s">
        <v>122</v>
      </c>
      <c r="B1928" t="s">
        <v>122</v>
      </c>
      <c r="C1928" t="s">
        <v>123</v>
      </c>
      <c r="D1928" t="s">
        <v>101</v>
      </c>
      <c r="E1928" t="s">
        <v>99</v>
      </c>
      <c r="F1928" t="s">
        <v>12</v>
      </c>
      <c r="G1928">
        <v>1</v>
      </c>
      <c r="H1928">
        <v>144</v>
      </c>
      <c r="I1928">
        <v>0.99310344827586206</v>
      </c>
      <c r="J1928" s="25">
        <f t="shared" si="121"/>
        <v>0.99310344827586206</v>
      </c>
      <c r="K1928">
        <v>1264</v>
      </c>
      <c r="L1928">
        <v>93</v>
      </c>
      <c r="M1928">
        <v>6.8533529845246799E-2</v>
      </c>
      <c r="N1928" s="25">
        <f t="shared" si="120"/>
        <v>6.8533529845246854E-2</v>
      </c>
      <c r="O1928">
        <v>0.93146647015475303</v>
      </c>
      <c r="P1928" s="25">
        <f t="shared" si="122"/>
        <v>0.93146647015475315</v>
      </c>
      <c r="Q1928">
        <v>1</v>
      </c>
      <c r="R1928" t="s">
        <v>124</v>
      </c>
      <c r="S1928" t="s">
        <v>124</v>
      </c>
      <c r="T1928" t="s">
        <v>124</v>
      </c>
      <c r="U1928" t="s">
        <v>124</v>
      </c>
      <c r="X1928" s="19">
        <f t="shared" si="118"/>
        <v>0.99310344827586206</v>
      </c>
      <c r="Y1928" s="19">
        <f t="shared" si="119"/>
        <v>6.8533529845246854E-2</v>
      </c>
      <c r="Z1928" s="26"/>
    </row>
    <row r="1929" spans="1:26" x14ac:dyDescent="0.35">
      <c r="A1929" t="s">
        <v>122</v>
      </c>
      <c r="B1929" t="s">
        <v>122</v>
      </c>
      <c r="C1929" t="s">
        <v>123</v>
      </c>
      <c r="D1929" t="s">
        <v>101</v>
      </c>
      <c r="E1929" t="s">
        <v>99</v>
      </c>
      <c r="F1929" t="s">
        <v>12</v>
      </c>
      <c r="G1929">
        <v>1</v>
      </c>
      <c r="H1929">
        <v>144</v>
      </c>
      <c r="I1929">
        <v>0.99310344827586206</v>
      </c>
      <c r="J1929" s="25">
        <f t="shared" si="121"/>
        <v>0.99310344827586206</v>
      </c>
      <c r="K1929">
        <v>1264</v>
      </c>
      <c r="L1929">
        <v>93</v>
      </c>
      <c r="M1929">
        <v>6.8533529845246799E-2</v>
      </c>
      <c r="N1929" s="25">
        <f t="shared" si="120"/>
        <v>6.8533529845246854E-2</v>
      </c>
      <c r="O1929">
        <v>0.93146647015475303</v>
      </c>
      <c r="P1929" s="25">
        <f t="shared" si="122"/>
        <v>0.93146647015475315</v>
      </c>
      <c r="Q1929">
        <v>1</v>
      </c>
      <c r="R1929">
        <v>0.75757575757575002</v>
      </c>
      <c r="S1929">
        <v>0.75757575757575002</v>
      </c>
      <c r="T1929">
        <v>0.75800000000000001</v>
      </c>
      <c r="U1929">
        <v>0.76790000000000003</v>
      </c>
      <c r="X1929" s="19">
        <f t="shared" si="118"/>
        <v>0.99310344827586206</v>
      </c>
      <c r="Y1929" s="19">
        <f t="shared" si="119"/>
        <v>6.8533529845246854E-2</v>
      </c>
      <c r="Z1929" s="26"/>
    </row>
    <row r="1930" spans="1:26" x14ac:dyDescent="0.35">
      <c r="A1930" t="s">
        <v>122</v>
      </c>
      <c r="B1930" t="s">
        <v>122</v>
      </c>
      <c r="C1930" t="s">
        <v>123</v>
      </c>
      <c r="D1930" t="s">
        <v>101</v>
      </c>
      <c r="E1930" t="s">
        <v>99</v>
      </c>
      <c r="F1930" t="s">
        <v>12</v>
      </c>
      <c r="G1930">
        <v>1</v>
      </c>
      <c r="H1930">
        <v>144</v>
      </c>
      <c r="I1930">
        <v>0.99310344827586206</v>
      </c>
      <c r="J1930" s="25">
        <f t="shared" si="121"/>
        <v>0.99310344827586206</v>
      </c>
      <c r="K1930">
        <v>1264</v>
      </c>
      <c r="L1930">
        <v>93</v>
      </c>
      <c r="M1930">
        <v>6.8533529845246799E-2</v>
      </c>
      <c r="N1930" s="25">
        <f t="shared" si="120"/>
        <v>6.8533529845246854E-2</v>
      </c>
      <c r="O1930">
        <v>0.93146647015475303</v>
      </c>
      <c r="P1930" s="25">
        <f t="shared" si="122"/>
        <v>0.93146647015475315</v>
      </c>
      <c r="Q1930">
        <v>1</v>
      </c>
      <c r="R1930" t="s">
        <v>124</v>
      </c>
      <c r="S1930" t="s">
        <v>124</v>
      </c>
      <c r="T1930" t="s">
        <v>124</v>
      </c>
      <c r="U1930" t="s">
        <v>124</v>
      </c>
      <c r="X1930" s="19">
        <f t="shared" si="118"/>
        <v>0.99310344827586206</v>
      </c>
      <c r="Y1930" s="19">
        <f t="shared" si="119"/>
        <v>6.8533529845246854E-2</v>
      </c>
      <c r="Z1930" s="26"/>
    </row>
    <row r="1931" spans="1:26" x14ac:dyDescent="0.35">
      <c r="A1931" t="s">
        <v>122</v>
      </c>
      <c r="B1931" t="s">
        <v>122</v>
      </c>
      <c r="C1931" t="s">
        <v>123</v>
      </c>
      <c r="D1931" t="s">
        <v>101</v>
      </c>
      <c r="E1931" t="s">
        <v>99</v>
      </c>
      <c r="F1931" t="s">
        <v>12</v>
      </c>
      <c r="G1931">
        <v>1</v>
      </c>
      <c r="H1931">
        <v>144</v>
      </c>
      <c r="I1931">
        <v>0.99310344827586206</v>
      </c>
      <c r="J1931" s="25">
        <f t="shared" si="121"/>
        <v>0.99310344827586206</v>
      </c>
      <c r="K1931">
        <v>1264</v>
      </c>
      <c r="L1931">
        <v>93</v>
      </c>
      <c r="M1931">
        <v>6.8533529845246799E-2</v>
      </c>
      <c r="N1931" s="25">
        <f t="shared" si="120"/>
        <v>6.8533529845246854E-2</v>
      </c>
      <c r="O1931">
        <v>0.93146647015475303</v>
      </c>
      <c r="P1931" s="25">
        <f t="shared" si="122"/>
        <v>0.93146647015475315</v>
      </c>
      <c r="Q1931">
        <v>1</v>
      </c>
      <c r="R1931" t="s">
        <v>124</v>
      </c>
      <c r="S1931" t="s">
        <v>124</v>
      </c>
      <c r="T1931" t="s">
        <v>124</v>
      </c>
      <c r="U1931" t="s">
        <v>124</v>
      </c>
      <c r="X1931" s="19">
        <f t="shared" si="118"/>
        <v>0.99310344827586206</v>
      </c>
      <c r="Y1931" s="19">
        <f t="shared" si="119"/>
        <v>6.8533529845246854E-2</v>
      </c>
      <c r="Z1931" s="26"/>
    </row>
    <row r="1932" spans="1:26" x14ac:dyDescent="0.35">
      <c r="A1932" t="s">
        <v>122</v>
      </c>
      <c r="B1932" t="s">
        <v>122</v>
      </c>
      <c r="C1932" t="s">
        <v>123</v>
      </c>
      <c r="D1932" t="s">
        <v>101</v>
      </c>
      <c r="E1932" t="s">
        <v>99</v>
      </c>
      <c r="F1932" t="s">
        <v>12</v>
      </c>
      <c r="G1932">
        <v>1</v>
      </c>
      <c r="H1932">
        <v>144</v>
      </c>
      <c r="I1932">
        <v>0.99310344827586206</v>
      </c>
      <c r="J1932" s="25">
        <f t="shared" si="121"/>
        <v>0.99310344827586206</v>
      </c>
      <c r="K1932">
        <v>1264</v>
      </c>
      <c r="L1932">
        <v>93</v>
      </c>
      <c r="M1932">
        <v>6.8533529845246799E-2</v>
      </c>
      <c r="N1932" s="25">
        <f t="shared" si="120"/>
        <v>6.8533529845246854E-2</v>
      </c>
      <c r="O1932">
        <v>0.93146647015475303</v>
      </c>
      <c r="P1932" s="25">
        <f t="shared" si="122"/>
        <v>0.93146647015475315</v>
      </c>
      <c r="Q1932">
        <v>1</v>
      </c>
      <c r="R1932" t="s">
        <v>124</v>
      </c>
      <c r="S1932" t="s">
        <v>124</v>
      </c>
      <c r="T1932" t="s">
        <v>124</v>
      </c>
      <c r="U1932" t="s">
        <v>124</v>
      </c>
      <c r="X1932" s="19">
        <f t="shared" si="118"/>
        <v>0.99310344827586206</v>
      </c>
      <c r="Y1932" s="19">
        <f t="shared" si="119"/>
        <v>6.8533529845246854E-2</v>
      </c>
      <c r="Z1932" s="26"/>
    </row>
    <row r="1933" spans="1:26" x14ac:dyDescent="0.35">
      <c r="A1933" t="s">
        <v>122</v>
      </c>
      <c r="B1933" t="s">
        <v>122</v>
      </c>
      <c r="C1933" t="s">
        <v>123</v>
      </c>
      <c r="D1933" t="s">
        <v>101</v>
      </c>
      <c r="E1933" t="s">
        <v>99</v>
      </c>
      <c r="F1933" t="s">
        <v>12</v>
      </c>
      <c r="G1933">
        <v>1</v>
      </c>
      <c r="H1933">
        <v>144</v>
      </c>
      <c r="I1933">
        <v>0.99310344827586206</v>
      </c>
      <c r="J1933" s="25">
        <f t="shared" si="121"/>
        <v>0.99310344827586206</v>
      </c>
      <c r="K1933">
        <v>1264</v>
      </c>
      <c r="L1933">
        <v>93</v>
      </c>
      <c r="M1933">
        <v>6.8533529845246799E-2</v>
      </c>
      <c r="N1933" s="25">
        <f t="shared" si="120"/>
        <v>6.8533529845246854E-2</v>
      </c>
      <c r="O1933">
        <v>0.93146647015475303</v>
      </c>
      <c r="P1933" s="25">
        <f t="shared" si="122"/>
        <v>0.93146647015475315</v>
      </c>
      <c r="Q1933">
        <v>1</v>
      </c>
      <c r="R1933" t="s">
        <v>124</v>
      </c>
      <c r="S1933" t="s">
        <v>124</v>
      </c>
      <c r="T1933" t="s">
        <v>124</v>
      </c>
      <c r="U1933" t="s">
        <v>124</v>
      </c>
      <c r="X1933" s="19">
        <f t="shared" si="118"/>
        <v>0.99310344827586206</v>
      </c>
      <c r="Y1933" s="19">
        <f t="shared" si="119"/>
        <v>6.8533529845246854E-2</v>
      </c>
      <c r="Z1933" s="26"/>
    </row>
    <row r="1934" spans="1:26" x14ac:dyDescent="0.35">
      <c r="A1934" t="s">
        <v>122</v>
      </c>
      <c r="B1934" t="s">
        <v>122</v>
      </c>
      <c r="C1934" t="s">
        <v>123</v>
      </c>
      <c r="D1934" t="s">
        <v>101</v>
      </c>
      <c r="E1934" t="s">
        <v>99</v>
      </c>
      <c r="F1934" t="s">
        <v>12</v>
      </c>
      <c r="G1934">
        <v>1</v>
      </c>
      <c r="H1934">
        <v>145</v>
      </c>
      <c r="I1934">
        <v>1</v>
      </c>
      <c r="J1934" s="25">
        <f t="shared" si="121"/>
        <v>1</v>
      </c>
      <c r="K1934">
        <v>1258</v>
      </c>
      <c r="L1934">
        <v>99</v>
      </c>
      <c r="M1934">
        <v>7.2955047899778899E-2</v>
      </c>
      <c r="N1934" s="25">
        <f t="shared" si="120"/>
        <v>7.2955047899778913E-2</v>
      </c>
      <c r="O1934">
        <v>0.92704495210022098</v>
      </c>
      <c r="P1934" s="25">
        <f t="shared" si="122"/>
        <v>0.92704495210022109</v>
      </c>
      <c r="Q1934">
        <v>0</v>
      </c>
      <c r="R1934">
        <v>0</v>
      </c>
      <c r="S1934">
        <v>0</v>
      </c>
      <c r="T1934">
        <v>0</v>
      </c>
      <c r="U1934">
        <v>9.9000000000000008E-3</v>
      </c>
      <c r="X1934" s="19">
        <f t="shared" si="118"/>
        <v>1</v>
      </c>
      <c r="Y1934" s="19">
        <f t="shared" si="119"/>
        <v>7.2955047899778913E-2</v>
      </c>
      <c r="Z1934" s="26"/>
    </row>
    <row r="1935" spans="1:26" x14ac:dyDescent="0.35">
      <c r="A1935" t="s">
        <v>122</v>
      </c>
      <c r="B1935" t="s">
        <v>122</v>
      </c>
      <c r="C1935" t="s">
        <v>123</v>
      </c>
      <c r="D1935" t="s">
        <v>101</v>
      </c>
      <c r="E1935" t="s">
        <v>99</v>
      </c>
      <c r="F1935" t="s">
        <v>12</v>
      </c>
      <c r="G1935">
        <v>1</v>
      </c>
      <c r="H1935">
        <v>145</v>
      </c>
      <c r="I1935">
        <v>1</v>
      </c>
      <c r="J1935" s="25">
        <f t="shared" si="121"/>
        <v>1</v>
      </c>
      <c r="K1935">
        <v>1258</v>
      </c>
      <c r="L1935">
        <v>99</v>
      </c>
      <c r="M1935">
        <v>7.2955047899778899E-2</v>
      </c>
      <c r="N1935" s="25">
        <f t="shared" si="120"/>
        <v>7.2955047899778913E-2</v>
      </c>
      <c r="O1935">
        <v>0.92704495210022098</v>
      </c>
      <c r="P1935" s="25">
        <f t="shared" si="122"/>
        <v>0.92704495210022109</v>
      </c>
      <c r="Q1935">
        <v>0</v>
      </c>
      <c r="R1935" t="s">
        <v>124</v>
      </c>
      <c r="S1935" t="s">
        <v>124</v>
      </c>
      <c r="T1935" t="s">
        <v>124</v>
      </c>
      <c r="U1935" t="s">
        <v>124</v>
      </c>
      <c r="X1935" s="19">
        <f t="shared" si="118"/>
        <v>1</v>
      </c>
      <c r="Y1935" s="19">
        <f t="shared" si="119"/>
        <v>7.2955047899778913E-2</v>
      </c>
      <c r="Z1935" s="26"/>
    </row>
    <row r="1936" spans="1:26" x14ac:dyDescent="0.35">
      <c r="A1936" t="s">
        <v>122</v>
      </c>
      <c r="B1936" t="s">
        <v>122</v>
      </c>
      <c r="C1936" t="s">
        <v>123</v>
      </c>
      <c r="D1936" t="s">
        <v>101</v>
      </c>
      <c r="E1936" t="s">
        <v>99</v>
      </c>
      <c r="F1936" t="s">
        <v>12</v>
      </c>
      <c r="G1936">
        <v>1</v>
      </c>
      <c r="H1936">
        <v>145</v>
      </c>
      <c r="I1936">
        <v>1</v>
      </c>
      <c r="J1936" s="25">
        <f t="shared" si="121"/>
        <v>1</v>
      </c>
      <c r="K1936">
        <v>1258</v>
      </c>
      <c r="L1936">
        <v>99</v>
      </c>
      <c r="M1936">
        <v>7.2955047899778899E-2</v>
      </c>
      <c r="N1936" s="25">
        <f t="shared" si="120"/>
        <v>7.2955047899778913E-2</v>
      </c>
      <c r="O1936">
        <v>0.92704495210022098</v>
      </c>
      <c r="P1936" s="25">
        <f t="shared" si="122"/>
        <v>0.92704495210022109</v>
      </c>
      <c r="Q1936">
        <v>0</v>
      </c>
      <c r="R1936" t="s">
        <v>124</v>
      </c>
      <c r="S1936" t="s">
        <v>124</v>
      </c>
      <c r="T1936" t="s">
        <v>124</v>
      </c>
      <c r="U1936" t="s">
        <v>124</v>
      </c>
      <c r="X1936" s="19">
        <f t="shared" si="118"/>
        <v>1</v>
      </c>
      <c r="Y1936" s="19">
        <f t="shared" si="119"/>
        <v>7.2955047899778913E-2</v>
      </c>
      <c r="Z1936" s="26"/>
    </row>
    <row r="1937" spans="1:26" x14ac:dyDescent="0.35">
      <c r="A1937" t="s">
        <v>122</v>
      </c>
      <c r="B1937" t="s">
        <v>122</v>
      </c>
      <c r="C1937" t="s">
        <v>123</v>
      </c>
      <c r="D1937" t="s">
        <v>101</v>
      </c>
      <c r="E1937" t="s">
        <v>99</v>
      </c>
      <c r="F1937" t="s">
        <v>12</v>
      </c>
      <c r="G1937">
        <v>1</v>
      </c>
      <c r="H1937">
        <v>145</v>
      </c>
      <c r="I1937">
        <v>1</v>
      </c>
      <c r="J1937" s="25">
        <f t="shared" si="121"/>
        <v>1</v>
      </c>
      <c r="K1937">
        <v>1258</v>
      </c>
      <c r="L1937">
        <v>99</v>
      </c>
      <c r="M1937">
        <v>7.2955047899778899E-2</v>
      </c>
      <c r="N1937" s="25">
        <f t="shared" si="120"/>
        <v>7.2955047899778913E-2</v>
      </c>
      <c r="O1937">
        <v>0.92704495210022098</v>
      </c>
      <c r="P1937" s="25">
        <f t="shared" si="122"/>
        <v>0.92704495210022109</v>
      </c>
      <c r="Q1937">
        <v>0</v>
      </c>
      <c r="R1937" t="s">
        <v>124</v>
      </c>
      <c r="S1937" t="s">
        <v>124</v>
      </c>
      <c r="T1937" t="s">
        <v>124</v>
      </c>
      <c r="U1937" t="s">
        <v>124</v>
      </c>
      <c r="X1937" s="19">
        <f t="shared" si="118"/>
        <v>1</v>
      </c>
      <c r="Y1937" s="19">
        <f t="shared" si="119"/>
        <v>7.2955047899778913E-2</v>
      </c>
      <c r="Z1937" s="26"/>
    </row>
    <row r="1938" spans="1:26" x14ac:dyDescent="0.35">
      <c r="A1938" t="s">
        <v>122</v>
      </c>
      <c r="B1938" t="s">
        <v>122</v>
      </c>
      <c r="C1938" t="s">
        <v>123</v>
      </c>
      <c r="D1938" t="s">
        <v>101</v>
      </c>
      <c r="E1938" t="s">
        <v>99</v>
      </c>
      <c r="F1938" t="s">
        <v>12</v>
      </c>
      <c r="G1938">
        <v>1</v>
      </c>
      <c r="H1938">
        <v>145</v>
      </c>
      <c r="I1938">
        <v>1</v>
      </c>
      <c r="J1938" s="25">
        <f t="shared" si="121"/>
        <v>1</v>
      </c>
      <c r="K1938">
        <v>1258</v>
      </c>
      <c r="L1938">
        <v>99</v>
      </c>
      <c r="M1938">
        <v>7.2955047899778899E-2</v>
      </c>
      <c r="N1938" s="25">
        <f t="shared" si="120"/>
        <v>7.2955047899778913E-2</v>
      </c>
      <c r="O1938">
        <v>0.92704495210022098</v>
      </c>
      <c r="P1938" s="25">
        <f t="shared" si="122"/>
        <v>0.92704495210022109</v>
      </c>
      <c r="Q1938">
        <v>0</v>
      </c>
      <c r="R1938" t="s">
        <v>124</v>
      </c>
      <c r="S1938" t="s">
        <v>124</v>
      </c>
      <c r="T1938" t="s">
        <v>124</v>
      </c>
      <c r="U1938" t="s">
        <v>124</v>
      </c>
      <c r="X1938" s="19">
        <f t="shared" si="118"/>
        <v>1</v>
      </c>
      <c r="Y1938" s="19">
        <f t="shared" si="119"/>
        <v>7.2955047899778913E-2</v>
      </c>
      <c r="Z1938" s="26"/>
    </row>
    <row r="1939" spans="1:26" x14ac:dyDescent="0.35">
      <c r="A1939" t="s">
        <v>122</v>
      </c>
      <c r="B1939" t="s">
        <v>122</v>
      </c>
      <c r="C1939" t="s">
        <v>123</v>
      </c>
      <c r="D1939" t="s">
        <v>101</v>
      </c>
      <c r="E1939" t="s">
        <v>99</v>
      </c>
      <c r="F1939" t="s">
        <v>12</v>
      </c>
      <c r="G1939">
        <v>1</v>
      </c>
      <c r="H1939">
        <v>145</v>
      </c>
      <c r="I1939">
        <v>1</v>
      </c>
      <c r="J1939" s="25">
        <f t="shared" si="121"/>
        <v>1</v>
      </c>
      <c r="K1939">
        <v>1258</v>
      </c>
      <c r="L1939">
        <v>99</v>
      </c>
      <c r="M1939">
        <v>7.2955047899778899E-2</v>
      </c>
      <c r="N1939" s="25">
        <f t="shared" si="120"/>
        <v>7.2955047899778913E-2</v>
      </c>
      <c r="O1939">
        <v>0.92704495210022098</v>
      </c>
      <c r="P1939" s="25">
        <f t="shared" si="122"/>
        <v>0.92704495210022109</v>
      </c>
      <c r="Q1939">
        <v>0</v>
      </c>
      <c r="R1939" t="s">
        <v>124</v>
      </c>
      <c r="S1939" t="s">
        <v>124</v>
      </c>
      <c r="T1939" t="s">
        <v>124</v>
      </c>
      <c r="U1939" t="s">
        <v>124</v>
      </c>
      <c r="X1939" s="19">
        <f t="shared" si="118"/>
        <v>1</v>
      </c>
      <c r="Y1939" s="19">
        <f t="shared" si="119"/>
        <v>7.2955047899778913E-2</v>
      </c>
      <c r="Z1939" s="26"/>
    </row>
    <row r="1940" spans="1:26" x14ac:dyDescent="0.35">
      <c r="A1940" t="s">
        <v>122</v>
      </c>
      <c r="B1940" t="s">
        <v>122</v>
      </c>
      <c r="C1940" t="s">
        <v>123</v>
      </c>
      <c r="D1940" t="s">
        <v>101</v>
      </c>
      <c r="E1940" t="s">
        <v>99</v>
      </c>
      <c r="F1940" t="s">
        <v>12</v>
      </c>
      <c r="G1940">
        <v>1</v>
      </c>
      <c r="H1940">
        <v>145</v>
      </c>
      <c r="I1940">
        <v>1</v>
      </c>
      <c r="J1940" s="25">
        <f t="shared" si="121"/>
        <v>1</v>
      </c>
      <c r="K1940">
        <v>1258</v>
      </c>
      <c r="L1940">
        <v>99</v>
      </c>
      <c r="M1940">
        <v>7.2955047899778899E-2</v>
      </c>
      <c r="N1940" s="25">
        <f t="shared" si="120"/>
        <v>7.2955047899778913E-2</v>
      </c>
      <c r="O1940">
        <v>0.92704495210022098</v>
      </c>
      <c r="P1940" s="25">
        <f t="shared" si="122"/>
        <v>0.92704495210022109</v>
      </c>
      <c r="Q1940">
        <v>0</v>
      </c>
      <c r="R1940" t="s">
        <v>124</v>
      </c>
      <c r="S1940" t="s">
        <v>124</v>
      </c>
      <c r="T1940" t="s">
        <v>124</v>
      </c>
      <c r="U1940" t="s">
        <v>124</v>
      </c>
      <c r="X1940" s="19">
        <f t="shared" si="118"/>
        <v>1</v>
      </c>
      <c r="Y1940" s="19">
        <f t="shared" si="119"/>
        <v>7.2955047899778913E-2</v>
      </c>
      <c r="Z1940" s="26"/>
    </row>
    <row r="1941" spans="1:26" x14ac:dyDescent="0.35">
      <c r="A1941" t="s">
        <v>122</v>
      </c>
      <c r="B1941" t="s">
        <v>122</v>
      </c>
      <c r="C1941" t="s">
        <v>123</v>
      </c>
      <c r="D1941" t="s">
        <v>101</v>
      </c>
      <c r="E1941" t="s">
        <v>99</v>
      </c>
      <c r="F1941" t="s">
        <v>12</v>
      </c>
      <c r="G1941">
        <v>1</v>
      </c>
      <c r="H1941">
        <v>145</v>
      </c>
      <c r="I1941">
        <v>1</v>
      </c>
      <c r="J1941" s="25">
        <f t="shared" si="121"/>
        <v>1</v>
      </c>
      <c r="K1941">
        <v>1258</v>
      </c>
      <c r="L1941">
        <v>99</v>
      </c>
      <c r="M1941">
        <v>7.2955047899778899E-2</v>
      </c>
      <c r="N1941" s="25">
        <f t="shared" si="120"/>
        <v>7.2955047899778913E-2</v>
      </c>
      <c r="O1941">
        <v>0.92704495210022098</v>
      </c>
      <c r="P1941" s="25">
        <f t="shared" si="122"/>
        <v>0.92704495210022109</v>
      </c>
      <c r="Q1941">
        <v>0</v>
      </c>
      <c r="R1941">
        <v>7.1428571428569995E-2</v>
      </c>
      <c r="S1941">
        <v>7.1428571428569995E-2</v>
      </c>
      <c r="T1941">
        <v>7.0999999999999994E-2</v>
      </c>
      <c r="U1941">
        <v>8.09E-2</v>
      </c>
      <c r="X1941" s="19">
        <f t="shared" si="118"/>
        <v>1</v>
      </c>
      <c r="Y1941" s="19">
        <f t="shared" si="119"/>
        <v>7.2955047899778913E-2</v>
      </c>
      <c r="Z1941" s="26"/>
    </row>
    <row r="1942" spans="1:26" x14ac:dyDescent="0.35">
      <c r="A1942" t="s">
        <v>122</v>
      </c>
      <c r="B1942" t="s">
        <v>122</v>
      </c>
      <c r="C1942" t="s">
        <v>123</v>
      </c>
      <c r="D1942" t="s">
        <v>101</v>
      </c>
      <c r="E1942" t="s">
        <v>99</v>
      </c>
      <c r="F1942" t="s">
        <v>12</v>
      </c>
      <c r="G1942">
        <v>1</v>
      </c>
      <c r="H1942">
        <v>145</v>
      </c>
      <c r="I1942">
        <v>1</v>
      </c>
      <c r="J1942" s="25">
        <f t="shared" si="121"/>
        <v>1</v>
      </c>
      <c r="K1942">
        <v>1258</v>
      </c>
      <c r="L1942">
        <v>99</v>
      </c>
      <c r="M1942">
        <v>7.2955047899778899E-2</v>
      </c>
      <c r="N1942" s="25">
        <f t="shared" si="120"/>
        <v>7.2955047899778913E-2</v>
      </c>
      <c r="O1942">
        <v>0.92704495210022098</v>
      </c>
      <c r="P1942" s="25">
        <f t="shared" si="122"/>
        <v>0.92704495210022109</v>
      </c>
      <c r="Q1942">
        <v>0</v>
      </c>
      <c r="R1942">
        <v>8.0645161290319997E-2</v>
      </c>
      <c r="S1942">
        <v>8.0645161290319997E-2</v>
      </c>
      <c r="T1942">
        <v>8.1000000000000003E-2</v>
      </c>
      <c r="U1942">
        <v>9.0899999999999995E-2</v>
      </c>
      <c r="X1942" s="19">
        <f t="shared" si="118"/>
        <v>1</v>
      </c>
      <c r="Y1942" s="19">
        <f t="shared" si="119"/>
        <v>7.2955047899778913E-2</v>
      </c>
      <c r="Z1942" s="26"/>
    </row>
    <row r="1943" spans="1:26" x14ac:dyDescent="0.35">
      <c r="A1943" t="s">
        <v>122</v>
      </c>
      <c r="B1943" t="s">
        <v>122</v>
      </c>
      <c r="C1943" t="s">
        <v>123</v>
      </c>
      <c r="D1943" t="s">
        <v>101</v>
      </c>
      <c r="E1943" t="s">
        <v>99</v>
      </c>
      <c r="F1943" t="s">
        <v>12</v>
      </c>
      <c r="G1943">
        <v>1</v>
      </c>
      <c r="H1943">
        <v>145</v>
      </c>
      <c r="I1943">
        <v>1</v>
      </c>
      <c r="J1943" s="25">
        <f t="shared" si="121"/>
        <v>1</v>
      </c>
      <c r="K1943">
        <v>1258</v>
      </c>
      <c r="L1943">
        <v>99</v>
      </c>
      <c r="M1943">
        <v>7.2955047899778899E-2</v>
      </c>
      <c r="N1943" s="25">
        <f t="shared" si="120"/>
        <v>7.2955047899778913E-2</v>
      </c>
      <c r="O1943">
        <v>0.92704495210022098</v>
      </c>
      <c r="P1943" s="25">
        <f t="shared" si="122"/>
        <v>0.92704495210022109</v>
      </c>
      <c r="Q1943">
        <v>0</v>
      </c>
      <c r="R1943" t="s">
        <v>124</v>
      </c>
      <c r="S1943" t="s">
        <v>124</v>
      </c>
      <c r="T1943" t="s">
        <v>124</v>
      </c>
      <c r="U1943" t="s">
        <v>124</v>
      </c>
      <c r="X1943" s="19">
        <f t="shared" si="118"/>
        <v>1</v>
      </c>
      <c r="Y1943" s="19">
        <f t="shared" si="119"/>
        <v>7.2955047899778913E-2</v>
      </c>
      <c r="Z1943" s="26"/>
    </row>
    <row r="1944" spans="1:26" x14ac:dyDescent="0.35">
      <c r="A1944" t="s">
        <v>122</v>
      </c>
      <c r="B1944" t="s">
        <v>122</v>
      </c>
      <c r="C1944" t="s">
        <v>123</v>
      </c>
      <c r="D1944" t="s">
        <v>101</v>
      </c>
      <c r="E1944" t="s">
        <v>99</v>
      </c>
      <c r="F1944" t="s">
        <v>12</v>
      </c>
      <c r="G1944">
        <v>1</v>
      </c>
      <c r="H1944">
        <v>145</v>
      </c>
      <c r="I1944">
        <v>1</v>
      </c>
      <c r="J1944" s="25">
        <f t="shared" si="121"/>
        <v>1</v>
      </c>
      <c r="K1944">
        <v>1258</v>
      </c>
      <c r="L1944">
        <v>99</v>
      </c>
      <c r="M1944">
        <v>7.2955047899778899E-2</v>
      </c>
      <c r="N1944" s="25">
        <f t="shared" si="120"/>
        <v>7.2955047899778913E-2</v>
      </c>
      <c r="O1944">
        <v>0.92704495210022098</v>
      </c>
      <c r="P1944" s="25">
        <f t="shared" si="122"/>
        <v>0.92704495210022109</v>
      </c>
      <c r="Q1944">
        <v>0</v>
      </c>
      <c r="R1944" t="s">
        <v>124</v>
      </c>
      <c r="S1944" t="s">
        <v>124</v>
      </c>
      <c r="T1944" t="s">
        <v>124</v>
      </c>
      <c r="U1944" t="s">
        <v>124</v>
      </c>
      <c r="X1944" s="19">
        <f t="shared" si="118"/>
        <v>1</v>
      </c>
      <c r="Y1944" s="19">
        <f t="shared" si="119"/>
        <v>7.2955047899778913E-2</v>
      </c>
      <c r="Z1944" s="26"/>
    </row>
    <row r="1945" spans="1:26" x14ac:dyDescent="0.35">
      <c r="A1945" t="s">
        <v>122</v>
      </c>
      <c r="B1945" t="s">
        <v>122</v>
      </c>
      <c r="C1945" t="s">
        <v>123</v>
      </c>
      <c r="D1945" t="s">
        <v>101</v>
      </c>
      <c r="E1945" t="s">
        <v>99</v>
      </c>
      <c r="F1945" t="s">
        <v>12</v>
      </c>
      <c r="G1945">
        <v>1</v>
      </c>
      <c r="H1945">
        <v>145</v>
      </c>
      <c r="I1945">
        <v>1</v>
      </c>
      <c r="J1945" s="25">
        <f t="shared" si="121"/>
        <v>1</v>
      </c>
      <c r="K1945">
        <v>1258</v>
      </c>
      <c r="L1945">
        <v>99</v>
      </c>
      <c r="M1945">
        <v>7.2955047899778899E-2</v>
      </c>
      <c r="N1945" s="25">
        <f t="shared" si="120"/>
        <v>7.2955047899778913E-2</v>
      </c>
      <c r="O1945">
        <v>0.92704495210022098</v>
      </c>
      <c r="P1945" s="25">
        <f t="shared" si="122"/>
        <v>0.92704495210022109</v>
      </c>
      <c r="Q1945">
        <v>0</v>
      </c>
      <c r="R1945">
        <v>0.11392405063291</v>
      </c>
      <c r="S1945">
        <v>0.11392405063291</v>
      </c>
      <c r="T1945">
        <v>0.114</v>
      </c>
      <c r="U1945">
        <v>0.1239</v>
      </c>
      <c r="X1945" s="19">
        <f t="shared" si="118"/>
        <v>1</v>
      </c>
      <c r="Y1945" s="19">
        <f t="shared" si="119"/>
        <v>7.2955047899778913E-2</v>
      </c>
      <c r="Z1945" s="26"/>
    </row>
    <row r="1946" spans="1:26" x14ac:dyDescent="0.35">
      <c r="A1946" t="s">
        <v>122</v>
      </c>
      <c r="B1946" t="s">
        <v>122</v>
      </c>
      <c r="C1946" t="s">
        <v>123</v>
      </c>
      <c r="D1946" t="s">
        <v>101</v>
      </c>
      <c r="E1946" t="s">
        <v>99</v>
      </c>
      <c r="F1946" t="s">
        <v>12</v>
      </c>
      <c r="G1946">
        <v>1</v>
      </c>
      <c r="H1946">
        <v>145</v>
      </c>
      <c r="I1946">
        <v>1</v>
      </c>
      <c r="J1946" s="25">
        <f t="shared" si="121"/>
        <v>1</v>
      </c>
      <c r="K1946">
        <v>1258</v>
      </c>
      <c r="L1946">
        <v>99</v>
      </c>
      <c r="M1946">
        <v>7.2955047899778899E-2</v>
      </c>
      <c r="N1946" s="25">
        <f t="shared" si="120"/>
        <v>7.2955047899778913E-2</v>
      </c>
      <c r="O1946">
        <v>0.92704495210022098</v>
      </c>
      <c r="P1946" s="25">
        <f t="shared" si="122"/>
        <v>0.92704495210022109</v>
      </c>
      <c r="Q1946">
        <v>0</v>
      </c>
      <c r="R1946" t="s">
        <v>124</v>
      </c>
      <c r="S1946" t="s">
        <v>124</v>
      </c>
      <c r="T1946" t="s">
        <v>124</v>
      </c>
      <c r="U1946" t="s">
        <v>124</v>
      </c>
      <c r="X1946" s="19">
        <f t="shared" si="118"/>
        <v>1</v>
      </c>
      <c r="Y1946" s="19">
        <f t="shared" si="119"/>
        <v>7.2955047899778913E-2</v>
      </c>
      <c r="Z1946" s="26"/>
    </row>
    <row r="1947" spans="1:26" x14ac:dyDescent="0.35">
      <c r="A1947" t="s">
        <v>122</v>
      </c>
      <c r="B1947" t="s">
        <v>122</v>
      </c>
      <c r="C1947" t="s">
        <v>123</v>
      </c>
      <c r="D1947" t="s">
        <v>101</v>
      </c>
      <c r="E1947" t="s">
        <v>99</v>
      </c>
      <c r="F1947" t="s">
        <v>12</v>
      </c>
      <c r="G1947">
        <v>1</v>
      </c>
      <c r="H1947">
        <v>145</v>
      </c>
      <c r="I1947">
        <v>1</v>
      </c>
      <c r="J1947" s="25">
        <f t="shared" si="121"/>
        <v>1</v>
      </c>
      <c r="K1947">
        <v>1258</v>
      </c>
      <c r="L1947">
        <v>99</v>
      </c>
      <c r="M1947">
        <v>7.2955047899778899E-2</v>
      </c>
      <c r="N1947" s="25">
        <f t="shared" si="120"/>
        <v>7.2955047899778913E-2</v>
      </c>
      <c r="O1947">
        <v>0.92704495210022098</v>
      </c>
      <c r="P1947" s="25">
        <f t="shared" si="122"/>
        <v>0.92704495210022109</v>
      </c>
      <c r="Q1947">
        <v>0</v>
      </c>
      <c r="R1947" t="s">
        <v>124</v>
      </c>
      <c r="S1947" t="s">
        <v>124</v>
      </c>
      <c r="T1947" t="s">
        <v>124</v>
      </c>
      <c r="U1947" t="s">
        <v>124</v>
      </c>
      <c r="X1947" s="19">
        <f t="shared" si="118"/>
        <v>1</v>
      </c>
      <c r="Y1947" s="19">
        <f t="shared" si="119"/>
        <v>7.2955047899778913E-2</v>
      </c>
      <c r="Z1947" s="26"/>
    </row>
    <row r="1948" spans="1:26" x14ac:dyDescent="0.35">
      <c r="A1948" t="s">
        <v>122</v>
      </c>
      <c r="B1948" t="s">
        <v>122</v>
      </c>
      <c r="C1948" t="s">
        <v>123</v>
      </c>
      <c r="D1948" t="s">
        <v>101</v>
      </c>
      <c r="E1948" t="s">
        <v>99</v>
      </c>
      <c r="F1948" t="s">
        <v>12</v>
      </c>
      <c r="G1948">
        <v>1</v>
      </c>
      <c r="H1948">
        <v>145</v>
      </c>
      <c r="I1948">
        <v>1</v>
      </c>
      <c r="J1948" s="25">
        <f t="shared" si="121"/>
        <v>1</v>
      </c>
      <c r="K1948">
        <v>1258</v>
      </c>
      <c r="L1948">
        <v>99</v>
      </c>
      <c r="M1948">
        <v>7.2955047899778899E-2</v>
      </c>
      <c r="N1948" s="25">
        <f t="shared" si="120"/>
        <v>7.2955047899778913E-2</v>
      </c>
      <c r="O1948">
        <v>0.92704495210022098</v>
      </c>
      <c r="P1948" s="25">
        <f t="shared" si="122"/>
        <v>0.92704495210022109</v>
      </c>
      <c r="Q1948">
        <v>0</v>
      </c>
      <c r="R1948" t="s">
        <v>124</v>
      </c>
      <c r="S1948" t="s">
        <v>124</v>
      </c>
      <c r="T1948" t="s">
        <v>124</v>
      </c>
      <c r="U1948" t="s">
        <v>124</v>
      </c>
      <c r="X1948" s="19">
        <f t="shared" si="118"/>
        <v>1</v>
      </c>
      <c r="Y1948" s="19">
        <f t="shared" si="119"/>
        <v>7.2955047899778913E-2</v>
      </c>
      <c r="Z1948" s="26"/>
    </row>
    <row r="1949" spans="1:26" x14ac:dyDescent="0.35">
      <c r="A1949" t="s">
        <v>122</v>
      </c>
      <c r="B1949" t="s">
        <v>122</v>
      </c>
      <c r="C1949" t="s">
        <v>123</v>
      </c>
      <c r="D1949" t="s">
        <v>101</v>
      </c>
      <c r="E1949" t="s">
        <v>99</v>
      </c>
      <c r="F1949" t="s">
        <v>12</v>
      </c>
      <c r="G1949">
        <v>1</v>
      </c>
      <c r="H1949">
        <v>145</v>
      </c>
      <c r="I1949">
        <v>1</v>
      </c>
      <c r="J1949" s="25">
        <f t="shared" si="121"/>
        <v>1</v>
      </c>
      <c r="K1949">
        <v>1258</v>
      </c>
      <c r="L1949">
        <v>99</v>
      </c>
      <c r="M1949">
        <v>7.2955047899778899E-2</v>
      </c>
      <c r="N1949" s="25">
        <f t="shared" si="120"/>
        <v>7.2955047899778913E-2</v>
      </c>
      <c r="O1949">
        <v>0.92704495210022098</v>
      </c>
      <c r="P1949" s="25">
        <f t="shared" si="122"/>
        <v>0.92704495210022109</v>
      </c>
      <c r="Q1949">
        <v>0</v>
      </c>
      <c r="R1949" t="s">
        <v>124</v>
      </c>
      <c r="S1949" t="s">
        <v>124</v>
      </c>
      <c r="T1949" t="s">
        <v>124</v>
      </c>
      <c r="U1949" t="s">
        <v>124</v>
      </c>
      <c r="X1949" s="19">
        <f t="shared" si="118"/>
        <v>1</v>
      </c>
      <c r="Y1949" s="19">
        <f t="shared" si="119"/>
        <v>7.2955047899778913E-2</v>
      </c>
      <c r="Z1949" s="26"/>
    </row>
    <row r="1950" spans="1:26" x14ac:dyDescent="0.35">
      <c r="A1950" t="s">
        <v>122</v>
      </c>
      <c r="B1950" t="s">
        <v>122</v>
      </c>
      <c r="C1950" t="s">
        <v>123</v>
      </c>
      <c r="D1950" t="s">
        <v>101</v>
      </c>
      <c r="E1950" t="s">
        <v>99</v>
      </c>
      <c r="F1950" t="s">
        <v>12</v>
      </c>
      <c r="G1950">
        <v>1</v>
      </c>
      <c r="H1950">
        <v>145</v>
      </c>
      <c r="I1950">
        <v>1</v>
      </c>
      <c r="J1950" s="25">
        <f t="shared" si="121"/>
        <v>1</v>
      </c>
      <c r="K1950">
        <v>1258</v>
      </c>
      <c r="L1950">
        <v>99</v>
      </c>
      <c r="M1950">
        <v>7.2955047899778899E-2</v>
      </c>
      <c r="N1950" s="25">
        <f t="shared" si="120"/>
        <v>7.2955047899778913E-2</v>
      </c>
      <c r="O1950">
        <v>0.92704495210022098</v>
      </c>
      <c r="P1950" s="25">
        <f t="shared" si="122"/>
        <v>0.92704495210022109</v>
      </c>
      <c r="Q1950">
        <v>0</v>
      </c>
      <c r="R1950" t="s">
        <v>124</v>
      </c>
      <c r="S1950" t="s">
        <v>124</v>
      </c>
      <c r="T1950" t="s">
        <v>124</v>
      </c>
      <c r="U1950" t="s">
        <v>124</v>
      </c>
      <c r="X1950" s="19">
        <f t="shared" si="118"/>
        <v>1</v>
      </c>
      <c r="Y1950" s="19">
        <f t="shared" si="119"/>
        <v>7.2955047899778913E-2</v>
      </c>
      <c r="Z1950" s="26"/>
    </row>
    <row r="1951" spans="1:26" x14ac:dyDescent="0.35">
      <c r="A1951" t="s">
        <v>122</v>
      </c>
      <c r="B1951" t="s">
        <v>122</v>
      </c>
      <c r="C1951" t="s">
        <v>123</v>
      </c>
      <c r="D1951" t="s">
        <v>101</v>
      </c>
      <c r="E1951" t="s">
        <v>99</v>
      </c>
      <c r="F1951" t="s">
        <v>12</v>
      </c>
      <c r="G1951">
        <v>1</v>
      </c>
      <c r="H1951">
        <v>145</v>
      </c>
      <c r="I1951">
        <v>1</v>
      </c>
      <c r="J1951" s="25">
        <f t="shared" si="121"/>
        <v>1</v>
      </c>
      <c r="K1951">
        <v>1258</v>
      </c>
      <c r="L1951">
        <v>99</v>
      </c>
      <c r="M1951">
        <v>7.2955047899778899E-2</v>
      </c>
      <c r="N1951" s="25">
        <f t="shared" si="120"/>
        <v>7.2955047899778913E-2</v>
      </c>
      <c r="O1951">
        <v>0.92704495210022098</v>
      </c>
      <c r="P1951" s="25">
        <f t="shared" si="122"/>
        <v>0.92704495210022109</v>
      </c>
      <c r="Q1951">
        <v>0</v>
      </c>
      <c r="R1951" t="s">
        <v>124</v>
      </c>
      <c r="S1951" t="s">
        <v>124</v>
      </c>
      <c r="T1951" t="s">
        <v>124</v>
      </c>
      <c r="U1951" t="s">
        <v>124</v>
      </c>
      <c r="X1951" s="19">
        <f t="shared" si="118"/>
        <v>1</v>
      </c>
      <c r="Y1951" s="19">
        <f t="shared" si="119"/>
        <v>7.2955047899778913E-2</v>
      </c>
      <c r="Z1951" s="26"/>
    </row>
    <row r="1952" spans="1:26" x14ac:dyDescent="0.35">
      <c r="A1952" t="s">
        <v>122</v>
      </c>
      <c r="B1952" t="s">
        <v>122</v>
      </c>
      <c r="C1952" t="s">
        <v>123</v>
      </c>
      <c r="D1952" t="s">
        <v>101</v>
      </c>
      <c r="E1952" t="s">
        <v>99</v>
      </c>
      <c r="F1952" t="s">
        <v>12</v>
      </c>
      <c r="G1952">
        <v>1</v>
      </c>
      <c r="H1952">
        <v>145</v>
      </c>
      <c r="I1952">
        <v>1</v>
      </c>
      <c r="J1952" s="25">
        <f t="shared" si="121"/>
        <v>1</v>
      </c>
      <c r="K1952">
        <v>1258</v>
      </c>
      <c r="L1952">
        <v>99</v>
      </c>
      <c r="M1952">
        <v>7.2955047899778899E-2</v>
      </c>
      <c r="N1952" s="25">
        <f t="shared" si="120"/>
        <v>7.2955047899778913E-2</v>
      </c>
      <c r="O1952">
        <v>0.92704495210022098</v>
      </c>
      <c r="P1952" s="25">
        <f t="shared" si="122"/>
        <v>0.92704495210022109</v>
      </c>
      <c r="Q1952">
        <v>0</v>
      </c>
      <c r="R1952" t="s">
        <v>124</v>
      </c>
      <c r="S1952" t="s">
        <v>124</v>
      </c>
      <c r="T1952" t="s">
        <v>124</v>
      </c>
      <c r="U1952" t="s">
        <v>124</v>
      </c>
      <c r="X1952" s="19">
        <f t="shared" si="118"/>
        <v>1</v>
      </c>
      <c r="Y1952" s="19">
        <f t="shared" si="119"/>
        <v>7.2955047899778913E-2</v>
      </c>
      <c r="Z1952" s="26"/>
    </row>
    <row r="1953" spans="1:26" x14ac:dyDescent="0.35">
      <c r="A1953" t="s">
        <v>122</v>
      </c>
      <c r="B1953" t="s">
        <v>122</v>
      </c>
      <c r="C1953" t="s">
        <v>123</v>
      </c>
      <c r="D1953" t="s">
        <v>101</v>
      </c>
      <c r="E1953" t="s">
        <v>99</v>
      </c>
      <c r="F1953" t="s">
        <v>12</v>
      </c>
      <c r="G1953">
        <v>1</v>
      </c>
      <c r="H1953">
        <v>145</v>
      </c>
      <c r="I1953">
        <v>1</v>
      </c>
      <c r="J1953" s="25">
        <f t="shared" si="121"/>
        <v>1</v>
      </c>
      <c r="K1953">
        <v>1258</v>
      </c>
      <c r="L1953">
        <v>99</v>
      </c>
      <c r="M1953">
        <v>7.2955047899778899E-2</v>
      </c>
      <c r="N1953" s="25">
        <f t="shared" si="120"/>
        <v>7.2955047899778913E-2</v>
      </c>
      <c r="O1953">
        <v>0.92704495210022098</v>
      </c>
      <c r="P1953" s="25">
        <f t="shared" si="122"/>
        <v>0.92704495210022109</v>
      </c>
      <c r="Q1953">
        <v>0</v>
      </c>
      <c r="R1953" t="s">
        <v>124</v>
      </c>
      <c r="S1953" t="s">
        <v>124</v>
      </c>
      <c r="T1953" t="s">
        <v>124</v>
      </c>
      <c r="U1953" t="s">
        <v>124</v>
      </c>
      <c r="X1953" s="19">
        <f t="shared" si="118"/>
        <v>1</v>
      </c>
      <c r="Y1953" s="19">
        <f t="shared" si="119"/>
        <v>7.2955047899778913E-2</v>
      </c>
      <c r="Z1953" s="26"/>
    </row>
    <row r="1954" spans="1:26" x14ac:dyDescent="0.35">
      <c r="A1954" t="s">
        <v>122</v>
      </c>
      <c r="B1954" t="s">
        <v>122</v>
      </c>
      <c r="C1954" t="s">
        <v>123</v>
      </c>
      <c r="D1954" t="s">
        <v>101</v>
      </c>
      <c r="E1954" t="s">
        <v>99</v>
      </c>
      <c r="F1954" t="s">
        <v>12</v>
      </c>
      <c r="G1954">
        <v>1</v>
      </c>
      <c r="H1954">
        <v>145</v>
      </c>
      <c r="I1954">
        <v>1</v>
      </c>
      <c r="J1954" s="25">
        <f t="shared" si="121"/>
        <v>1</v>
      </c>
      <c r="K1954">
        <v>1258</v>
      </c>
      <c r="L1954">
        <v>99</v>
      </c>
      <c r="M1954">
        <v>7.2955047899778899E-2</v>
      </c>
      <c r="N1954" s="25">
        <f t="shared" si="120"/>
        <v>7.2955047899778913E-2</v>
      </c>
      <c r="O1954">
        <v>0.92704495210022098</v>
      </c>
      <c r="P1954" s="25">
        <f t="shared" si="122"/>
        <v>0.92704495210022109</v>
      </c>
      <c r="Q1954">
        <v>0</v>
      </c>
      <c r="R1954" t="s">
        <v>124</v>
      </c>
      <c r="S1954" t="s">
        <v>124</v>
      </c>
      <c r="T1954" t="s">
        <v>124</v>
      </c>
      <c r="U1954" t="s">
        <v>124</v>
      </c>
      <c r="X1954" s="19">
        <f t="shared" si="118"/>
        <v>1</v>
      </c>
      <c r="Y1954" s="19">
        <f t="shared" si="119"/>
        <v>7.2955047899778913E-2</v>
      </c>
      <c r="Z1954" s="26"/>
    </row>
    <row r="1955" spans="1:26" x14ac:dyDescent="0.35">
      <c r="A1955" t="s">
        <v>122</v>
      </c>
      <c r="B1955" t="s">
        <v>122</v>
      </c>
      <c r="C1955" t="s">
        <v>123</v>
      </c>
      <c r="D1955" t="s">
        <v>101</v>
      </c>
      <c r="E1955" t="s">
        <v>99</v>
      </c>
      <c r="F1955" t="s">
        <v>12</v>
      </c>
      <c r="G1955">
        <v>1</v>
      </c>
      <c r="H1955">
        <v>145</v>
      </c>
      <c r="I1955">
        <v>1</v>
      </c>
      <c r="J1955" s="25">
        <f t="shared" si="121"/>
        <v>1</v>
      </c>
      <c r="K1955">
        <v>1258</v>
      </c>
      <c r="L1955">
        <v>99</v>
      </c>
      <c r="M1955">
        <v>7.2955047899778899E-2</v>
      </c>
      <c r="N1955" s="25">
        <f t="shared" si="120"/>
        <v>7.2955047899778913E-2</v>
      </c>
      <c r="O1955">
        <v>0.92704495210022098</v>
      </c>
      <c r="P1955" s="25">
        <f t="shared" si="122"/>
        <v>0.92704495210022109</v>
      </c>
      <c r="Q1955">
        <v>0</v>
      </c>
      <c r="R1955" t="s">
        <v>124</v>
      </c>
      <c r="S1955" t="s">
        <v>124</v>
      </c>
      <c r="T1955" t="s">
        <v>124</v>
      </c>
      <c r="U1955" t="s">
        <v>124</v>
      </c>
      <c r="X1955" s="19">
        <f t="shared" si="118"/>
        <v>1</v>
      </c>
      <c r="Y1955" s="19">
        <f t="shared" si="119"/>
        <v>7.2955047899778913E-2</v>
      </c>
      <c r="Z1955" s="26"/>
    </row>
    <row r="1956" spans="1:26" x14ac:dyDescent="0.35">
      <c r="A1956" t="s">
        <v>122</v>
      </c>
      <c r="B1956" t="s">
        <v>122</v>
      </c>
      <c r="C1956" t="s">
        <v>123</v>
      </c>
      <c r="D1956" t="s">
        <v>101</v>
      </c>
      <c r="E1956" t="s">
        <v>99</v>
      </c>
      <c r="F1956" t="s">
        <v>12</v>
      </c>
      <c r="G1956">
        <v>1</v>
      </c>
      <c r="H1956">
        <v>145</v>
      </c>
      <c r="I1956">
        <v>1</v>
      </c>
      <c r="J1956" s="25">
        <f t="shared" si="121"/>
        <v>1</v>
      </c>
      <c r="K1956">
        <v>1258</v>
      </c>
      <c r="L1956">
        <v>99</v>
      </c>
      <c r="M1956">
        <v>7.2955047899778899E-2</v>
      </c>
      <c r="N1956" s="25">
        <f t="shared" si="120"/>
        <v>7.2955047899778913E-2</v>
      </c>
      <c r="O1956">
        <v>0.92704495210022098</v>
      </c>
      <c r="P1956" s="25">
        <f t="shared" si="122"/>
        <v>0.92704495210022109</v>
      </c>
      <c r="Q1956">
        <v>0</v>
      </c>
      <c r="R1956" t="s">
        <v>124</v>
      </c>
      <c r="S1956" t="s">
        <v>124</v>
      </c>
      <c r="T1956" t="s">
        <v>124</v>
      </c>
      <c r="U1956" t="s">
        <v>124</v>
      </c>
      <c r="X1956" s="19">
        <f t="shared" si="118"/>
        <v>1</v>
      </c>
      <c r="Y1956" s="19">
        <f t="shared" si="119"/>
        <v>7.2955047899778913E-2</v>
      </c>
      <c r="Z1956" s="26"/>
    </row>
    <row r="1957" spans="1:26" x14ac:dyDescent="0.35">
      <c r="A1957" t="s">
        <v>122</v>
      </c>
      <c r="B1957" t="s">
        <v>122</v>
      </c>
      <c r="C1957" t="s">
        <v>123</v>
      </c>
      <c r="D1957" t="s">
        <v>101</v>
      </c>
      <c r="E1957" t="s">
        <v>99</v>
      </c>
      <c r="F1957" t="s">
        <v>12</v>
      </c>
      <c r="G1957">
        <v>1</v>
      </c>
      <c r="H1957">
        <v>145</v>
      </c>
      <c r="I1957">
        <v>1</v>
      </c>
      <c r="J1957" s="25">
        <f t="shared" si="121"/>
        <v>1</v>
      </c>
      <c r="K1957">
        <v>1258</v>
      </c>
      <c r="L1957">
        <v>99</v>
      </c>
      <c r="M1957">
        <v>7.2955047899778899E-2</v>
      </c>
      <c r="N1957" s="25">
        <f t="shared" si="120"/>
        <v>7.2955047899778913E-2</v>
      </c>
      <c r="O1957">
        <v>0.92704495210022098</v>
      </c>
      <c r="P1957" s="25">
        <f t="shared" si="122"/>
        <v>0.92704495210022109</v>
      </c>
      <c r="Q1957">
        <v>0</v>
      </c>
      <c r="R1957" t="s">
        <v>124</v>
      </c>
      <c r="S1957" t="s">
        <v>124</v>
      </c>
      <c r="T1957" t="s">
        <v>124</v>
      </c>
      <c r="U1957" t="s">
        <v>124</v>
      </c>
      <c r="X1957" s="19">
        <f t="shared" si="118"/>
        <v>1</v>
      </c>
      <c r="Y1957" s="19">
        <f t="shared" si="119"/>
        <v>7.2955047899778913E-2</v>
      </c>
      <c r="Z1957" s="26"/>
    </row>
    <row r="1958" spans="1:26" x14ac:dyDescent="0.35">
      <c r="A1958" t="s">
        <v>122</v>
      </c>
      <c r="B1958" t="s">
        <v>122</v>
      </c>
      <c r="C1958" t="s">
        <v>123</v>
      </c>
      <c r="D1958" t="s">
        <v>101</v>
      </c>
      <c r="E1958" t="s">
        <v>99</v>
      </c>
      <c r="F1958" t="s">
        <v>12</v>
      </c>
      <c r="G1958">
        <v>1</v>
      </c>
      <c r="H1958">
        <v>145</v>
      </c>
      <c r="I1958">
        <v>1</v>
      </c>
      <c r="J1958" s="25">
        <f t="shared" si="121"/>
        <v>1</v>
      </c>
      <c r="K1958">
        <v>1258</v>
      </c>
      <c r="L1958">
        <v>99</v>
      </c>
      <c r="M1958">
        <v>7.2955047899778899E-2</v>
      </c>
      <c r="N1958" s="25">
        <f t="shared" si="120"/>
        <v>7.2955047899778913E-2</v>
      </c>
      <c r="O1958">
        <v>0.92704495210022098</v>
      </c>
      <c r="P1958" s="25">
        <f t="shared" si="122"/>
        <v>0.92704495210022109</v>
      </c>
      <c r="Q1958">
        <v>0</v>
      </c>
      <c r="R1958" t="s">
        <v>124</v>
      </c>
      <c r="S1958" t="s">
        <v>124</v>
      </c>
      <c r="T1958" t="s">
        <v>124</v>
      </c>
      <c r="U1958" t="s">
        <v>124</v>
      </c>
      <c r="X1958" s="19">
        <f t="shared" si="118"/>
        <v>1</v>
      </c>
      <c r="Y1958" s="19">
        <f t="shared" si="119"/>
        <v>7.2955047899778913E-2</v>
      </c>
      <c r="Z1958" s="26"/>
    </row>
    <row r="1959" spans="1:26" x14ac:dyDescent="0.35">
      <c r="A1959" t="s">
        <v>122</v>
      </c>
      <c r="B1959" t="s">
        <v>122</v>
      </c>
      <c r="C1959" t="s">
        <v>123</v>
      </c>
      <c r="D1959" t="s">
        <v>101</v>
      </c>
      <c r="E1959" t="s">
        <v>99</v>
      </c>
      <c r="F1959" t="s">
        <v>12</v>
      </c>
      <c r="G1959">
        <v>1</v>
      </c>
      <c r="H1959">
        <v>145</v>
      </c>
      <c r="I1959">
        <v>1</v>
      </c>
      <c r="J1959" s="25">
        <f t="shared" si="121"/>
        <v>1</v>
      </c>
      <c r="K1959">
        <v>1258</v>
      </c>
      <c r="L1959">
        <v>99</v>
      </c>
      <c r="M1959">
        <v>7.2955047899778899E-2</v>
      </c>
      <c r="N1959" s="25">
        <f t="shared" si="120"/>
        <v>7.2955047899778913E-2</v>
      </c>
      <c r="O1959">
        <v>0.92704495210022098</v>
      </c>
      <c r="P1959" s="25">
        <f t="shared" si="122"/>
        <v>0.92704495210022109</v>
      </c>
      <c r="Q1959">
        <v>0</v>
      </c>
      <c r="R1959" t="s">
        <v>124</v>
      </c>
      <c r="S1959" t="s">
        <v>124</v>
      </c>
      <c r="T1959" t="s">
        <v>124</v>
      </c>
      <c r="U1959" t="s">
        <v>124</v>
      </c>
      <c r="X1959" s="19">
        <f t="shared" si="118"/>
        <v>1</v>
      </c>
      <c r="Y1959" s="19">
        <f t="shared" si="119"/>
        <v>7.2955047899778913E-2</v>
      </c>
      <c r="Z1959" s="26"/>
    </row>
    <row r="1960" spans="1:26" x14ac:dyDescent="0.35">
      <c r="A1960" t="s">
        <v>122</v>
      </c>
      <c r="B1960" t="s">
        <v>122</v>
      </c>
      <c r="C1960" t="s">
        <v>123</v>
      </c>
      <c r="D1960" t="s">
        <v>101</v>
      </c>
      <c r="E1960" t="s">
        <v>99</v>
      </c>
      <c r="F1960" t="s">
        <v>12</v>
      </c>
      <c r="G1960">
        <v>1</v>
      </c>
      <c r="H1960">
        <v>145</v>
      </c>
      <c r="I1960">
        <v>1</v>
      </c>
      <c r="J1960" s="25">
        <f t="shared" si="121"/>
        <v>1</v>
      </c>
      <c r="K1960">
        <v>1258</v>
      </c>
      <c r="L1960">
        <v>99</v>
      </c>
      <c r="M1960">
        <v>7.2955047899778899E-2</v>
      </c>
      <c r="N1960" s="25">
        <f t="shared" si="120"/>
        <v>7.2955047899778913E-2</v>
      </c>
      <c r="O1960">
        <v>0.92704495210022098</v>
      </c>
      <c r="P1960" s="25">
        <f t="shared" si="122"/>
        <v>0.92704495210022109</v>
      </c>
      <c r="Q1960">
        <v>0</v>
      </c>
      <c r="R1960" t="s">
        <v>124</v>
      </c>
      <c r="S1960" t="s">
        <v>124</v>
      </c>
      <c r="T1960" t="s">
        <v>124</v>
      </c>
      <c r="U1960" t="s">
        <v>124</v>
      </c>
      <c r="X1960" s="19">
        <f t="shared" si="118"/>
        <v>1</v>
      </c>
      <c r="Y1960" s="19">
        <f t="shared" si="119"/>
        <v>7.2955047899778913E-2</v>
      </c>
      <c r="Z1960" s="26"/>
    </row>
    <row r="1961" spans="1:26" x14ac:dyDescent="0.35">
      <c r="A1961" t="s">
        <v>122</v>
      </c>
      <c r="B1961" t="s">
        <v>122</v>
      </c>
      <c r="C1961" t="s">
        <v>123</v>
      </c>
      <c r="D1961" t="s">
        <v>101</v>
      </c>
      <c r="E1961" t="s">
        <v>99</v>
      </c>
      <c r="F1961" t="s">
        <v>12</v>
      </c>
      <c r="G1961">
        <v>1</v>
      </c>
      <c r="H1961">
        <v>145</v>
      </c>
      <c r="I1961">
        <v>1</v>
      </c>
      <c r="J1961" s="25">
        <f t="shared" si="121"/>
        <v>1</v>
      </c>
      <c r="K1961">
        <v>1258</v>
      </c>
      <c r="L1961">
        <v>99</v>
      </c>
      <c r="M1961">
        <v>7.2955047899778899E-2</v>
      </c>
      <c r="N1961" s="25">
        <f t="shared" si="120"/>
        <v>7.2955047899778913E-2</v>
      </c>
      <c r="O1961">
        <v>0.92704495210022098</v>
      </c>
      <c r="P1961" s="25">
        <f t="shared" si="122"/>
        <v>0.92704495210022109</v>
      </c>
      <c r="Q1961">
        <v>0</v>
      </c>
      <c r="R1961" t="s">
        <v>124</v>
      </c>
      <c r="S1961" t="s">
        <v>124</v>
      </c>
      <c r="T1961" t="s">
        <v>124</v>
      </c>
      <c r="U1961" t="s">
        <v>124</v>
      </c>
      <c r="X1961" s="19">
        <f t="shared" si="118"/>
        <v>1</v>
      </c>
      <c r="Y1961" s="19">
        <f t="shared" si="119"/>
        <v>7.2955047899778913E-2</v>
      </c>
      <c r="Z1961" s="26"/>
    </row>
    <row r="1962" spans="1:26" x14ac:dyDescent="0.35">
      <c r="A1962" t="s">
        <v>122</v>
      </c>
      <c r="B1962" t="s">
        <v>122</v>
      </c>
      <c r="C1962" t="s">
        <v>123</v>
      </c>
      <c r="D1962" t="s">
        <v>101</v>
      </c>
      <c r="E1962" t="s">
        <v>99</v>
      </c>
      <c r="F1962" t="s">
        <v>12</v>
      </c>
      <c r="G1962">
        <v>1</v>
      </c>
      <c r="H1962">
        <v>145</v>
      </c>
      <c r="I1962">
        <v>1</v>
      </c>
      <c r="J1962" s="25">
        <f t="shared" si="121"/>
        <v>1</v>
      </c>
      <c r="K1962">
        <v>1258</v>
      </c>
      <c r="L1962">
        <v>99</v>
      </c>
      <c r="M1962">
        <v>7.2955047899778899E-2</v>
      </c>
      <c r="N1962" s="25">
        <f t="shared" si="120"/>
        <v>7.2955047899778913E-2</v>
      </c>
      <c r="O1962">
        <v>0.92704495210022098</v>
      </c>
      <c r="P1962" s="25">
        <f t="shared" si="122"/>
        <v>0.92704495210022109</v>
      </c>
      <c r="Q1962">
        <v>0</v>
      </c>
      <c r="R1962" t="s">
        <v>124</v>
      </c>
      <c r="S1962" t="s">
        <v>124</v>
      </c>
      <c r="T1962" t="s">
        <v>124</v>
      </c>
      <c r="U1962" t="s">
        <v>124</v>
      </c>
      <c r="X1962" s="19">
        <f t="shared" si="118"/>
        <v>1</v>
      </c>
      <c r="Y1962" s="19">
        <f t="shared" si="119"/>
        <v>7.2955047899778913E-2</v>
      </c>
      <c r="Z1962" s="26"/>
    </row>
    <row r="1963" spans="1:26" x14ac:dyDescent="0.35">
      <c r="A1963" t="s">
        <v>122</v>
      </c>
      <c r="B1963" t="s">
        <v>122</v>
      </c>
      <c r="C1963" t="s">
        <v>123</v>
      </c>
      <c r="D1963" t="s">
        <v>101</v>
      </c>
      <c r="E1963" t="s">
        <v>99</v>
      </c>
      <c r="F1963" t="s">
        <v>12</v>
      </c>
      <c r="G1963">
        <v>1</v>
      </c>
      <c r="H1963">
        <v>145</v>
      </c>
      <c r="I1963">
        <v>1</v>
      </c>
      <c r="J1963" s="25">
        <f t="shared" si="121"/>
        <v>1</v>
      </c>
      <c r="K1963">
        <v>1258</v>
      </c>
      <c r="L1963">
        <v>99</v>
      </c>
      <c r="M1963">
        <v>7.2955047899778899E-2</v>
      </c>
      <c r="N1963" s="25">
        <f t="shared" si="120"/>
        <v>7.2955047899778913E-2</v>
      </c>
      <c r="O1963">
        <v>0.92704495210022098</v>
      </c>
      <c r="P1963" s="25">
        <f t="shared" si="122"/>
        <v>0.92704495210022109</v>
      </c>
      <c r="Q1963">
        <v>0</v>
      </c>
      <c r="R1963" t="s">
        <v>124</v>
      </c>
      <c r="S1963" t="s">
        <v>124</v>
      </c>
      <c r="T1963" t="s">
        <v>124</v>
      </c>
      <c r="U1963" t="s">
        <v>124</v>
      </c>
      <c r="X1963" s="19">
        <f t="shared" si="118"/>
        <v>1</v>
      </c>
      <c r="Y1963" s="19">
        <f t="shared" si="119"/>
        <v>7.2955047899778913E-2</v>
      </c>
      <c r="Z1963" s="26"/>
    </row>
    <row r="1964" spans="1:26" x14ac:dyDescent="0.35">
      <c r="A1964" t="s">
        <v>122</v>
      </c>
      <c r="B1964" t="s">
        <v>122</v>
      </c>
      <c r="C1964" t="s">
        <v>123</v>
      </c>
      <c r="D1964" t="s">
        <v>101</v>
      </c>
      <c r="E1964" t="s">
        <v>99</v>
      </c>
      <c r="F1964" t="s">
        <v>12</v>
      </c>
      <c r="G1964">
        <v>1</v>
      </c>
      <c r="H1964">
        <v>145</v>
      </c>
      <c r="I1964">
        <v>1</v>
      </c>
      <c r="J1964" s="25">
        <f t="shared" si="121"/>
        <v>1</v>
      </c>
      <c r="K1964">
        <v>1258</v>
      </c>
      <c r="L1964">
        <v>99</v>
      </c>
      <c r="M1964">
        <v>7.2955047899778899E-2</v>
      </c>
      <c r="N1964" s="25">
        <f t="shared" si="120"/>
        <v>7.2955047899778913E-2</v>
      </c>
      <c r="O1964">
        <v>0.92704495210022098</v>
      </c>
      <c r="P1964" s="25">
        <f t="shared" si="122"/>
        <v>0.92704495210022109</v>
      </c>
      <c r="Q1964">
        <v>0</v>
      </c>
      <c r="R1964" t="s">
        <v>124</v>
      </c>
      <c r="S1964" t="s">
        <v>124</v>
      </c>
      <c r="T1964" t="s">
        <v>124</v>
      </c>
      <c r="U1964" t="s">
        <v>124</v>
      </c>
      <c r="X1964" s="19">
        <f t="shared" si="118"/>
        <v>1</v>
      </c>
      <c r="Y1964" s="19">
        <f t="shared" si="119"/>
        <v>7.2955047899778913E-2</v>
      </c>
      <c r="Z1964" s="26"/>
    </row>
    <row r="1965" spans="1:26" x14ac:dyDescent="0.35">
      <c r="A1965" t="s">
        <v>122</v>
      </c>
      <c r="B1965" t="s">
        <v>122</v>
      </c>
      <c r="C1965" t="s">
        <v>123</v>
      </c>
      <c r="D1965" t="s">
        <v>101</v>
      </c>
      <c r="E1965" t="s">
        <v>99</v>
      </c>
      <c r="F1965" t="s">
        <v>12</v>
      </c>
      <c r="G1965">
        <v>1</v>
      </c>
      <c r="H1965">
        <v>145</v>
      </c>
      <c r="I1965">
        <v>1</v>
      </c>
      <c r="J1965" s="25">
        <f t="shared" si="121"/>
        <v>1</v>
      </c>
      <c r="K1965">
        <v>1258</v>
      </c>
      <c r="L1965">
        <v>99</v>
      </c>
      <c r="M1965">
        <v>7.2955047899778899E-2</v>
      </c>
      <c r="N1965" s="25">
        <f t="shared" si="120"/>
        <v>7.2955047899778913E-2</v>
      </c>
      <c r="O1965">
        <v>0.92704495210022098</v>
      </c>
      <c r="P1965" s="25">
        <f t="shared" si="122"/>
        <v>0.92704495210022109</v>
      </c>
      <c r="Q1965">
        <v>0</v>
      </c>
      <c r="R1965" t="s">
        <v>124</v>
      </c>
      <c r="S1965" t="s">
        <v>124</v>
      </c>
      <c r="T1965" t="s">
        <v>124</v>
      </c>
      <c r="U1965" t="s">
        <v>124</v>
      </c>
      <c r="X1965" s="19">
        <f t="shared" si="118"/>
        <v>1</v>
      </c>
      <c r="Y1965" s="19">
        <f t="shared" si="119"/>
        <v>7.2955047899778913E-2</v>
      </c>
      <c r="Z1965" s="26"/>
    </row>
    <row r="1966" spans="1:26" x14ac:dyDescent="0.35">
      <c r="A1966" t="s">
        <v>122</v>
      </c>
      <c r="B1966" t="s">
        <v>122</v>
      </c>
      <c r="C1966" t="s">
        <v>123</v>
      </c>
      <c r="D1966" t="s">
        <v>101</v>
      </c>
      <c r="E1966" t="s">
        <v>99</v>
      </c>
      <c r="F1966" t="s">
        <v>12</v>
      </c>
      <c r="G1966">
        <v>1</v>
      </c>
      <c r="H1966">
        <v>145</v>
      </c>
      <c r="I1966">
        <v>1</v>
      </c>
      <c r="J1966" s="25">
        <f t="shared" si="121"/>
        <v>1</v>
      </c>
      <c r="K1966">
        <v>1258</v>
      </c>
      <c r="L1966">
        <v>99</v>
      </c>
      <c r="M1966">
        <v>7.2955047899778899E-2</v>
      </c>
      <c r="N1966" s="25">
        <f t="shared" si="120"/>
        <v>7.2955047899778913E-2</v>
      </c>
      <c r="O1966">
        <v>0.92704495210022098</v>
      </c>
      <c r="P1966" s="25">
        <f t="shared" si="122"/>
        <v>0.92704495210022109</v>
      </c>
      <c r="Q1966">
        <v>0</v>
      </c>
      <c r="R1966" t="s">
        <v>124</v>
      </c>
      <c r="S1966" t="s">
        <v>124</v>
      </c>
      <c r="T1966" t="s">
        <v>124</v>
      </c>
      <c r="U1966" t="s">
        <v>124</v>
      </c>
      <c r="X1966" s="19">
        <f t="shared" ref="X1966:X2005" si="123">J1966</f>
        <v>1</v>
      </c>
      <c r="Y1966" s="19">
        <f t="shared" ref="Y1966:Y2005" si="124">N1966</f>
        <v>7.2955047899778913E-2</v>
      </c>
      <c r="Z1966" s="26"/>
    </row>
    <row r="1967" spans="1:26" x14ac:dyDescent="0.35">
      <c r="A1967" t="s">
        <v>122</v>
      </c>
      <c r="B1967" t="s">
        <v>122</v>
      </c>
      <c r="C1967" t="s">
        <v>123</v>
      </c>
      <c r="D1967" t="s">
        <v>101</v>
      </c>
      <c r="E1967" t="s">
        <v>99</v>
      </c>
      <c r="F1967" t="s">
        <v>12</v>
      </c>
      <c r="G1967">
        <v>1</v>
      </c>
      <c r="H1967">
        <v>145</v>
      </c>
      <c r="I1967">
        <v>1</v>
      </c>
      <c r="J1967" s="25">
        <f t="shared" si="121"/>
        <v>1</v>
      </c>
      <c r="K1967">
        <v>1258</v>
      </c>
      <c r="L1967">
        <v>99</v>
      </c>
      <c r="M1967">
        <v>7.2955047899778899E-2</v>
      </c>
      <c r="N1967" s="25">
        <f t="shared" si="120"/>
        <v>7.2955047899778913E-2</v>
      </c>
      <c r="O1967">
        <v>0.92704495210022098</v>
      </c>
      <c r="P1967" s="25">
        <f t="shared" si="122"/>
        <v>0.92704495210022109</v>
      </c>
      <c r="Q1967">
        <v>0</v>
      </c>
      <c r="R1967" t="s">
        <v>124</v>
      </c>
      <c r="S1967" t="s">
        <v>124</v>
      </c>
      <c r="T1967" t="s">
        <v>124</v>
      </c>
      <c r="U1967" t="s">
        <v>124</v>
      </c>
      <c r="X1967" s="19">
        <f t="shared" si="123"/>
        <v>1</v>
      </c>
      <c r="Y1967" s="19">
        <f t="shared" si="124"/>
        <v>7.2955047899778913E-2</v>
      </c>
      <c r="Z1967" s="26"/>
    </row>
    <row r="1968" spans="1:26" x14ac:dyDescent="0.35">
      <c r="A1968" t="s">
        <v>122</v>
      </c>
      <c r="B1968" t="s">
        <v>122</v>
      </c>
      <c r="C1968" t="s">
        <v>123</v>
      </c>
      <c r="D1968" t="s">
        <v>101</v>
      </c>
      <c r="E1968" t="s">
        <v>99</v>
      </c>
      <c r="F1968" t="s">
        <v>12</v>
      </c>
      <c r="G1968">
        <v>1</v>
      </c>
      <c r="H1968">
        <v>145</v>
      </c>
      <c r="I1968">
        <v>1</v>
      </c>
      <c r="J1968" s="25">
        <f t="shared" si="121"/>
        <v>1</v>
      </c>
      <c r="K1968">
        <v>1258</v>
      </c>
      <c r="L1968">
        <v>99</v>
      </c>
      <c r="M1968">
        <v>7.2955047899778899E-2</v>
      </c>
      <c r="N1968" s="25">
        <f t="shared" si="120"/>
        <v>7.2955047899778913E-2</v>
      </c>
      <c r="O1968">
        <v>0.92704495210022098</v>
      </c>
      <c r="P1968" s="25">
        <f t="shared" si="122"/>
        <v>0.92704495210022109</v>
      </c>
      <c r="Q1968">
        <v>0</v>
      </c>
      <c r="R1968" t="s">
        <v>124</v>
      </c>
      <c r="S1968" t="s">
        <v>124</v>
      </c>
      <c r="T1968" t="s">
        <v>124</v>
      </c>
      <c r="U1968" t="s">
        <v>124</v>
      </c>
      <c r="X1968" s="19">
        <f t="shared" si="123"/>
        <v>1</v>
      </c>
      <c r="Y1968" s="19">
        <f t="shared" si="124"/>
        <v>7.2955047899778913E-2</v>
      </c>
      <c r="Z1968" s="26"/>
    </row>
    <row r="1969" spans="1:26" x14ac:dyDescent="0.35">
      <c r="A1969" t="s">
        <v>122</v>
      </c>
      <c r="B1969" t="s">
        <v>122</v>
      </c>
      <c r="C1969" t="s">
        <v>123</v>
      </c>
      <c r="D1969" t="s">
        <v>101</v>
      </c>
      <c r="E1969" t="s">
        <v>99</v>
      </c>
      <c r="F1969" t="s">
        <v>12</v>
      </c>
      <c r="G1969">
        <v>1</v>
      </c>
      <c r="H1969">
        <v>145</v>
      </c>
      <c r="I1969">
        <v>1</v>
      </c>
      <c r="J1969" s="25">
        <f t="shared" si="121"/>
        <v>1</v>
      </c>
      <c r="K1969">
        <v>1258</v>
      </c>
      <c r="L1969">
        <v>99</v>
      </c>
      <c r="M1969">
        <v>7.2955047899778899E-2</v>
      </c>
      <c r="N1969" s="25">
        <f t="shared" si="120"/>
        <v>7.2955047899778913E-2</v>
      </c>
      <c r="O1969">
        <v>0.92704495210022098</v>
      </c>
      <c r="P1969" s="25">
        <f t="shared" si="122"/>
        <v>0.92704495210022109</v>
      </c>
      <c r="Q1969">
        <v>0</v>
      </c>
      <c r="R1969" t="s">
        <v>124</v>
      </c>
      <c r="S1969" t="s">
        <v>124</v>
      </c>
      <c r="T1969" t="s">
        <v>124</v>
      </c>
      <c r="U1969" t="s">
        <v>124</v>
      </c>
      <c r="X1969" s="19">
        <f t="shared" si="123"/>
        <v>1</v>
      </c>
      <c r="Y1969" s="19">
        <f t="shared" si="124"/>
        <v>7.2955047899778913E-2</v>
      </c>
      <c r="Z1969" s="26"/>
    </row>
    <row r="1970" spans="1:26" x14ac:dyDescent="0.35">
      <c r="A1970" t="s">
        <v>122</v>
      </c>
      <c r="B1970" t="s">
        <v>122</v>
      </c>
      <c r="C1970" t="s">
        <v>123</v>
      </c>
      <c r="D1970" t="s">
        <v>101</v>
      </c>
      <c r="E1970" t="s">
        <v>99</v>
      </c>
      <c r="F1970" t="s">
        <v>12</v>
      </c>
      <c r="G1970">
        <v>1</v>
      </c>
      <c r="H1970">
        <v>145</v>
      </c>
      <c r="I1970">
        <v>1</v>
      </c>
      <c r="J1970" s="25">
        <f t="shared" si="121"/>
        <v>1</v>
      </c>
      <c r="K1970">
        <v>1258</v>
      </c>
      <c r="L1970">
        <v>99</v>
      </c>
      <c r="M1970">
        <v>7.2955047899778899E-2</v>
      </c>
      <c r="N1970" s="25">
        <f t="shared" si="120"/>
        <v>7.2955047899778913E-2</v>
      </c>
      <c r="O1970">
        <v>0.92704495210022098</v>
      </c>
      <c r="P1970" s="25">
        <f t="shared" si="122"/>
        <v>0.92704495210022109</v>
      </c>
      <c r="Q1970">
        <v>0</v>
      </c>
      <c r="R1970" t="s">
        <v>124</v>
      </c>
      <c r="S1970" t="s">
        <v>124</v>
      </c>
      <c r="T1970" t="s">
        <v>124</v>
      </c>
      <c r="U1970" t="s">
        <v>124</v>
      </c>
      <c r="X1970" s="19">
        <f t="shared" si="123"/>
        <v>1</v>
      </c>
      <c r="Y1970" s="19">
        <f t="shared" si="124"/>
        <v>7.2955047899778913E-2</v>
      </c>
      <c r="Z1970" s="26"/>
    </row>
    <row r="1971" spans="1:26" x14ac:dyDescent="0.35">
      <c r="A1971" t="s">
        <v>122</v>
      </c>
      <c r="B1971" t="s">
        <v>122</v>
      </c>
      <c r="C1971" t="s">
        <v>123</v>
      </c>
      <c r="D1971" t="s">
        <v>101</v>
      </c>
      <c r="E1971" t="s">
        <v>99</v>
      </c>
      <c r="F1971" t="s">
        <v>12</v>
      </c>
      <c r="G1971">
        <v>1</v>
      </c>
      <c r="H1971">
        <v>145</v>
      </c>
      <c r="I1971">
        <v>1</v>
      </c>
      <c r="J1971" s="25">
        <f t="shared" si="121"/>
        <v>1</v>
      </c>
      <c r="K1971">
        <v>1258</v>
      </c>
      <c r="L1971">
        <v>99</v>
      </c>
      <c r="M1971">
        <v>7.2955047899778899E-2</v>
      </c>
      <c r="N1971" s="25">
        <f t="shared" si="120"/>
        <v>7.2955047899778913E-2</v>
      </c>
      <c r="O1971">
        <v>0.92704495210022098</v>
      </c>
      <c r="P1971" s="25">
        <f t="shared" si="122"/>
        <v>0.92704495210022109</v>
      </c>
      <c r="Q1971">
        <v>0</v>
      </c>
      <c r="R1971" t="s">
        <v>124</v>
      </c>
      <c r="S1971" t="s">
        <v>124</v>
      </c>
      <c r="T1971" t="s">
        <v>124</v>
      </c>
      <c r="U1971" t="s">
        <v>124</v>
      </c>
      <c r="X1971" s="19">
        <f t="shared" si="123"/>
        <v>1</v>
      </c>
      <c r="Y1971" s="19">
        <f t="shared" si="124"/>
        <v>7.2955047899778913E-2</v>
      </c>
      <c r="Z1971" s="26"/>
    </row>
    <row r="1972" spans="1:26" x14ac:dyDescent="0.35">
      <c r="A1972" t="s">
        <v>122</v>
      </c>
      <c r="B1972" t="s">
        <v>122</v>
      </c>
      <c r="C1972" t="s">
        <v>123</v>
      </c>
      <c r="D1972" t="s">
        <v>101</v>
      </c>
      <c r="E1972" t="s">
        <v>99</v>
      </c>
      <c r="F1972" t="s">
        <v>12</v>
      </c>
      <c r="G1972">
        <v>1</v>
      </c>
      <c r="H1972">
        <v>145</v>
      </c>
      <c r="I1972">
        <v>1</v>
      </c>
      <c r="J1972" s="25">
        <f t="shared" si="121"/>
        <v>1</v>
      </c>
      <c r="K1972">
        <v>1258</v>
      </c>
      <c r="L1972">
        <v>99</v>
      </c>
      <c r="M1972">
        <v>7.2955047899778899E-2</v>
      </c>
      <c r="N1972" s="25">
        <f t="shared" si="120"/>
        <v>7.2955047899778913E-2</v>
      </c>
      <c r="O1972">
        <v>0.92704495210022098</v>
      </c>
      <c r="P1972" s="25">
        <f t="shared" si="122"/>
        <v>0.92704495210022109</v>
      </c>
      <c r="Q1972">
        <v>0</v>
      </c>
      <c r="R1972" t="s">
        <v>124</v>
      </c>
      <c r="S1972" t="s">
        <v>124</v>
      </c>
      <c r="T1972" t="s">
        <v>124</v>
      </c>
      <c r="U1972" t="s">
        <v>124</v>
      </c>
      <c r="X1972" s="19">
        <f t="shared" si="123"/>
        <v>1</v>
      </c>
      <c r="Y1972" s="19">
        <f t="shared" si="124"/>
        <v>7.2955047899778913E-2</v>
      </c>
      <c r="Z1972" s="26"/>
    </row>
    <row r="1973" spans="1:26" x14ac:dyDescent="0.35">
      <c r="A1973" t="s">
        <v>122</v>
      </c>
      <c r="B1973" t="s">
        <v>122</v>
      </c>
      <c r="C1973" t="s">
        <v>123</v>
      </c>
      <c r="D1973" t="s">
        <v>101</v>
      </c>
      <c r="E1973" t="s">
        <v>99</v>
      </c>
      <c r="F1973" t="s">
        <v>12</v>
      </c>
      <c r="G1973">
        <v>1</v>
      </c>
      <c r="H1973">
        <v>145</v>
      </c>
      <c r="I1973">
        <v>1</v>
      </c>
      <c r="J1973" s="25">
        <f t="shared" si="121"/>
        <v>1</v>
      </c>
      <c r="K1973">
        <v>1258</v>
      </c>
      <c r="L1973">
        <v>99</v>
      </c>
      <c r="M1973">
        <v>7.2955047899778899E-2</v>
      </c>
      <c r="N1973" s="25">
        <f t="shared" si="120"/>
        <v>7.2955047899778913E-2</v>
      </c>
      <c r="O1973">
        <v>0.92704495210022098</v>
      </c>
      <c r="P1973" s="25">
        <f t="shared" si="122"/>
        <v>0.92704495210022109</v>
      </c>
      <c r="Q1973">
        <v>0</v>
      </c>
      <c r="R1973" t="s">
        <v>124</v>
      </c>
      <c r="S1973" t="s">
        <v>124</v>
      </c>
      <c r="T1973" t="s">
        <v>124</v>
      </c>
      <c r="U1973" t="s">
        <v>124</v>
      </c>
      <c r="X1973" s="19">
        <f t="shared" si="123"/>
        <v>1</v>
      </c>
      <c r="Y1973" s="19">
        <f t="shared" si="124"/>
        <v>7.2955047899778913E-2</v>
      </c>
      <c r="Z1973" s="26"/>
    </row>
    <row r="1974" spans="1:26" x14ac:dyDescent="0.35">
      <c r="A1974" t="s">
        <v>122</v>
      </c>
      <c r="B1974" t="s">
        <v>122</v>
      </c>
      <c r="C1974" t="s">
        <v>123</v>
      </c>
      <c r="D1974" t="s">
        <v>101</v>
      </c>
      <c r="E1974" t="s">
        <v>99</v>
      </c>
      <c r="F1974" t="s">
        <v>12</v>
      </c>
      <c r="G1974">
        <v>1</v>
      </c>
      <c r="H1974">
        <v>145</v>
      </c>
      <c r="I1974">
        <v>1</v>
      </c>
      <c r="J1974" s="25">
        <f t="shared" si="121"/>
        <v>1</v>
      </c>
      <c r="K1974">
        <v>1258</v>
      </c>
      <c r="L1974">
        <v>99</v>
      </c>
      <c r="M1974">
        <v>7.2955047899778899E-2</v>
      </c>
      <c r="N1974" s="25">
        <f t="shared" si="120"/>
        <v>7.2955047899778913E-2</v>
      </c>
      <c r="O1974">
        <v>0.92704495210022098</v>
      </c>
      <c r="P1974" s="25">
        <f t="shared" si="122"/>
        <v>0.92704495210022109</v>
      </c>
      <c r="Q1974">
        <v>0</v>
      </c>
      <c r="R1974" t="s">
        <v>124</v>
      </c>
      <c r="S1974" t="s">
        <v>124</v>
      </c>
      <c r="T1974" t="s">
        <v>124</v>
      </c>
      <c r="U1974" t="s">
        <v>124</v>
      </c>
      <c r="X1974" s="19">
        <f t="shared" si="123"/>
        <v>1</v>
      </c>
      <c r="Y1974" s="19">
        <f t="shared" si="124"/>
        <v>7.2955047899778913E-2</v>
      </c>
      <c r="Z1974" s="26"/>
    </row>
    <row r="1975" spans="1:26" x14ac:dyDescent="0.35">
      <c r="A1975" t="s">
        <v>122</v>
      </c>
      <c r="B1975" t="s">
        <v>122</v>
      </c>
      <c r="C1975" t="s">
        <v>123</v>
      </c>
      <c r="D1975" t="s">
        <v>101</v>
      </c>
      <c r="E1975" t="s">
        <v>99</v>
      </c>
      <c r="F1975" t="s">
        <v>12</v>
      </c>
      <c r="G1975">
        <v>1</v>
      </c>
      <c r="H1975">
        <v>145</v>
      </c>
      <c r="I1975">
        <v>1</v>
      </c>
      <c r="J1975" s="25">
        <f t="shared" si="121"/>
        <v>1</v>
      </c>
      <c r="K1975">
        <v>1258</v>
      </c>
      <c r="L1975">
        <v>99</v>
      </c>
      <c r="M1975">
        <v>7.2955047899778899E-2</v>
      </c>
      <c r="N1975" s="25">
        <f t="shared" si="120"/>
        <v>7.2955047899778913E-2</v>
      </c>
      <c r="O1975">
        <v>0.92704495210022098</v>
      </c>
      <c r="P1975" s="25">
        <f t="shared" si="122"/>
        <v>0.92704495210022109</v>
      </c>
      <c r="Q1975">
        <v>0</v>
      </c>
      <c r="R1975">
        <v>0.41666666666666002</v>
      </c>
      <c r="S1975">
        <v>0.41666666666666002</v>
      </c>
      <c r="T1975">
        <v>0.41699999999999998</v>
      </c>
      <c r="U1975">
        <v>0.4269</v>
      </c>
      <c r="X1975" s="19">
        <f t="shared" si="123"/>
        <v>1</v>
      </c>
      <c r="Y1975" s="19">
        <f t="shared" si="124"/>
        <v>7.2955047899778913E-2</v>
      </c>
      <c r="Z1975" s="26"/>
    </row>
    <row r="1976" spans="1:26" x14ac:dyDescent="0.35">
      <c r="A1976" t="s">
        <v>122</v>
      </c>
      <c r="B1976" t="s">
        <v>122</v>
      </c>
      <c r="C1976" t="s">
        <v>123</v>
      </c>
      <c r="D1976" t="s">
        <v>101</v>
      </c>
      <c r="E1976" t="s">
        <v>99</v>
      </c>
      <c r="F1976" t="s">
        <v>12</v>
      </c>
      <c r="G1976">
        <v>1</v>
      </c>
      <c r="H1976">
        <v>145</v>
      </c>
      <c r="I1976">
        <v>1</v>
      </c>
      <c r="J1976" s="25">
        <f t="shared" si="121"/>
        <v>1</v>
      </c>
      <c r="K1976">
        <v>1258</v>
      </c>
      <c r="L1976">
        <v>99</v>
      </c>
      <c r="M1976">
        <v>7.2955047899778899E-2</v>
      </c>
      <c r="N1976" s="25">
        <f t="shared" si="120"/>
        <v>7.2955047899778913E-2</v>
      </c>
      <c r="O1976">
        <v>0.92704495210022098</v>
      </c>
      <c r="P1976" s="25">
        <f t="shared" si="122"/>
        <v>0.92704495210022109</v>
      </c>
      <c r="Q1976">
        <v>0</v>
      </c>
      <c r="R1976" t="s">
        <v>124</v>
      </c>
      <c r="S1976" t="s">
        <v>124</v>
      </c>
      <c r="T1976" t="s">
        <v>124</v>
      </c>
      <c r="U1976" t="s">
        <v>124</v>
      </c>
      <c r="X1976" s="19">
        <f t="shared" si="123"/>
        <v>1</v>
      </c>
      <c r="Y1976" s="19">
        <f t="shared" si="124"/>
        <v>7.2955047899778913E-2</v>
      </c>
      <c r="Z1976" s="26"/>
    </row>
    <row r="1977" spans="1:26" x14ac:dyDescent="0.35">
      <c r="A1977" t="s">
        <v>122</v>
      </c>
      <c r="B1977" t="s">
        <v>122</v>
      </c>
      <c r="C1977" t="s">
        <v>123</v>
      </c>
      <c r="D1977" t="s">
        <v>101</v>
      </c>
      <c r="E1977" t="s">
        <v>99</v>
      </c>
      <c r="F1977" t="s">
        <v>12</v>
      </c>
      <c r="G1977">
        <v>1</v>
      </c>
      <c r="H1977">
        <v>145</v>
      </c>
      <c r="I1977">
        <v>1</v>
      </c>
      <c r="J1977" s="25">
        <f t="shared" si="121"/>
        <v>1</v>
      </c>
      <c r="K1977">
        <v>1258</v>
      </c>
      <c r="L1977">
        <v>99</v>
      </c>
      <c r="M1977">
        <v>7.2955047899778899E-2</v>
      </c>
      <c r="N1977" s="25">
        <f t="shared" si="120"/>
        <v>7.2955047899778913E-2</v>
      </c>
      <c r="O1977">
        <v>0.92704495210022098</v>
      </c>
      <c r="P1977" s="25">
        <f t="shared" si="122"/>
        <v>0.92704495210022109</v>
      </c>
      <c r="Q1977">
        <v>0</v>
      </c>
      <c r="R1977" t="s">
        <v>124</v>
      </c>
      <c r="S1977" t="s">
        <v>124</v>
      </c>
      <c r="T1977" t="s">
        <v>124</v>
      </c>
      <c r="U1977" t="s">
        <v>124</v>
      </c>
      <c r="X1977" s="19">
        <f t="shared" si="123"/>
        <v>1</v>
      </c>
      <c r="Y1977" s="19">
        <f t="shared" si="124"/>
        <v>7.2955047899778913E-2</v>
      </c>
      <c r="Z1977" s="26"/>
    </row>
    <row r="1978" spans="1:26" x14ac:dyDescent="0.35">
      <c r="A1978" t="s">
        <v>122</v>
      </c>
      <c r="B1978" t="s">
        <v>122</v>
      </c>
      <c r="C1978" t="s">
        <v>123</v>
      </c>
      <c r="D1978" t="s">
        <v>101</v>
      </c>
      <c r="E1978" t="s">
        <v>99</v>
      </c>
      <c r="F1978" t="s">
        <v>12</v>
      </c>
      <c r="G1978">
        <v>1</v>
      </c>
      <c r="H1978">
        <v>145</v>
      </c>
      <c r="I1978">
        <v>1</v>
      </c>
      <c r="J1978" s="25">
        <f t="shared" si="121"/>
        <v>1</v>
      </c>
      <c r="K1978">
        <v>1258</v>
      </c>
      <c r="L1978">
        <v>99</v>
      </c>
      <c r="M1978">
        <v>7.2955047899778899E-2</v>
      </c>
      <c r="N1978" s="25">
        <f t="shared" si="120"/>
        <v>7.2955047899778913E-2</v>
      </c>
      <c r="O1978">
        <v>0.92704495210022098</v>
      </c>
      <c r="P1978" s="25">
        <f t="shared" si="122"/>
        <v>0.92704495210022109</v>
      </c>
      <c r="Q1978">
        <v>0</v>
      </c>
      <c r="R1978" t="s">
        <v>124</v>
      </c>
      <c r="S1978" t="s">
        <v>124</v>
      </c>
      <c r="T1978" t="s">
        <v>124</v>
      </c>
      <c r="U1978" t="s">
        <v>124</v>
      </c>
      <c r="X1978" s="19">
        <f t="shared" si="123"/>
        <v>1</v>
      </c>
      <c r="Y1978" s="19">
        <f t="shared" si="124"/>
        <v>7.2955047899778913E-2</v>
      </c>
      <c r="Z1978" s="26"/>
    </row>
    <row r="1979" spans="1:26" x14ac:dyDescent="0.35">
      <c r="A1979" t="s">
        <v>122</v>
      </c>
      <c r="B1979" t="s">
        <v>122</v>
      </c>
      <c r="C1979" t="s">
        <v>123</v>
      </c>
      <c r="D1979" t="s">
        <v>101</v>
      </c>
      <c r="E1979" t="s">
        <v>99</v>
      </c>
      <c r="F1979" t="s">
        <v>12</v>
      </c>
      <c r="G1979">
        <v>1</v>
      </c>
      <c r="H1979">
        <v>145</v>
      </c>
      <c r="I1979">
        <v>1</v>
      </c>
      <c r="J1979" s="25">
        <f t="shared" si="121"/>
        <v>1</v>
      </c>
      <c r="K1979">
        <v>1258</v>
      </c>
      <c r="L1979">
        <v>99</v>
      </c>
      <c r="M1979">
        <v>7.2955047899778899E-2</v>
      </c>
      <c r="N1979" s="25">
        <f t="shared" si="120"/>
        <v>7.2955047899778913E-2</v>
      </c>
      <c r="O1979">
        <v>0.92704495210022098</v>
      </c>
      <c r="P1979" s="25">
        <f t="shared" si="122"/>
        <v>0.92704495210022109</v>
      </c>
      <c r="Q1979">
        <v>0</v>
      </c>
      <c r="R1979" t="s">
        <v>124</v>
      </c>
      <c r="S1979" t="s">
        <v>124</v>
      </c>
      <c r="T1979" t="s">
        <v>124</v>
      </c>
      <c r="U1979" t="s">
        <v>124</v>
      </c>
      <c r="X1979" s="19">
        <f t="shared" si="123"/>
        <v>1</v>
      </c>
      <c r="Y1979" s="19">
        <f t="shared" si="124"/>
        <v>7.2955047899778913E-2</v>
      </c>
      <c r="Z1979" s="26"/>
    </row>
    <row r="1980" spans="1:26" x14ac:dyDescent="0.35">
      <c r="A1980" t="s">
        <v>122</v>
      </c>
      <c r="B1980" t="s">
        <v>122</v>
      </c>
      <c r="C1980" t="s">
        <v>123</v>
      </c>
      <c r="D1980" t="s">
        <v>101</v>
      </c>
      <c r="E1980" t="s">
        <v>99</v>
      </c>
      <c r="F1980" t="s">
        <v>12</v>
      </c>
      <c r="G1980">
        <v>1</v>
      </c>
      <c r="H1980">
        <v>145</v>
      </c>
      <c r="I1980">
        <v>1</v>
      </c>
      <c r="J1980" s="25">
        <f t="shared" si="121"/>
        <v>1</v>
      </c>
      <c r="K1980">
        <v>1258</v>
      </c>
      <c r="L1980">
        <v>99</v>
      </c>
      <c r="M1980">
        <v>7.2955047899778899E-2</v>
      </c>
      <c r="N1980" s="25">
        <f t="shared" si="120"/>
        <v>7.2955047899778913E-2</v>
      </c>
      <c r="O1980">
        <v>0.92704495210022098</v>
      </c>
      <c r="P1980" s="25">
        <f t="shared" si="122"/>
        <v>0.92704495210022109</v>
      </c>
      <c r="Q1980">
        <v>0</v>
      </c>
      <c r="R1980" t="s">
        <v>124</v>
      </c>
      <c r="S1980" t="s">
        <v>124</v>
      </c>
      <c r="T1980" t="s">
        <v>124</v>
      </c>
      <c r="U1980" t="s">
        <v>124</v>
      </c>
      <c r="X1980" s="19">
        <f t="shared" si="123"/>
        <v>1</v>
      </c>
      <c r="Y1980" s="19">
        <f t="shared" si="124"/>
        <v>7.2955047899778913E-2</v>
      </c>
      <c r="Z1980" s="26"/>
    </row>
    <row r="1981" spans="1:26" x14ac:dyDescent="0.35">
      <c r="A1981" t="s">
        <v>122</v>
      </c>
      <c r="B1981" t="s">
        <v>122</v>
      </c>
      <c r="C1981" t="s">
        <v>123</v>
      </c>
      <c r="D1981" t="s">
        <v>101</v>
      </c>
      <c r="E1981" t="s">
        <v>99</v>
      </c>
      <c r="F1981" t="s">
        <v>12</v>
      </c>
      <c r="G1981">
        <v>1</v>
      </c>
      <c r="H1981">
        <v>145</v>
      </c>
      <c r="I1981">
        <v>1</v>
      </c>
      <c r="J1981" s="25">
        <f t="shared" si="121"/>
        <v>1</v>
      </c>
      <c r="K1981">
        <v>1258</v>
      </c>
      <c r="L1981">
        <v>99</v>
      </c>
      <c r="M1981">
        <v>7.2955047899778899E-2</v>
      </c>
      <c r="N1981" s="25">
        <f t="shared" si="120"/>
        <v>7.2955047899778913E-2</v>
      </c>
      <c r="O1981">
        <v>0.92704495210022098</v>
      </c>
      <c r="P1981" s="25">
        <f t="shared" si="122"/>
        <v>0.92704495210022109</v>
      </c>
      <c r="Q1981">
        <v>0</v>
      </c>
      <c r="R1981" t="s">
        <v>124</v>
      </c>
      <c r="S1981" t="s">
        <v>124</v>
      </c>
      <c r="T1981" t="s">
        <v>124</v>
      </c>
      <c r="U1981" t="s">
        <v>124</v>
      </c>
      <c r="X1981" s="19">
        <f t="shared" si="123"/>
        <v>1</v>
      </c>
      <c r="Y1981" s="19">
        <f t="shared" si="124"/>
        <v>7.2955047899778913E-2</v>
      </c>
      <c r="Z1981" s="26"/>
    </row>
    <row r="1982" spans="1:26" x14ac:dyDescent="0.35">
      <c r="A1982" t="s">
        <v>122</v>
      </c>
      <c r="B1982" t="s">
        <v>122</v>
      </c>
      <c r="C1982" t="s">
        <v>123</v>
      </c>
      <c r="D1982" t="s">
        <v>101</v>
      </c>
      <c r="E1982" t="s">
        <v>99</v>
      </c>
      <c r="F1982" t="s">
        <v>12</v>
      </c>
      <c r="G1982">
        <v>1</v>
      </c>
      <c r="H1982">
        <v>145</v>
      </c>
      <c r="I1982">
        <v>1</v>
      </c>
      <c r="J1982" s="25">
        <f t="shared" si="121"/>
        <v>1</v>
      </c>
      <c r="K1982">
        <v>1258</v>
      </c>
      <c r="L1982">
        <v>99</v>
      </c>
      <c r="M1982">
        <v>7.2955047899778899E-2</v>
      </c>
      <c r="N1982" s="25">
        <f t="shared" si="120"/>
        <v>7.2955047899778913E-2</v>
      </c>
      <c r="O1982">
        <v>0.92704495210022098</v>
      </c>
      <c r="P1982" s="25">
        <f t="shared" si="122"/>
        <v>0.92704495210022109</v>
      </c>
      <c r="Q1982">
        <v>0</v>
      </c>
      <c r="R1982" t="s">
        <v>124</v>
      </c>
      <c r="S1982" t="s">
        <v>124</v>
      </c>
      <c r="T1982" t="s">
        <v>124</v>
      </c>
      <c r="U1982" t="s">
        <v>124</v>
      </c>
      <c r="X1982" s="19">
        <f t="shared" si="123"/>
        <v>1</v>
      </c>
      <c r="Y1982" s="19">
        <f t="shared" si="124"/>
        <v>7.2955047899778913E-2</v>
      </c>
      <c r="Z1982" s="26"/>
    </row>
    <row r="1983" spans="1:26" x14ac:dyDescent="0.35">
      <c r="A1983" t="s">
        <v>122</v>
      </c>
      <c r="B1983" t="s">
        <v>122</v>
      </c>
      <c r="C1983" t="s">
        <v>123</v>
      </c>
      <c r="D1983" t="s">
        <v>101</v>
      </c>
      <c r="E1983" t="s">
        <v>99</v>
      </c>
      <c r="F1983" t="s">
        <v>12</v>
      </c>
      <c r="G1983">
        <v>1</v>
      </c>
      <c r="H1983">
        <v>145</v>
      </c>
      <c r="I1983">
        <v>1</v>
      </c>
      <c r="J1983" s="25">
        <f t="shared" si="121"/>
        <v>1</v>
      </c>
      <c r="K1983">
        <v>1258</v>
      </c>
      <c r="L1983">
        <v>99</v>
      </c>
      <c r="M1983">
        <v>7.2955047899778899E-2</v>
      </c>
      <c r="N1983" s="25">
        <f t="shared" si="120"/>
        <v>7.2955047899778913E-2</v>
      </c>
      <c r="O1983">
        <v>0.92704495210022098</v>
      </c>
      <c r="P1983" s="25">
        <f t="shared" si="122"/>
        <v>0.92704495210022109</v>
      </c>
      <c r="Q1983">
        <v>0</v>
      </c>
      <c r="R1983">
        <v>0.5</v>
      </c>
      <c r="S1983">
        <v>0.5</v>
      </c>
      <c r="T1983">
        <v>0.5</v>
      </c>
      <c r="U1983">
        <v>0.50990000000000002</v>
      </c>
      <c r="X1983" s="19">
        <f t="shared" si="123"/>
        <v>1</v>
      </c>
      <c r="Y1983" s="19">
        <f t="shared" si="124"/>
        <v>7.2955047899778913E-2</v>
      </c>
      <c r="Z1983" s="26"/>
    </row>
    <row r="1984" spans="1:26" x14ac:dyDescent="0.35">
      <c r="A1984" t="s">
        <v>122</v>
      </c>
      <c r="B1984" t="s">
        <v>122</v>
      </c>
      <c r="C1984" t="s">
        <v>123</v>
      </c>
      <c r="D1984" t="s">
        <v>101</v>
      </c>
      <c r="E1984" t="s">
        <v>99</v>
      </c>
      <c r="F1984" t="s">
        <v>12</v>
      </c>
      <c r="G1984">
        <v>1</v>
      </c>
      <c r="H1984">
        <v>145</v>
      </c>
      <c r="I1984">
        <v>1</v>
      </c>
      <c r="J1984" s="25">
        <f t="shared" si="121"/>
        <v>1</v>
      </c>
      <c r="K1984">
        <v>1258</v>
      </c>
      <c r="L1984">
        <v>99</v>
      </c>
      <c r="M1984">
        <v>7.2955047899778899E-2</v>
      </c>
      <c r="N1984" s="25">
        <f t="shared" si="120"/>
        <v>7.2955047899778913E-2</v>
      </c>
      <c r="O1984">
        <v>0.92704495210022098</v>
      </c>
      <c r="P1984" s="25">
        <f t="shared" si="122"/>
        <v>0.92704495210022109</v>
      </c>
      <c r="Q1984">
        <v>0</v>
      </c>
      <c r="R1984" t="s">
        <v>124</v>
      </c>
      <c r="S1984" t="s">
        <v>124</v>
      </c>
      <c r="T1984" t="s">
        <v>124</v>
      </c>
      <c r="U1984" t="s">
        <v>124</v>
      </c>
      <c r="X1984" s="19">
        <f t="shared" si="123"/>
        <v>1</v>
      </c>
      <c r="Y1984" s="19">
        <f t="shared" si="124"/>
        <v>7.2955047899778913E-2</v>
      </c>
      <c r="Z1984" s="26"/>
    </row>
    <row r="1985" spans="1:26" x14ac:dyDescent="0.35">
      <c r="A1985" t="s">
        <v>122</v>
      </c>
      <c r="B1985" t="s">
        <v>122</v>
      </c>
      <c r="C1985" t="s">
        <v>123</v>
      </c>
      <c r="D1985" t="s">
        <v>101</v>
      </c>
      <c r="E1985" t="s">
        <v>99</v>
      </c>
      <c r="F1985" t="s">
        <v>12</v>
      </c>
      <c r="G1985">
        <v>1</v>
      </c>
      <c r="H1985">
        <v>145</v>
      </c>
      <c r="I1985">
        <v>1</v>
      </c>
      <c r="J1985" s="25">
        <f t="shared" si="121"/>
        <v>1</v>
      </c>
      <c r="K1985">
        <v>1258</v>
      </c>
      <c r="L1985">
        <v>99</v>
      </c>
      <c r="M1985">
        <v>7.2955047899778899E-2</v>
      </c>
      <c r="N1985" s="25">
        <f t="shared" si="120"/>
        <v>7.2955047899778913E-2</v>
      </c>
      <c r="O1985">
        <v>0.92704495210022098</v>
      </c>
      <c r="P1985" s="25">
        <f t="shared" si="122"/>
        <v>0.92704495210022109</v>
      </c>
      <c r="Q1985">
        <v>0</v>
      </c>
      <c r="R1985" t="s">
        <v>124</v>
      </c>
      <c r="S1985" t="s">
        <v>124</v>
      </c>
      <c r="T1985" t="s">
        <v>124</v>
      </c>
      <c r="U1985" t="s">
        <v>124</v>
      </c>
      <c r="X1985" s="19">
        <f t="shared" si="123"/>
        <v>1</v>
      </c>
      <c r="Y1985" s="19">
        <f t="shared" si="124"/>
        <v>7.2955047899778913E-2</v>
      </c>
      <c r="Z1985" s="26"/>
    </row>
    <row r="1986" spans="1:26" x14ac:dyDescent="0.35">
      <c r="A1986" t="s">
        <v>122</v>
      </c>
      <c r="B1986" t="s">
        <v>122</v>
      </c>
      <c r="C1986" t="s">
        <v>123</v>
      </c>
      <c r="D1986" t="s">
        <v>101</v>
      </c>
      <c r="E1986" t="s">
        <v>99</v>
      </c>
      <c r="F1986" t="s">
        <v>12</v>
      </c>
      <c r="G1986">
        <v>1</v>
      </c>
      <c r="H1986">
        <v>145</v>
      </c>
      <c r="I1986">
        <v>1</v>
      </c>
      <c r="J1986" s="25">
        <f t="shared" si="121"/>
        <v>1</v>
      </c>
      <c r="K1986">
        <v>1258</v>
      </c>
      <c r="L1986">
        <v>99</v>
      </c>
      <c r="M1986">
        <v>7.2955047899778899E-2</v>
      </c>
      <c r="N1986" s="25">
        <f t="shared" ref="N1986:N2005" si="125">1-P1986</f>
        <v>7.2955047899778913E-2</v>
      </c>
      <c r="O1986">
        <v>0.92704495210022098</v>
      </c>
      <c r="P1986" s="25">
        <f t="shared" si="122"/>
        <v>0.92704495210022109</v>
      </c>
      <c r="Q1986">
        <v>0</v>
      </c>
      <c r="R1986" t="s">
        <v>124</v>
      </c>
      <c r="S1986" t="s">
        <v>124</v>
      </c>
      <c r="T1986" t="s">
        <v>124</v>
      </c>
      <c r="U1986" t="s">
        <v>124</v>
      </c>
      <c r="X1986" s="19">
        <f t="shared" si="123"/>
        <v>1</v>
      </c>
      <c r="Y1986" s="19">
        <f t="shared" si="124"/>
        <v>7.2955047899778913E-2</v>
      </c>
      <c r="Z1986" s="26"/>
    </row>
    <row r="1987" spans="1:26" x14ac:dyDescent="0.35">
      <c r="A1987" t="s">
        <v>122</v>
      </c>
      <c r="B1987" t="s">
        <v>122</v>
      </c>
      <c r="C1987" t="s">
        <v>123</v>
      </c>
      <c r="D1987" t="s">
        <v>101</v>
      </c>
      <c r="E1987" t="s">
        <v>99</v>
      </c>
      <c r="F1987" t="s">
        <v>12</v>
      </c>
      <c r="G1987">
        <v>1</v>
      </c>
      <c r="H1987">
        <v>145</v>
      </c>
      <c r="I1987">
        <v>1</v>
      </c>
      <c r="J1987" s="25">
        <f t="shared" ref="J1987:J2005" si="126">H1987/(H1987+Q1987)</f>
        <v>1</v>
      </c>
      <c r="K1987">
        <v>1258</v>
      </c>
      <c r="L1987">
        <v>99</v>
      </c>
      <c r="M1987">
        <v>7.2955047899778899E-2</v>
      </c>
      <c r="N1987" s="25">
        <f t="shared" si="125"/>
        <v>7.2955047899778913E-2</v>
      </c>
      <c r="O1987">
        <v>0.92704495210022098</v>
      </c>
      <c r="P1987" s="25">
        <f t="shared" ref="P1987:P2005" si="127">K1987/(K1987+L1987)</f>
        <v>0.92704495210022109</v>
      </c>
      <c r="Q1987">
        <v>0</v>
      </c>
      <c r="R1987" t="s">
        <v>124</v>
      </c>
      <c r="S1987" t="s">
        <v>124</v>
      </c>
      <c r="T1987" t="s">
        <v>124</v>
      </c>
      <c r="U1987" t="s">
        <v>124</v>
      </c>
      <c r="X1987" s="19">
        <f t="shared" si="123"/>
        <v>1</v>
      </c>
      <c r="Y1987" s="19">
        <f t="shared" si="124"/>
        <v>7.2955047899778913E-2</v>
      </c>
      <c r="Z1987" s="26"/>
    </row>
    <row r="1988" spans="1:26" x14ac:dyDescent="0.35">
      <c r="A1988" t="s">
        <v>122</v>
      </c>
      <c r="B1988" t="s">
        <v>122</v>
      </c>
      <c r="C1988" t="s">
        <v>123</v>
      </c>
      <c r="D1988" t="s">
        <v>101</v>
      </c>
      <c r="E1988" t="s">
        <v>99</v>
      </c>
      <c r="F1988" t="s">
        <v>12</v>
      </c>
      <c r="G1988">
        <v>1</v>
      </c>
      <c r="H1988">
        <v>145</v>
      </c>
      <c r="I1988">
        <v>1</v>
      </c>
      <c r="J1988" s="25">
        <f t="shared" si="126"/>
        <v>1</v>
      </c>
      <c r="K1988">
        <v>1258</v>
      </c>
      <c r="L1988">
        <v>99</v>
      </c>
      <c r="M1988">
        <v>7.2955047899778899E-2</v>
      </c>
      <c r="N1988" s="25">
        <f t="shared" si="125"/>
        <v>7.2955047899778913E-2</v>
      </c>
      <c r="O1988">
        <v>0.92704495210022098</v>
      </c>
      <c r="P1988" s="25">
        <f t="shared" si="127"/>
        <v>0.92704495210022109</v>
      </c>
      <c r="Q1988">
        <v>0</v>
      </c>
      <c r="R1988" t="s">
        <v>124</v>
      </c>
      <c r="S1988" t="s">
        <v>124</v>
      </c>
      <c r="T1988" t="s">
        <v>124</v>
      </c>
      <c r="U1988" t="s">
        <v>124</v>
      </c>
      <c r="X1988" s="19">
        <f t="shared" si="123"/>
        <v>1</v>
      </c>
      <c r="Y1988" s="19">
        <f t="shared" si="124"/>
        <v>7.2955047899778913E-2</v>
      </c>
      <c r="Z1988" s="26"/>
    </row>
    <row r="1989" spans="1:26" x14ac:dyDescent="0.35">
      <c r="A1989" t="s">
        <v>122</v>
      </c>
      <c r="B1989" t="s">
        <v>122</v>
      </c>
      <c r="C1989" t="s">
        <v>123</v>
      </c>
      <c r="D1989" t="s">
        <v>101</v>
      </c>
      <c r="E1989" t="s">
        <v>99</v>
      </c>
      <c r="F1989" t="s">
        <v>12</v>
      </c>
      <c r="G1989">
        <v>1</v>
      </c>
      <c r="H1989">
        <v>145</v>
      </c>
      <c r="I1989">
        <v>1</v>
      </c>
      <c r="J1989" s="25">
        <f t="shared" si="126"/>
        <v>1</v>
      </c>
      <c r="K1989">
        <v>1258</v>
      </c>
      <c r="L1989">
        <v>99</v>
      </c>
      <c r="M1989">
        <v>7.2955047899778899E-2</v>
      </c>
      <c r="N1989" s="25">
        <f t="shared" si="125"/>
        <v>7.2955047899778913E-2</v>
      </c>
      <c r="O1989">
        <v>0.92704495210022098</v>
      </c>
      <c r="P1989" s="25">
        <f t="shared" si="127"/>
        <v>0.92704495210022109</v>
      </c>
      <c r="Q1989">
        <v>0</v>
      </c>
      <c r="R1989" t="s">
        <v>124</v>
      </c>
      <c r="S1989" t="s">
        <v>124</v>
      </c>
      <c r="T1989" t="s">
        <v>124</v>
      </c>
      <c r="U1989" t="s">
        <v>124</v>
      </c>
      <c r="X1989" s="19">
        <f t="shared" si="123"/>
        <v>1</v>
      </c>
      <c r="Y1989" s="19">
        <f t="shared" si="124"/>
        <v>7.2955047899778913E-2</v>
      </c>
      <c r="Z1989" s="26"/>
    </row>
    <row r="1990" spans="1:26" x14ac:dyDescent="0.35">
      <c r="A1990" t="s">
        <v>122</v>
      </c>
      <c r="B1990" t="s">
        <v>122</v>
      </c>
      <c r="C1990" t="s">
        <v>123</v>
      </c>
      <c r="D1990" t="s">
        <v>101</v>
      </c>
      <c r="E1990" t="s">
        <v>99</v>
      </c>
      <c r="F1990" t="s">
        <v>12</v>
      </c>
      <c r="G1990">
        <v>1</v>
      </c>
      <c r="H1990">
        <v>145</v>
      </c>
      <c r="I1990">
        <v>1</v>
      </c>
      <c r="J1990" s="25">
        <f t="shared" si="126"/>
        <v>1</v>
      </c>
      <c r="K1990">
        <v>1258</v>
      </c>
      <c r="L1990">
        <v>99</v>
      </c>
      <c r="M1990">
        <v>7.2955047899778899E-2</v>
      </c>
      <c r="N1990" s="25">
        <f t="shared" si="125"/>
        <v>7.2955047899778913E-2</v>
      </c>
      <c r="O1990">
        <v>0.92704495210022098</v>
      </c>
      <c r="P1990" s="25">
        <f t="shared" si="127"/>
        <v>0.92704495210022109</v>
      </c>
      <c r="Q1990">
        <v>0</v>
      </c>
      <c r="R1990" t="s">
        <v>124</v>
      </c>
      <c r="S1990" t="s">
        <v>124</v>
      </c>
      <c r="T1990" t="s">
        <v>124</v>
      </c>
      <c r="U1990" t="s">
        <v>124</v>
      </c>
      <c r="X1990" s="19">
        <f t="shared" si="123"/>
        <v>1</v>
      </c>
      <c r="Y1990" s="19">
        <f t="shared" si="124"/>
        <v>7.2955047899778913E-2</v>
      </c>
      <c r="Z1990" s="26"/>
    </row>
    <row r="1991" spans="1:26" x14ac:dyDescent="0.35">
      <c r="A1991" t="s">
        <v>122</v>
      </c>
      <c r="B1991" t="s">
        <v>122</v>
      </c>
      <c r="C1991" t="s">
        <v>123</v>
      </c>
      <c r="D1991" t="s">
        <v>101</v>
      </c>
      <c r="E1991" t="s">
        <v>99</v>
      </c>
      <c r="F1991" t="s">
        <v>12</v>
      </c>
      <c r="G1991">
        <v>1</v>
      </c>
      <c r="H1991">
        <v>145</v>
      </c>
      <c r="I1991">
        <v>1</v>
      </c>
      <c r="J1991" s="25">
        <f t="shared" si="126"/>
        <v>1</v>
      </c>
      <c r="K1991">
        <v>1258</v>
      </c>
      <c r="L1991">
        <v>99</v>
      </c>
      <c r="M1991">
        <v>7.2955047899778899E-2</v>
      </c>
      <c r="N1991" s="25">
        <f t="shared" si="125"/>
        <v>7.2955047899778913E-2</v>
      </c>
      <c r="O1991">
        <v>0.92704495210022098</v>
      </c>
      <c r="P1991" s="25">
        <f t="shared" si="127"/>
        <v>0.92704495210022109</v>
      </c>
      <c r="Q1991">
        <v>0</v>
      </c>
      <c r="R1991" t="s">
        <v>124</v>
      </c>
      <c r="S1991" t="s">
        <v>124</v>
      </c>
      <c r="T1991" t="s">
        <v>124</v>
      </c>
      <c r="U1991" t="s">
        <v>124</v>
      </c>
      <c r="X1991" s="19">
        <f t="shared" si="123"/>
        <v>1</v>
      </c>
      <c r="Y1991" s="19">
        <f t="shared" si="124"/>
        <v>7.2955047899778913E-2</v>
      </c>
      <c r="Z1991" s="26"/>
    </row>
    <row r="1992" spans="1:26" x14ac:dyDescent="0.35">
      <c r="A1992" t="s">
        <v>122</v>
      </c>
      <c r="B1992" t="s">
        <v>122</v>
      </c>
      <c r="C1992" t="s">
        <v>123</v>
      </c>
      <c r="D1992" t="s">
        <v>101</v>
      </c>
      <c r="E1992" t="s">
        <v>99</v>
      </c>
      <c r="F1992" t="s">
        <v>12</v>
      </c>
      <c r="G1992">
        <v>1</v>
      </c>
      <c r="H1992">
        <v>145</v>
      </c>
      <c r="I1992">
        <v>1</v>
      </c>
      <c r="J1992" s="25">
        <f t="shared" si="126"/>
        <v>1</v>
      </c>
      <c r="K1992">
        <v>1258</v>
      </c>
      <c r="L1992">
        <v>99</v>
      </c>
      <c r="M1992">
        <v>7.2955047899778899E-2</v>
      </c>
      <c r="N1992" s="25">
        <f t="shared" si="125"/>
        <v>7.2955047899778913E-2</v>
      </c>
      <c r="O1992">
        <v>0.92704495210022098</v>
      </c>
      <c r="P1992" s="25">
        <f t="shared" si="127"/>
        <v>0.92704495210022109</v>
      </c>
      <c r="Q1992">
        <v>0</v>
      </c>
      <c r="R1992" t="s">
        <v>124</v>
      </c>
      <c r="S1992" t="s">
        <v>124</v>
      </c>
      <c r="T1992" t="s">
        <v>124</v>
      </c>
      <c r="U1992" t="s">
        <v>124</v>
      </c>
      <c r="X1992" s="19">
        <f t="shared" si="123"/>
        <v>1</v>
      </c>
      <c r="Y1992" s="19">
        <f t="shared" si="124"/>
        <v>7.2955047899778913E-2</v>
      </c>
      <c r="Z1992" s="26"/>
    </row>
    <row r="1993" spans="1:26" x14ac:dyDescent="0.35">
      <c r="A1993" t="s">
        <v>122</v>
      </c>
      <c r="B1993" t="s">
        <v>122</v>
      </c>
      <c r="C1993" t="s">
        <v>123</v>
      </c>
      <c r="D1993" t="s">
        <v>101</v>
      </c>
      <c r="E1993" t="s">
        <v>99</v>
      </c>
      <c r="F1993" t="s">
        <v>12</v>
      </c>
      <c r="G1993">
        <v>1</v>
      </c>
      <c r="H1993">
        <v>145</v>
      </c>
      <c r="I1993">
        <v>1</v>
      </c>
      <c r="J1993" s="25">
        <f t="shared" si="126"/>
        <v>1</v>
      </c>
      <c r="K1993">
        <v>1258</v>
      </c>
      <c r="L1993">
        <v>99</v>
      </c>
      <c r="M1993">
        <v>7.2955047899778899E-2</v>
      </c>
      <c r="N1993" s="25">
        <f t="shared" si="125"/>
        <v>7.2955047899778913E-2</v>
      </c>
      <c r="O1993">
        <v>0.92704495210022098</v>
      </c>
      <c r="P1993" s="25">
        <f t="shared" si="127"/>
        <v>0.92704495210022109</v>
      </c>
      <c r="Q1993">
        <v>0</v>
      </c>
      <c r="R1993" t="s">
        <v>124</v>
      </c>
      <c r="S1993" t="s">
        <v>124</v>
      </c>
      <c r="T1993" t="s">
        <v>124</v>
      </c>
      <c r="U1993" t="s">
        <v>124</v>
      </c>
      <c r="X1993" s="19">
        <f t="shared" si="123"/>
        <v>1</v>
      </c>
      <c r="Y1993" s="19">
        <f t="shared" si="124"/>
        <v>7.2955047899778913E-2</v>
      </c>
      <c r="Z1993" s="26"/>
    </row>
    <row r="1994" spans="1:26" x14ac:dyDescent="0.35">
      <c r="A1994" t="s">
        <v>122</v>
      </c>
      <c r="B1994" t="s">
        <v>122</v>
      </c>
      <c r="C1994" t="s">
        <v>123</v>
      </c>
      <c r="D1994" t="s">
        <v>101</v>
      </c>
      <c r="E1994" t="s">
        <v>99</v>
      </c>
      <c r="F1994" t="s">
        <v>12</v>
      </c>
      <c r="G1994">
        <v>1</v>
      </c>
      <c r="H1994">
        <v>145</v>
      </c>
      <c r="I1994">
        <v>1</v>
      </c>
      <c r="J1994" s="25">
        <f t="shared" si="126"/>
        <v>1</v>
      </c>
      <c r="K1994">
        <v>1258</v>
      </c>
      <c r="L1994">
        <v>99</v>
      </c>
      <c r="M1994">
        <v>7.2955047899778899E-2</v>
      </c>
      <c r="N1994" s="25">
        <f t="shared" si="125"/>
        <v>7.2955047899778913E-2</v>
      </c>
      <c r="O1994">
        <v>0.92704495210022098</v>
      </c>
      <c r="P1994" s="25">
        <f t="shared" si="127"/>
        <v>0.92704495210022109</v>
      </c>
      <c r="Q1994">
        <v>0</v>
      </c>
      <c r="R1994" t="s">
        <v>124</v>
      </c>
      <c r="S1994" t="s">
        <v>124</v>
      </c>
      <c r="T1994" t="s">
        <v>124</v>
      </c>
      <c r="U1994" t="s">
        <v>124</v>
      </c>
      <c r="X1994" s="19">
        <f t="shared" si="123"/>
        <v>1</v>
      </c>
      <c r="Y1994" s="19">
        <f t="shared" si="124"/>
        <v>7.2955047899778913E-2</v>
      </c>
      <c r="Z1994" s="26"/>
    </row>
    <row r="1995" spans="1:26" x14ac:dyDescent="0.35">
      <c r="A1995" t="s">
        <v>122</v>
      </c>
      <c r="B1995" t="s">
        <v>122</v>
      </c>
      <c r="C1995" t="s">
        <v>123</v>
      </c>
      <c r="D1995" t="s">
        <v>101</v>
      </c>
      <c r="E1995" t="s">
        <v>99</v>
      </c>
      <c r="F1995" t="s">
        <v>12</v>
      </c>
      <c r="G1995">
        <v>1</v>
      </c>
      <c r="H1995">
        <v>145</v>
      </c>
      <c r="I1995">
        <v>1</v>
      </c>
      <c r="J1995" s="25">
        <f t="shared" si="126"/>
        <v>1</v>
      </c>
      <c r="K1995">
        <v>1258</v>
      </c>
      <c r="L1995">
        <v>99</v>
      </c>
      <c r="M1995">
        <v>7.2955047899778899E-2</v>
      </c>
      <c r="N1995" s="25">
        <f t="shared" si="125"/>
        <v>7.2955047899778913E-2</v>
      </c>
      <c r="O1995">
        <v>0.92704495210022098</v>
      </c>
      <c r="P1995" s="25">
        <f t="shared" si="127"/>
        <v>0.92704495210022109</v>
      </c>
      <c r="Q1995">
        <v>0</v>
      </c>
      <c r="R1995" t="s">
        <v>124</v>
      </c>
      <c r="S1995" t="s">
        <v>124</v>
      </c>
      <c r="T1995" t="s">
        <v>124</v>
      </c>
      <c r="U1995" t="s">
        <v>124</v>
      </c>
      <c r="X1995" s="19">
        <f t="shared" si="123"/>
        <v>1</v>
      </c>
      <c r="Y1995" s="19">
        <f t="shared" si="124"/>
        <v>7.2955047899778913E-2</v>
      </c>
      <c r="Z1995" s="26"/>
    </row>
    <row r="1996" spans="1:26" x14ac:dyDescent="0.35">
      <c r="A1996" t="s">
        <v>122</v>
      </c>
      <c r="B1996" t="s">
        <v>122</v>
      </c>
      <c r="C1996" t="s">
        <v>123</v>
      </c>
      <c r="D1996" t="s">
        <v>101</v>
      </c>
      <c r="E1996" t="s">
        <v>99</v>
      </c>
      <c r="F1996" t="s">
        <v>12</v>
      </c>
      <c r="G1996">
        <v>1</v>
      </c>
      <c r="H1996">
        <v>145</v>
      </c>
      <c r="I1996">
        <v>1</v>
      </c>
      <c r="J1996" s="25">
        <f t="shared" si="126"/>
        <v>1</v>
      </c>
      <c r="K1996">
        <v>1258</v>
      </c>
      <c r="L1996">
        <v>99</v>
      </c>
      <c r="M1996">
        <v>7.2955047899778899E-2</v>
      </c>
      <c r="N1996" s="25">
        <f t="shared" si="125"/>
        <v>7.2955047899778913E-2</v>
      </c>
      <c r="O1996">
        <v>0.92704495210022098</v>
      </c>
      <c r="P1996" s="25">
        <f t="shared" si="127"/>
        <v>0.92704495210022109</v>
      </c>
      <c r="Q1996">
        <v>0</v>
      </c>
      <c r="R1996" t="s">
        <v>124</v>
      </c>
      <c r="S1996" t="s">
        <v>124</v>
      </c>
      <c r="T1996" t="s">
        <v>124</v>
      </c>
      <c r="U1996" t="s">
        <v>124</v>
      </c>
      <c r="X1996" s="19">
        <f t="shared" si="123"/>
        <v>1</v>
      </c>
      <c r="Y1996" s="19">
        <f t="shared" si="124"/>
        <v>7.2955047899778913E-2</v>
      </c>
      <c r="Z1996" s="26"/>
    </row>
    <row r="1997" spans="1:26" x14ac:dyDescent="0.35">
      <c r="A1997" t="s">
        <v>122</v>
      </c>
      <c r="B1997" t="s">
        <v>122</v>
      </c>
      <c r="C1997" t="s">
        <v>123</v>
      </c>
      <c r="D1997" t="s">
        <v>101</v>
      </c>
      <c r="E1997" t="s">
        <v>99</v>
      </c>
      <c r="F1997" t="s">
        <v>12</v>
      </c>
      <c r="G1997">
        <v>1</v>
      </c>
      <c r="H1997">
        <v>145</v>
      </c>
      <c r="I1997">
        <v>1</v>
      </c>
      <c r="J1997" s="25">
        <f t="shared" si="126"/>
        <v>1</v>
      </c>
      <c r="K1997">
        <v>1258</v>
      </c>
      <c r="L1997">
        <v>99</v>
      </c>
      <c r="M1997">
        <v>7.2955047899778899E-2</v>
      </c>
      <c r="N1997" s="25">
        <f t="shared" si="125"/>
        <v>7.2955047899778913E-2</v>
      </c>
      <c r="O1997">
        <v>0.92704495210022098</v>
      </c>
      <c r="P1997" s="25">
        <f t="shared" si="127"/>
        <v>0.92704495210022109</v>
      </c>
      <c r="Q1997">
        <v>0</v>
      </c>
      <c r="R1997" t="s">
        <v>124</v>
      </c>
      <c r="S1997" t="s">
        <v>124</v>
      </c>
      <c r="T1997" t="s">
        <v>124</v>
      </c>
      <c r="U1997" t="s">
        <v>124</v>
      </c>
      <c r="X1997" s="19">
        <f t="shared" si="123"/>
        <v>1</v>
      </c>
      <c r="Y1997" s="19">
        <f t="shared" si="124"/>
        <v>7.2955047899778913E-2</v>
      </c>
      <c r="Z1997" s="26"/>
    </row>
    <row r="1998" spans="1:26" x14ac:dyDescent="0.35">
      <c r="A1998" t="s">
        <v>122</v>
      </c>
      <c r="B1998" t="s">
        <v>122</v>
      </c>
      <c r="C1998" t="s">
        <v>123</v>
      </c>
      <c r="D1998" t="s">
        <v>101</v>
      </c>
      <c r="E1998" t="s">
        <v>99</v>
      </c>
      <c r="F1998" t="s">
        <v>12</v>
      </c>
      <c r="G1998">
        <v>1</v>
      </c>
      <c r="H1998">
        <v>145</v>
      </c>
      <c r="I1998">
        <v>1</v>
      </c>
      <c r="J1998" s="25">
        <f t="shared" si="126"/>
        <v>1</v>
      </c>
      <c r="K1998">
        <v>1258</v>
      </c>
      <c r="L1998">
        <v>99</v>
      </c>
      <c r="M1998">
        <v>7.2955047899778899E-2</v>
      </c>
      <c r="N1998" s="25">
        <f t="shared" si="125"/>
        <v>7.2955047899778913E-2</v>
      </c>
      <c r="O1998">
        <v>0.92704495210022098</v>
      </c>
      <c r="P1998" s="25">
        <f t="shared" si="127"/>
        <v>0.92704495210022109</v>
      </c>
      <c r="Q1998">
        <v>0</v>
      </c>
      <c r="R1998" t="s">
        <v>124</v>
      </c>
      <c r="S1998" t="s">
        <v>124</v>
      </c>
      <c r="T1998" t="s">
        <v>124</v>
      </c>
      <c r="U1998" t="s">
        <v>124</v>
      </c>
      <c r="X1998" s="19">
        <f t="shared" si="123"/>
        <v>1</v>
      </c>
      <c r="Y1998" s="19">
        <f t="shared" si="124"/>
        <v>7.2955047899778913E-2</v>
      </c>
      <c r="Z1998" s="26"/>
    </row>
    <row r="1999" spans="1:26" x14ac:dyDescent="0.35">
      <c r="A1999" t="s">
        <v>122</v>
      </c>
      <c r="B1999" t="s">
        <v>122</v>
      </c>
      <c r="C1999" t="s">
        <v>123</v>
      </c>
      <c r="D1999" t="s">
        <v>101</v>
      </c>
      <c r="E1999" t="s">
        <v>99</v>
      </c>
      <c r="F1999" t="s">
        <v>12</v>
      </c>
      <c r="G1999">
        <v>1</v>
      </c>
      <c r="H1999">
        <v>145</v>
      </c>
      <c r="I1999">
        <v>1</v>
      </c>
      <c r="J1999" s="25">
        <f t="shared" si="126"/>
        <v>1</v>
      </c>
      <c r="K1999">
        <v>1258</v>
      </c>
      <c r="L1999">
        <v>99</v>
      </c>
      <c r="M1999">
        <v>7.2955047899778899E-2</v>
      </c>
      <c r="N1999" s="25">
        <f t="shared" si="125"/>
        <v>7.2955047899778913E-2</v>
      </c>
      <c r="O1999">
        <v>0.92704495210022098</v>
      </c>
      <c r="P1999" s="25">
        <f t="shared" si="127"/>
        <v>0.92704495210022109</v>
      </c>
      <c r="Q1999">
        <v>0</v>
      </c>
      <c r="R1999" t="s">
        <v>124</v>
      </c>
      <c r="S1999" t="s">
        <v>124</v>
      </c>
      <c r="T1999" t="s">
        <v>124</v>
      </c>
      <c r="U1999" t="s">
        <v>124</v>
      </c>
      <c r="X1999" s="19">
        <f t="shared" si="123"/>
        <v>1</v>
      </c>
      <c r="Y1999" s="19">
        <f t="shared" si="124"/>
        <v>7.2955047899778913E-2</v>
      </c>
      <c r="Z1999" s="26"/>
    </row>
    <row r="2000" spans="1:26" x14ac:dyDescent="0.35">
      <c r="A2000" t="s">
        <v>122</v>
      </c>
      <c r="B2000" t="s">
        <v>122</v>
      </c>
      <c r="C2000" t="s">
        <v>123</v>
      </c>
      <c r="D2000" t="s">
        <v>101</v>
      </c>
      <c r="E2000" t="s">
        <v>99</v>
      </c>
      <c r="F2000" t="s">
        <v>12</v>
      </c>
      <c r="G2000">
        <v>1</v>
      </c>
      <c r="H2000">
        <v>145</v>
      </c>
      <c r="I2000">
        <v>1</v>
      </c>
      <c r="J2000" s="25">
        <f t="shared" si="126"/>
        <v>1</v>
      </c>
      <c r="K2000">
        <v>1258</v>
      </c>
      <c r="L2000">
        <v>99</v>
      </c>
      <c r="M2000">
        <v>7.2955047899778899E-2</v>
      </c>
      <c r="N2000" s="25">
        <f t="shared" si="125"/>
        <v>7.2955047899778913E-2</v>
      </c>
      <c r="O2000">
        <v>0.92704495210022098</v>
      </c>
      <c r="P2000" s="25">
        <f t="shared" si="127"/>
        <v>0.92704495210022109</v>
      </c>
      <c r="Q2000">
        <v>0</v>
      </c>
      <c r="R2000" t="s">
        <v>124</v>
      </c>
      <c r="S2000" t="s">
        <v>124</v>
      </c>
      <c r="T2000" t="s">
        <v>124</v>
      </c>
      <c r="U2000" t="s">
        <v>124</v>
      </c>
      <c r="X2000" s="19">
        <f t="shared" si="123"/>
        <v>1</v>
      </c>
      <c r="Y2000" s="19">
        <f t="shared" si="124"/>
        <v>7.2955047899778913E-2</v>
      </c>
      <c r="Z2000" s="26"/>
    </row>
    <row r="2001" spans="1:26" x14ac:dyDescent="0.35">
      <c r="A2001" t="s">
        <v>122</v>
      </c>
      <c r="B2001" t="s">
        <v>122</v>
      </c>
      <c r="C2001" t="s">
        <v>123</v>
      </c>
      <c r="D2001" t="s">
        <v>101</v>
      </c>
      <c r="E2001" t="s">
        <v>99</v>
      </c>
      <c r="F2001" t="s">
        <v>12</v>
      </c>
      <c r="G2001">
        <v>1</v>
      </c>
      <c r="H2001">
        <v>145</v>
      </c>
      <c r="I2001">
        <v>1</v>
      </c>
      <c r="J2001" s="25">
        <f t="shared" si="126"/>
        <v>1</v>
      </c>
      <c r="K2001">
        <v>1258</v>
      </c>
      <c r="L2001">
        <v>99</v>
      </c>
      <c r="M2001">
        <v>7.2955047899778899E-2</v>
      </c>
      <c r="N2001" s="25">
        <f t="shared" si="125"/>
        <v>7.2955047899778913E-2</v>
      </c>
      <c r="O2001">
        <v>0.92704495210022098</v>
      </c>
      <c r="P2001" s="25">
        <f t="shared" si="127"/>
        <v>0.92704495210022109</v>
      </c>
      <c r="Q2001">
        <v>0</v>
      </c>
      <c r="R2001" t="s">
        <v>124</v>
      </c>
      <c r="S2001" t="s">
        <v>124</v>
      </c>
      <c r="T2001" t="s">
        <v>124</v>
      </c>
      <c r="U2001" t="s">
        <v>124</v>
      </c>
      <c r="X2001" s="19">
        <f t="shared" si="123"/>
        <v>1</v>
      </c>
      <c r="Y2001" s="19">
        <f t="shared" si="124"/>
        <v>7.2955047899778913E-2</v>
      </c>
      <c r="Z2001" s="26"/>
    </row>
    <row r="2002" spans="1:26" x14ac:dyDescent="0.35">
      <c r="A2002" t="s">
        <v>122</v>
      </c>
      <c r="B2002" t="s">
        <v>122</v>
      </c>
      <c r="C2002" t="s">
        <v>123</v>
      </c>
      <c r="D2002" t="s">
        <v>101</v>
      </c>
      <c r="E2002" t="s">
        <v>99</v>
      </c>
      <c r="F2002" t="s">
        <v>12</v>
      </c>
      <c r="G2002">
        <v>1</v>
      </c>
      <c r="H2002">
        <v>145</v>
      </c>
      <c r="I2002">
        <v>1</v>
      </c>
      <c r="J2002" s="25">
        <f t="shared" si="126"/>
        <v>1</v>
      </c>
      <c r="K2002">
        <v>1258</v>
      </c>
      <c r="L2002">
        <v>99</v>
      </c>
      <c r="M2002">
        <v>7.2955047899778899E-2</v>
      </c>
      <c r="N2002" s="25">
        <f t="shared" si="125"/>
        <v>7.2955047899778913E-2</v>
      </c>
      <c r="O2002">
        <v>0.92704495210022098</v>
      </c>
      <c r="P2002" s="25">
        <f t="shared" si="127"/>
        <v>0.92704495210022109</v>
      </c>
      <c r="Q2002">
        <v>0</v>
      </c>
      <c r="R2002" t="s">
        <v>124</v>
      </c>
      <c r="S2002" t="s">
        <v>124</v>
      </c>
      <c r="T2002" t="s">
        <v>124</v>
      </c>
      <c r="U2002" t="s">
        <v>124</v>
      </c>
      <c r="X2002" s="19">
        <f t="shared" si="123"/>
        <v>1</v>
      </c>
      <c r="Y2002" s="19">
        <f t="shared" si="124"/>
        <v>7.2955047899778913E-2</v>
      </c>
      <c r="Z2002" s="26"/>
    </row>
    <row r="2003" spans="1:26" x14ac:dyDescent="0.35">
      <c r="A2003" t="s">
        <v>122</v>
      </c>
      <c r="B2003" t="s">
        <v>122</v>
      </c>
      <c r="C2003" t="s">
        <v>123</v>
      </c>
      <c r="D2003" t="s">
        <v>101</v>
      </c>
      <c r="E2003" t="s">
        <v>99</v>
      </c>
      <c r="F2003" t="s">
        <v>12</v>
      </c>
      <c r="G2003">
        <v>1</v>
      </c>
      <c r="H2003">
        <v>145</v>
      </c>
      <c r="I2003">
        <v>1</v>
      </c>
      <c r="J2003" s="25">
        <f t="shared" si="126"/>
        <v>1</v>
      </c>
      <c r="K2003">
        <v>1258</v>
      </c>
      <c r="L2003">
        <v>99</v>
      </c>
      <c r="M2003">
        <v>7.2955047899778899E-2</v>
      </c>
      <c r="N2003" s="25">
        <f t="shared" si="125"/>
        <v>7.2955047899778913E-2</v>
      </c>
      <c r="O2003">
        <v>0.92704495210022098</v>
      </c>
      <c r="P2003" s="25">
        <f t="shared" si="127"/>
        <v>0.92704495210022109</v>
      </c>
      <c r="Q2003">
        <v>0</v>
      </c>
      <c r="R2003" t="s">
        <v>124</v>
      </c>
      <c r="S2003" t="s">
        <v>124</v>
      </c>
      <c r="T2003" t="s">
        <v>124</v>
      </c>
      <c r="U2003" t="s">
        <v>124</v>
      </c>
      <c r="X2003" s="19">
        <f t="shared" si="123"/>
        <v>1</v>
      </c>
      <c r="Y2003" s="19">
        <f t="shared" si="124"/>
        <v>7.2955047899778913E-2</v>
      </c>
      <c r="Z2003" s="26"/>
    </row>
    <row r="2004" spans="1:26" x14ac:dyDescent="0.35">
      <c r="A2004" t="s">
        <v>122</v>
      </c>
      <c r="B2004" t="s">
        <v>122</v>
      </c>
      <c r="C2004" t="s">
        <v>123</v>
      </c>
      <c r="D2004" t="s">
        <v>101</v>
      </c>
      <c r="E2004" t="s">
        <v>99</v>
      </c>
      <c r="F2004" t="s">
        <v>12</v>
      </c>
      <c r="G2004">
        <v>1</v>
      </c>
      <c r="H2004">
        <v>145</v>
      </c>
      <c r="I2004">
        <v>1</v>
      </c>
      <c r="J2004" s="25">
        <f t="shared" si="126"/>
        <v>1</v>
      </c>
      <c r="K2004">
        <v>1258</v>
      </c>
      <c r="L2004">
        <v>99</v>
      </c>
      <c r="M2004">
        <v>7.2955047899778899E-2</v>
      </c>
      <c r="N2004" s="25">
        <f t="shared" si="125"/>
        <v>7.2955047899778913E-2</v>
      </c>
      <c r="O2004">
        <v>0.92704495210022098</v>
      </c>
      <c r="P2004" s="25">
        <f t="shared" si="127"/>
        <v>0.92704495210022109</v>
      </c>
      <c r="Q2004">
        <v>0</v>
      </c>
      <c r="R2004" t="s">
        <v>124</v>
      </c>
      <c r="S2004" t="s">
        <v>124</v>
      </c>
      <c r="T2004" t="s">
        <v>124</v>
      </c>
      <c r="U2004" t="s">
        <v>124</v>
      </c>
      <c r="X2004" s="19">
        <f t="shared" si="123"/>
        <v>1</v>
      </c>
      <c r="Y2004" s="19">
        <f t="shared" si="124"/>
        <v>7.2955047899778913E-2</v>
      </c>
      <c r="Z2004" s="26"/>
    </row>
    <row r="2005" spans="1:26" x14ac:dyDescent="0.35">
      <c r="A2005" t="s">
        <v>122</v>
      </c>
      <c r="B2005" t="s">
        <v>122</v>
      </c>
      <c r="C2005" t="s">
        <v>123</v>
      </c>
      <c r="D2005" t="s">
        <v>101</v>
      </c>
      <c r="E2005" t="s">
        <v>99</v>
      </c>
      <c r="F2005" t="s">
        <v>12</v>
      </c>
      <c r="G2005">
        <v>1</v>
      </c>
      <c r="H2005" t="s">
        <v>124</v>
      </c>
      <c r="I2005">
        <v>1</v>
      </c>
      <c r="J2005" s="25" t="e">
        <f t="shared" si="126"/>
        <v>#VALUE!</v>
      </c>
      <c r="K2005" t="s">
        <v>124</v>
      </c>
      <c r="L2005" t="s">
        <v>124</v>
      </c>
      <c r="M2005">
        <v>1</v>
      </c>
      <c r="N2005" s="25" t="e">
        <f t="shared" si="125"/>
        <v>#VALUE!</v>
      </c>
      <c r="O2005">
        <v>0</v>
      </c>
      <c r="P2005" s="25" t="e">
        <f t="shared" si="127"/>
        <v>#VALUE!</v>
      </c>
      <c r="Q2005" t="s">
        <v>124</v>
      </c>
      <c r="R2005" t="s">
        <v>124</v>
      </c>
      <c r="S2005">
        <v>0</v>
      </c>
      <c r="T2005">
        <v>0</v>
      </c>
      <c r="U2005">
        <v>0</v>
      </c>
      <c r="X2005" s="19" t="e">
        <f t="shared" si="123"/>
        <v>#VALUE!</v>
      </c>
      <c r="Y2005" s="19" t="e">
        <f t="shared" si="124"/>
        <v>#VALUE!</v>
      </c>
      <c r="Z2005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val_data</vt:lpstr>
      <vt:lpstr>76</vt:lpstr>
      <vt:lpstr>metrics</vt:lpstr>
      <vt:lpstr>lift</vt:lpstr>
      <vt:lpstr>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Todi</dc:creator>
  <cp:lastModifiedBy>Shubham Todi</cp:lastModifiedBy>
  <dcterms:created xsi:type="dcterms:W3CDTF">2024-03-05T20:43:11Z</dcterms:created>
  <dcterms:modified xsi:type="dcterms:W3CDTF">2024-03-06T02:44:35Z</dcterms:modified>
</cp:coreProperties>
</file>