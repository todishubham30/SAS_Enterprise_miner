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ncordia MBA\Program\BSTA 678\Assignment 1\"/>
    </mc:Choice>
  </mc:AlternateContent>
  <xr:revisionPtr revIDLastSave="0" documentId="13_ncr:40009_{F63708C0-5AF6-4BFF-ACA2-DC06428A6AFD}" xr6:coauthVersionLast="47" xr6:coauthVersionMax="47" xr10:uidLastSave="{00000000-0000-0000-0000-000000000000}"/>
  <bookViews>
    <workbookView xWindow="-110" yWindow="-110" windowWidth="19420" windowHeight="10300" activeTab="1"/>
  </bookViews>
  <sheets>
    <sheet name="log_fwd_val_exp.data" sheetId="1" r:id="rId1"/>
    <sheet name="metrics" sheetId="2" r:id="rId2"/>
  </sheets>
  <calcPr calcId="0"/>
</workbook>
</file>

<file path=xl/calcChain.xml><?xml version="1.0" encoding="utf-8"?>
<calcChain xmlns="http://schemas.openxmlformats.org/spreadsheetml/2006/main">
  <c r="J6" i="2" l="1"/>
  <c r="K6" i="2"/>
  <c r="K5" i="2"/>
  <c r="J5" i="2"/>
  <c r="L5" i="2" s="1"/>
  <c r="P11" i="2"/>
  <c r="E9" i="2" s="1"/>
  <c r="E11" i="2" s="1"/>
  <c r="E6" i="2" l="1"/>
  <c r="P12" i="2"/>
  <c r="E3" i="2"/>
  <c r="L6" i="2"/>
  <c r="L7" i="2" s="1"/>
  <c r="P13" i="2"/>
  <c r="P10" i="2"/>
  <c r="E8" i="2" s="1"/>
  <c r="J7" i="2"/>
  <c r="E4" i="2" s="1"/>
  <c r="K7" i="2"/>
  <c r="E10" i="2" l="1"/>
  <c r="E5" i="2"/>
  <c r="L8" i="2"/>
  <c r="E12" i="2"/>
  <c r="E13" i="2"/>
  <c r="E7" i="2"/>
</calcChain>
</file>

<file path=xl/sharedStrings.xml><?xml version="1.0" encoding="utf-8"?>
<sst xmlns="http://schemas.openxmlformats.org/spreadsheetml/2006/main" count="95" uniqueCount="84">
  <si>
    <t>Observation Number</t>
  </si>
  <si>
    <t>CHK_ACCT</t>
  </si>
  <si>
    <t>DURATION</t>
  </si>
  <si>
    <t>HISTORY</t>
  </si>
  <si>
    <t>NEW_CAR</t>
  </si>
  <si>
    <t>USED_CAR</t>
  </si>
  <si>
    <t>FURNITURE</t>
  </si>
  <si>
    <t>EDUCATION</t>
  </si>
  <si>
    <t>RETRAINING</t>
  </si>
  <si>
    <t>AMOUNT</t>
  </si>
  <si>
    <t>SAV_ACCT</t>
  </si>
  <si>
    <t>EMPLOYMENT</t>
  </si>
  <si>
    <t>INSTALL_RATE</t>
  </si>
  <si>
    <t>MALE_DIV</t>
  </si>
  <si>
    <t>MALE_SINGLE</t>
  </si>
  <si>
    <t>MALE_MAR_or_WID</t>
  </si>
  <si>
    <t>GUARANTOR</t>
  </si>
  <si>
    <t>PRESENT_RESIDENT</t>
  </si>
  <si>
    <t>REAL_ESTATE</t>
  </si>
  <si>
    <t>PROP_UNKN_NONE</t>
  </si>
  <si>
    <t>AGE</t>
  </si>
  <si>
    <t>OTHER_INSTALL</t>
  </si>
  <si>
    <t>RENT</t>
  </si>
  <si>
    <t>OWN_RES</t>
  </si>
  <si>
    <t>NUM_CREDITS</t>
  </si>
  <si>
    <t>JOB</t>
  </si>
  <si>
    <t>NUM_DEPENDENTS</t>
  </si>
  <si>
    <t>TELEPHONE</t>
  </si>
  <si>
    <t>FOREIGN</t>
  </si>
  <si>
    <t>RESPONSE</t>
  </si>
  <si>
    <t>OBS#</t>
  </si>
  <si>
    <t>RADIO/TV</t>
  </si>
  <si>
    <t>CO-APPLICANT</t>
  </si>
  <si>
    <t>Warnings</t>
  </si>
  <si>
    <t>Into: RESPONSE</t>
  </si>
  <si>
    <t>Unnormalized Into: RESPONSE</t>
  </si>
  <si>
    <t>From: RESPONSE</t>
  </si>
  <si>
    <t>Residual: RESPONSE=1</t>
  </si>
  <si>
    <t>Residual: RESPONSE=0</t>
  </si>
  <si>
    <t>Predicted: RESPONSE=1</t>
  </si>
  <si>
    <t>Predicted: RESPONSE=0</t>
  </si>
  <si>
    <t>Data Role=VALIDATE Target=RESPONSE Target Label=' '</t>
  </si>
  <si>
    <t xml:space="preserve"> </t>
  </si>
  <si>
    <t xml:space="preserve">  False       True        False       True</t>
  </si>
  <si>
    <t>Negative    Negative    Positive    Positive</t>
  </si>
  <si>
    <t xml:space="preserve">   17          39          52          193</t>
  </si>
  <si>
    <t>Define and calculate yellow-shaded fields.</t>
  </si>
  <si>
    <t>Positive(1)</t>
  </si>
  <si>
    <t>Negative(0)</t>
  </si>
  <si>
    <t>Calculate</t>
  </si>
  <si>
    <t>Classification Table</t>
  </si>
  <si>
    <t>TP</t>
  </si>
  <si>
    <t>FN</t>
  </si>
  <si>
    <t>Misclassification Rate</t>
  </si>
  <si>
    <t>PREDICTED</t>
  </si>
  <si>
    <t>FP</t>
  </si>
  <si>
    <t>TN</t>
  </si>
  <si>
    <t>True Positive Rate</t>
  </si>
  <si>
    <t>ACTUAL</t>
  </si>
  <si>
    <t>Personal loan</t>
  </si>
  <si>
    <t>No personal loan</t>
  </si>
  <si>
    <t>total</t>
  </si>
  <si>
    <t>False Positive Rate</t>
  </si>
  <si>
    <t>Personal Loan</t>
  </si>
  <si>
    <t>False Negative Rate</t>
  </si>
  <si>
    <t>True Negative Rate</t>
  </si>
  <si>
    <t>Sensitivity</t>
  </si>
  <si>
    <t>Specificity</t>
  </si>
  <si>
    <t>ACTUAL RATE AMONG PREDICTED</t>
  </si>
  <si>
    <t>No of data points in validation set</t>
  </si>
  <si>
    <t>TP/(TP+FN)</t>
  </si>
  <si>
    <t>ROC coordinates – x-axis</t>
  </si>
  <si>
    <t>TN/(FP+TN)</t>
  </si>
  <si>
    <t>ROC coordinates – y-axis</t>
  </si>
  <si>
    <t>Accuracy</t>
  </si>
  <si>
    <t>(TP+TN)/ (TP+TN+FP+FN)</t>
  </si>
  <si>
    <t xml:space="preserve">Lift </t>
  </si>
  <si>
    <t>sensitivity/support</t>
  </si>
  <si>
    <t>Precision</t>
  </si>
  <si>
    <t>TP/(TP+FP)</t>
  </si>
  <si>
    <t>Gain</t>
  </si>
  <si>
    <t>30% (approx.)</t>
  </si>
  <si>
    <t>We obtain this from validation set output results</t>
  </si>
  <si>
    <t>We plug corresponding values in blank cells of certain tables and use in formulas to view, calculate and 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</si>
</sst>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0.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11"/>
      <color rgb="FF00000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0" borderId="10" xfId="0" applyBorder="1"/>
    <xf numFmtId="164" fontId="0" fillId="33" borderId="10" xfId="0" applyNumberFormat="1" applyFill="1" applyBorder="1"/>
    <xf numFmtId="0" fontId="0" fillId="0" borderId="0" xfId="0" applyAlignment="1">
      <alignment horizontal="center"/>
    </xf>
    <xf numFmtId="0" fontId="18" fillId="0" borderId="0" xfId="0" applyFont="1" applyAlignment="1">
      <alignment horizontal="left" vertical="center" indent="4"/>
    </xf>
    <xf numFmtId="0" fontId="19" fillId="0" borderId="0" xfId="0" applyFont="1"/>
    <xf numFmtId="0" fontId="20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2" fontId="20" fillId="33" borderId="11" xfId="0" applyNumberFormat="1" applyFont="1" applyFill="1" applyBorder="1" applyAlignment="1">
      <alignment horizontal="right" vertical="center"/>
    </xf>
    <xf numFmtId="2" fontId="0" fillId="33" borderId="0" xfId="0" applyNumberFormat="1" applyFill="1"/>
    <xf numFmtId="164" fontId="0" fillId="33" borderId="12" xfId="0" applyNumberFormat="1" applyFill="1" applyBorder="1"/>
    <xf numFmtId="165" fontId="0" fillId="34" borderId="0" xfId="0" applyNumberFormat="1" applyFill="1"/>
    <xf numFmtId="0" fontId="16" fillId="0" borderId="0" xfId="0" applyFont="1"/>
    <xf numFmtId="0" fontId="0" fillId="0" borderId="0" xfId="0" quotePrefix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02"/>
  <sheetViews>
    <sheetView topLeftCell="A286" workbookViewId="0">
      <selection activeCell="A2" sqref="A2:A302"/>
    </sheetView>
  </sheetViews>
  <sheetFormatPr defaultRowHeight="14.5" x14ac:dyDescent="0.35"/>
  <sheetData>
    <row r="1" spans="1:4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5">
      <c r="A2">
        <v>2</v>
      </c>
      <c r="B2">
        <v>1</v>
      </c>
      <c r="C2">
        <v>48</v>
      </c>
      <c r="D2">
        <v>2</v>
      </c>
      <c r="E2">
        <v>0</v>
      </c>
      <c r="F2">
        <v>0</v>
      </c>
      <c r="G2">
        <v>0</v>
      </c>
      <c r="H2">
        <v>0</v>
      </c>
      <c r="I2">
        <v>0</v>
      </c>
      <c r="J2">
        <v>5951</v>
      </c>
      <c r="K2">
        <v>0</v>
      </c>
      <c r="L2">
        <v>2</v>
      </c>
      <c r="M2">
        <v>2</v>
      </c>
      <c r="N2">
        <v>0</v>
      </c>
      <c r="O2">
        <v>0</v>
      </c>
      <c r="P2">
        <v>0</v>
      </c>
      <c r="Q2">
        <v>0</v>
      </c>
      <c r="R2">
        <v>2</v>
      </c>
      <c r="S2">
        <v>1</v>
      </c>
      <c r="T2">
        <v>0</v>
      </c>
      <c r="U2">
        <v>22</v>
      </c>
      <c r="V2">
        <v>0</v>
      </c>
      <c r="W2">
        <v>0</v>
      </c>
      <c r="X2">
        <v>1</v>
      </c>
      <c r="Y2">
        <v>1</v>
      </c>
      <c r="Z2">
        <v>2</v>
      </c>
      <c r="AA2">
        <v>1</v>
      </c>
      <c r="AB2">
        <v>0</v>
      </c>
      <c r="AC2">
        <v>0</v>
      </c>
      <c r="AD2">
        <v>0</v>
      </c>
      <c r="AE2">
        <v>2</v>
      </c>
      <c r="AF2">
        <v>1</v>
      </c>
      <c r="AG2">
        <v>0</v>
      </c>
      <c r="AI2">
        <v>0</v>
      </c>
      <c r="AJ2">
        <v>0</v>
      </c>
      <c r="AK2">
        <v>0</v>
      </c>
      <c r="AL2">
        <v>-0.45959398855135702</v>
      </c>
      <c r="AM2">
        <v>0.45959398855135702</v>
      </c>
      <c r="AN2">
        <v>0.45959398855135702</v>
      </c>
      <c r="AO2">
        <v>0.54040601144864198</v>
      </c>
    </row>
    <row r="3" spans="1:41" x14ac:dyDescent="0.35">
      <c r="A3">
        <v>3</v>
      </c>
      <c r="B3">
        <v>3</v>
      </c>
      <c r="C3">
        <v>12</v>
      </c>
      <c r="D3">
        <v>4</v>
      </c>
      <c r="E3">
        <v>0</v>
      </c>
      <c r="F3">
        <v>0</v>
      </c>
      <c r="G3">
        <v>0</v>
      </c>
      <c r="H3">
        <v>1</v>
      </c>
      <c r="I3">
        <v>0</v>
      </c>
      <c r="J3">
        <v>2096</v>
      </c>
      <c r="K3">
        <v>0</v>
      </c>
      <c r="L3">
        <v>3</v>
      </c>
      <c r="M3">
        <v>2</v>
      </c>
      <c r="N3">
        <v>0</v>
      </c>
      <c r="O3">
        <v>1</v>
      </c>
      <c r="P3">
        <v>0</v>
      </c>
      <c r="Q3">
        <v>0</v>
      </c>
      <c r="R3">
        <v>3</v>
      </c>
      <c r="S3">
        <v>1</v>
      </c>
      <c r="T3">
        <v>0</v>
      </c>
      <c r="U3">
        <v>49</v>
      </c>
      <c r="V3">
        <v>0</v>
      </c>
      <c r="W3">
        <v>0</v>
      </c>
      <c r="X3">
        <v>1</v>
      </c>
      <c r="Y3">
        <v>1</v>
      </c>
      <c r="Z3">
        <v>1</v>
      </c>
      <c r="AA3">
        <v>2</v>
      </c>
      <c r="AB3">
        <v>0</v>
      </c>
      <c r="AC3">
        <v>0</v>
      </c>
      <c r="AD3">
        <v>1</v>
      </c>
      <c r="AE3">
        <v>3</v>
      </c>
      <c r="AF3">
        <v>0</v>
      </c>
      <c r="AG3">
        <v>0</v>
      </c>
      <c r="AI3">
        <v>1</v>
      </c>
      <c r="AJ3">
        <v>1</v>
      </c>
      <c r="AK3">
        <v>1</v>
      </c>
      <c r="AL3">
        <v>7.7876093636967098E-2</v>
      </c>
      <c r="AM3">
        <v>-7.7876093636967098E-2</v>
      </c>
      <c r="AN3">
        <v>0.92212390636303199</v>
      </c>
      <c r="AO3">
        <v>7.7876093636967098E-2</v>
      </c>
    </row>
    <row r="4" spans="1:41" x14ac:dyDescent="0.35">
      <c r="A4">
        <v>6</v>
      </c>
      <c r="B4">
        <v>3</v>
      </c>
      <c r="C4">
        <v>36</v>
      </c>
      <c r="D4">
        <v>2</v>
      </c>
      <c r="E4">
        <v>0</v>
      </c>
      <c r="F4">
        <v>0</v>
      </c>
      <c r="G4">
        <v>0</v>
      </c>
      <c r="H4">
        <v>1</v>
      </c>
      <c r="I4">
        <v>0</v>
      </c>
      <c r="J4">
        <v>9055</v>
      </c>
      <c r="K4">
        <v>4</v>
      </c>
      <c r="L4">
        <v>2</v>
      </c>
      <c r="M4">
        <v>2</v>
      </c>
      <c r="N4">
        <v>0</v>
      </c>
      <c r="O4">
        <v>1</v>
      </c>
      <c r="P4">
        <v>0</v>
      </c>
      <c r="Q4">
        <v>0</v>
      </c>
      <c r="R4">
        <v>4</v>
      </c>
      <c r="S4">
        <v>0</v>
      </c>
      <c r="T4">
        <v>1</v>
      </c>
      <c r="U4">
        <v>35</v>
      </c>
      <c r="V4">
        <v>0</v>
      </c>
      <c r="W4">
        <v>0</v>
      </c>
      <c r="X4">
        <v>0</v>
      </c>
      <c r="Y4">
        <v>1</v>
      </c>
      <c r="Z4">
        <v>1</v>
      </c>
      <c r="AA4">
        <v>2</v>
      </c>
      <c r="AB4">
        <v>1</v>
      </c>
      <c r="AC4">
        <v>0</v>
      </c>
      <c r="AD4">
        <v>1</v>
      </c>
      <c r="AE4">
        <v>6</v>
      </c>
      <c r="AF4">
        <v>0</v>
      </c>
      <c r="AG4">
        <v>0</v>
      </c>
      <c r="AI4">
        <v>1</v>
      </c>
      <c r="AJ4">
        <v>1</v>
      </c>
      <c r="AK4">
        <v>1</v>
      </c>
      <c r="AL4">
        <v>0.13207893477882299</v>
      </c>
      <c r="AM4">
        <v>-0.13207893477882299</v>
      </c>
      <c r="AN4">
        <v>0.86792106522117596</v>
      </c>
      <c r="AO4">
        <v>0.13207893477882299</v>
      </c>
    </row>
    <row r="5" spans="1:41" x14ac:dyDescent="0.35">
      <c r="A5">
        <v>8</v>
      </c>
      <c r="B5">
        <v>1</v>
      </c>
      <c r="C5">
        <v>36</v>
      </c>
      <c r="D5">
        <v>2</v>
      </c>
      <c r="E5">
        <v>0</v>
      </c>
      <c r="F5">
        <v>1</v>
      </c>
      <c r="G5">
        <v>0</v>
      </c>
      <c r="H5">
        <v>0</v>
      </c>
      <c r="I5">
        <v>0</v>
      </c>
      <c r="J5">
        <v>6948</v>
      </c>
      <c r="K5">
        <v>0</v>
      </c>
      <c r="L5">
        <v>2</v>
      </c>
      <c r="M5">
        <v>2</v>
      </c>
      <c r="N5">
        <v>0</v>
      </c>
      <c r="O5">
        <v>1</v>
      </c>
      <c r="P5">
        <v>0</v>
      </c>
      <c r="Q5">
        <v>0</v>
      </c>
      <c r="R5">
        <v>2</v>
      </c>
      <c r="S5">
        <v>0</v>
      </c>
      <c r="T5">
        <v>0</v>
      </c>
      <c r="U5">
        <v>35</v>
      </c>
      <c r="V5">
        <v>0</v>
      </c>
      <c r="W5">
        <v>1</v>
      </c>
      <c r="X5">
        <v>0</v>
      </c>
      <c r="Y5">
        <v>1</v>
      </c>
      <c r="Z5">
        <v>3</v>
      </c>
      <c r="AA5">
        <v>1</v>
      </c>
      <c r="AB5">
        <v>1</v>
      </c>
      <c r="AC5">
        <v>0</v>
      </c>
      <c r="AD5">
        <v>1</v>
      </c>
      <c r="AE5">
        <v>8</v>
      </c>
      <c r="AF5">
        <v>0</v>
      </c>
      <c r="AG5">
        <v>0</v>
      </c>
      <c r="AI5">
        <v>0</v>
      </c>
      <c r="AJ5">
        <v>0</v>
      </c>
      <c r="AK5">
        <v>1</v>
      </c>
      <c r="AL5">
        <v>0.52022486848423199</v>
      </c>
      <c r="AM5">
        <v>-0.52022486848423199</v>
      </c>
      <c r="AN5">
        <v>0.47977513151576701</v>
      </c>
      <c r="AO5">
        <v>0.52022486848423199</v>
      </c>
    </row>
    <row r="6" spans="1:41" x14ac:dyDescent="0.35">
      <c r="A6">
        <v>9</v>
      </c>
      <c r="B6">
        <v>3</v>
      </c>
      <c r="C6">
        <v>12</v>
      </c>
      <c r="D6">
        <v>2</v>
      </c>
      <c r="E6">
        <v>0</v>
      </c>
      <c r="F6">
        <v>0</v>
      </c>
      <c r="G6">
        <v>0</v>
      </c>
      <c r="H6">
        <v>0</v>
      </c>
      <c r="I6">
        <v>0</v>
      </c>
      <c r="J6">
        <v>3059</v>
      </c>
      <c r="K6">
        <v>3</v>
      </c>
      <c r="L6">
        <v>3</v>
      </c>
      <c r="M6">
        <v>2</v>
      </c>
      <c r="N6">
        <v>1</v>
      </c>
      <c r="O6">
        <v>0</v>
      </c>
      <c r="P6">
        <v>0</v>
      </c>
      <c r="Q6">
        <v>0</v>
      </c>
      <c r="R6">
        <v>4</v>
      </c>
      <c r="S6">
        <v>1</v>
      </c>
      <c r="T6">
        <v>0</v>
      </c>
      <c r="U6">
        <v>61</v>
      </c>
      <c r="V6">
        <v>0</v>
      </c>
      <c r="W6">
        <v>0</v>
      </c>
      <c r="X6">
        <v>1</v>
      </c>
      <c r="Y6">
        <v>1</v>
      </c>
      <c r="Z6">
        <v>1</v>
      </c>
      <c r="AA6">
        <v>1</v>
      </c>
      <c r="AB6">
        <v>0</v>
      </c>
      <c r="AC6">
        <v>0</v>
      </c>
      <c r="AD6">
        <v>1</v>
      </c>
      <c r="AE6">
        <v>9</v>
      </c>
      <c r="AF6">
        <v>1</v>
      </c>
      <c r="AG6">
        <v>0</v>
      </c>
      <c r="AI6">
        <v>1</v>
      </c>
      <c r="AJ6">
        <v>1</v>
      </c>
      <c r="AK6">
        <v>1</v>
      </c>
      <c r="AL6">
        <v>2.5307362731830901E-2</v>
      </c>
      <c r="AM6">
        <v>-2.5307362731830901E-2</v>
      </c>
      <c r="AN6">
        <v>0.97469263726816902</v>
      </c>
      <c r="AO6">
        <v>2.5307362731830901E-2</v>
      </c>
    </row>
    <row r="7" spans="1:41" x14ac:dyDescent="0.35">
      <c r="A7">
        <v>10</v>
      </c>
      <c r="B7">
        <v>1</v>
      </c>
      <c r="C7">
        <v>30</v>
      </c>
      <c r="D7">
        <v>4</v>
      </c>
      <c r="E7">
        <v>1</v>
      </c>
      <c r="F7">
        <v>0</v>
      </c>
      <c r="G7">
        <v>0</v>
      </c>
      <c r="H7">
        <v>0</v>
      </c>
      <c r="I7">
        <v>0</v>
      </c>
      <c r="J7">
        <v>5234</v>
      </c>
      <c r="K7">
        <v>0</v>
      </c>
      <c r="L7">
        <v>0</v>
      </c>
      <c r="M7">
        <v>4</v>
      </c>
      <c r="N7">
        <v>0</v>
      </c>
      <c r="O7">
        <v>0</v>
      </c>
      <c r="P7">
        <v>1</v>
      </c>
      <c r="Q7">
        <v>0</v>
      </c>
      <c r="R7">
        <v>2</v>
      </c>
      <c r="S7">
        <v>0</v>
      </c>
      <c r="T7">
        <v>0</v>
      </c>
      <c r="U7">
        <v>28</v>
      </c>
      <c r="V7">
        <v>0</v>
      </c>
      <c r="W7">
        <v>0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>
        <v>10</v>
      </c>
      <c r="AF7">
        <v>0</v>
      </c>
      <c r="AG7">
        <v>0</v>
      </c>
      <c r="AI7">
        <v>0</v>
      </c>
      <c r="AJ7">
        <v>0</v>
      </c>
      <c r="AK7">
        <v>0</v>
      </c>
      <c r="AL7">
        <v>-0.33912175964110702</v>
      </c>
      <c r="AM7">
        <v>0.33912175964110702</v>
      </c>
      <c r="AN7">
        <v>0.33912175964110702</v>
      </c>
      <c r="AO7">
        <v>0.66087824035889298</v>
      </c>
    </row>
    <row r="8" spans="1:41" x14ac:dyDescent="0.35">
      <c r="A8">
        <v>16</v>
      </c>
      <c r="B8">
        <v>0</v>
      </c>
      <c r="C8">
        <v>24</v>
      </c>
      <c r="D8">
        <v>2</v>
      </c>
      <c r="E8">
        <v>0</v>
      </c>
      <c r="F8">
        <v>0</v>
      </c>
      <c r="G8">
        <v>0</v>
      </c>
      <c r="H8">
        <v>0</v>
      </c>
      <c r="I8">
        <v>0</v>
      </c>
      <c r="J8">
        <v>1282</v>
      </c>
      <c r="K8">
        <v>1</v>
      </c>
      <c r="L8">
        <v>2</v>
      </c>
      <c r="M8">
        <v>4</v>
      </c>
      <c r="N8">
        <v>0</v>
      </c>
      <c r="O8">
        <v>0</v>
      </c>
      <c r="P8">
        <v>0</v>
      </c>
      <c r="Q8">
        <v>0</v>
      </c>
      <c r="R8">
        <v>2</v>
      </c>
      <c r="S8">
        <v>0</v>
      </c>
      <c r="T8">
        <v>0</v>
      </c>
      <c r="U8">
        <v>32</v>
      </c>
      <c r="V8">
        <v>0</v>
      </c>
      <c r="W8">
        <v>0</v>
      </c>
      <c r="X8">
        <v>1</v>
      </c>
      <c r="Y8">
        <v>1</v>
      </c>
      <c r="Z8">
        <v>1</v>
      </c>
      <c r="AA8">
        <v>1</v>
      </c>
      <c r="AB8">
        <v>0</v>
      </c>
      <c r="AC8">
        <v>0</v>
      </c>
      <c r="AD8">
        <v>0</v>
      </c>
      <c r="AE8">
        <v>16</v>
      </c>
      <c r="AF8">
        <v>1</v>
      </c>
      <c r="AG8">
        <v>0</v>
      </c>
      <c r="AI8">
        <v>1</v>
      </c>
      <c r="AJ8">
        <v>1</v>
      </c>
      <c r="AK8">
        <v>0</v>
      </c>
      <c r="AL8">
        <v>-0.62063677467891998</v>
      </c>
      <c r="AM8">
        <v>0.62063677467891998</v>
      </c>
      <c r="AN8">
        <v>0.62063677467891998</v>
      </c>
      <c r="AO8">
        <v>0.37936322532107902</v>
      </c>
    </row>
    <row r="9" spans="1:41" x14ac:dyDescent="0.35">
      <c r="A9">
        <v>24</v>
      </c>
      <c r="B9">
        <v>1</v>
      </c>
      <c r="C9">
        <v>12</v>
      </c>
      <c r="D9">
        <v>4</v>
      </c>
      <c r="E9">
        <v>0</v>
      </c>
      <c r="F9">
        <v>1</v>
      </c>
      <c r="G9">
        <v>0</v>
      </c>
      <c r="H9">
        <v>0</v>
      </c>
      <c r="I9">
        <v>0</v>
      </c>
      <c r="J9">
        <v>1804</v>
      </c>
      <c r="K9">
        <v>1</v>
      </c>
      <c r="L9">
        <v>1</v>
      </c>
      <c r="M9">
        <v>3</v>
      </c>
      <c r="N9">
        <v>0</v>
      </c>
      <c r="O9">
        <v>1</v>
      </c>
      <c r="P9">
        <v>0</v>
      </c>
      <c r="Q9">
        <v>0</v>
      </c>
      <c r="R9">
        <v>4</v>
      </c>
      <c r="S9">
        <v>0</v>
      </c>
      <c r="T9">
        <v>0</v>
      </c>
      <c r="U9">
        <v>44</v>
      </c>
      <c r="V9">
        <v>0</v>
      </c>
      <c r="W9">
        <v>0</v>
      </c>
      <c r="X9">
        <v>1</v>
      </c>
      <c r="Y9">
        <v>1</v>
      </c>
      <c r="Z9">
        <v>2</v>
      </c>
      <c r="AA9">
        <v>1</v>
      </c>
      <c r="AB9">
        <v>0</v>
      </c>
      <c r="AC9">
        <v>0</v>
      </c>
      <c r="AD9">
        <v>1</v>
      </c>
      <c r="AE9">
        <v>24</v>
      </c>
      <c r="AF9">
        <v>0</v>
      </c>
      <c r="AG9">
        <v>0</v>
      </c>
      <c r="AI9">
        <v>1</v>
      </c>
      <c r="AJ9">
        <v>1</v>
      </c>
      <c r="AK9">
        <v>1</v>
      </c>
      <c r="AL9">
        <v>8.6030823687750099E-2</v>
      </c>
      <c r="AM9">
        <v>-8.6030823687750099E-2</v>
      </c>
      <c r="AN9">
        <v>0.91396917631224905</v>
      </c>
      <c r="AO9">
        <v>8.6030823687750099E-2</v>
      </c>
    </row>
    <row r="10" spans="1:41" x14ac:dyDescent="0.35">
      <c r="A10">
        <v>29</v>
      </c>
      <c r="B10">
        <v>1</v>
      </c>
      <c r="C10">
        <v>7</v>
      </c>
      <c r="D10">
        <v>2</v>
      </c>
      <c r="E10">
        <v>0</v>
      </c>
      <c r="F10">
        <v>0</v>
      </c>
      <c r="G10">
        <v>0</v>
      </c>
      <c r="H10">
        <v>0</v>
      </c>
      <c r="I10">
        <v>0</v>
      </c>
      <c r="J10">
        <v>2415</v>
      </c>
      <c r="K10">
        <v>0</v>
      </c>
      <c r="L10">
        <v>2</v>
      </c>
      <c r="M10">
        <v>3</v>
      </c>
      <c r="N10">
        <v>0</v>
      </c>
      <c r="O10">
        <v>1</v>
      </c>
      <c r="P10">
        <v>0</v>
      </c>
      <c r="Q10">
        <v>1</v>
      </c>
      <c r="R10">
        <v>2</v>
      </c>
      <c r="S10">
        <v>1</v>
      </c>
      <c r="T10">
        <v>0</v>
      </c>
      <c r="U10">
        <v>34</v>
      </c>
      <c r="V10">
        <v>0</v>
      </c>
      <c r="W10">
        <v>0</v>
      </c>
      <c r="X10">
        <v>1</v>
      </c>
      <c r="Y10">
        <v>1</v>
      </c>
      <c r="Z10">
        <v>2</v>
      </c>
      <c r="AA10">
        <v>1</v>
      </c>
      <c r="AB10">
        <v>0</v>
      </c>
      <c r="AC10">
        <v>0</v>
      </c>
      <c r="AD10">
        <v>1</v>
      </c>
      <c r="AE10">
        <v>29</v>
      </c>
      <c r="AF10">
        <v>1</v>
      </c>
      <c r="AG10">
        <v>0</v>
      </c>
      <c r="AI10">
        <v>1</v>
      </c>
      <c r="AJ10">
        <v>1</v>
      </c>
      <c r="AK10">
        <v>1</v>
      </c>
      <c r="AL10">
        <v>0.200674232850093</v>
      </c>
      <c r="AM10">
        <v>-0.200674232850093</v>
      </c>
      <c r="AN10">
        <v>0.799325767149906</v>
      </c>
      <c r="AO10">
        <v>0.200674232850093</v>
      </c>
    </row>
    <row r="11" spans="1:41" x14ac:dyDescent="0.35">
      <c r="A11">
        <v>33</v>
      </c>
      <c r="B11">
        <v>1</v>
      </c>
      <c r="C11">
        <v>18</v>
      </c>
      <c r="D11">
        <v>2</v>
      </c>
      <c r="E11">
        <v>1</v>
      </c>
      <c r="F11">
        <v>0</v>
      </c>
      <c r="G11">
        <v>0</v>
      </c>
      <c r="H11">
        <v>0</v>
      </c>
      <c r="I11">
        <v>0</v>
      </c>
      <c r="J11">
        <v>5866</v>
      </c>
      <c r="K11">
        <v>1</v>
      </c>
      <c r="L11">
        <v>2</v>
      </c>
      <c r="M11">
        <v>2</v>
      </c>
      <c r="N11">
        <v>0</v>
      </c>
      <c r="O11">
        <v>1</v>
      </c>
      <c r="P11">
        <v>0</v>
      </c>
      <c r="Q11">
        <v>0</v>
      </c>
      <c r="R11">
        <v>2</v>
      </c>
      <c r="S11">
        <v>0</v>
      </c>
      <c r="T11">
        <v>0</v>
      </c>
      <c r="U11">
        <v>30</v>
      </c>
      <c r="V11">
        <v>0</v>
      </c>
      <c r="W11">
        <v>0</v>
      </c>
      <c r="X11">
        <v>1</v>
      </c>
      <c r="Y11">
        <v>2</v>
      </c>
      <c r="Z11">
        <v>2</v>
      </c>
      <c r="AA11">
        <v>1</v>
      </c>
      <c r="AB11">
        <v>1</v>
      </c>
      <c r="AC11">
        <v>0</v>
      </c>
      <c r="AD11">
        <v>1</v>
      </c>
      <c r="AE11">
        <v>33</v>
      </c>
      <c r="AF11">
        <v>0</v>
      </c>
      <c r="AG11">
        <v>0</v>
      </c>
      <c r="AI11">
        <v>1</v>
      </c>
      <c r="AJ11">
        <v>1</v>
      </c>
      <c r="AK11">
        <v>1</v>
      </c>
      <c r="AL11">
        <v>0.337695199722372</v>
      </c>
      <c r="AM11">
        <v>-0.337695199722372</v>
      </c>
      <c r="AN11">
        <v>0.66230480027762695</v>
      </c>
      <c r="AO11">
        <v>0.337695199722372</v>
      </c>
    </row>
    <row r="12" spans="1:41" x14ac:dyDescent="0.35">
      <c r="A12">
        <v>34</v>
      </c>
      <c r="B12">
        <v>3</v>
      </c>
      <c r="C12">
        <v>12</v>
      </c>
      <c r="D12">
        <v>4</v>
      </c>
      <c r="E12">
        <v>0</v>
      </c>
      <c r="F12">
        <v>0</v>
      </c>
      <c r="G12">
        <v>0</v>
      </c>
      <c r="H12">
        <v>0</v>
      </c>
      <c r="I12">
        <v>1</v>
      </c>
      <c r="J12">
        <v>1264</v>
      </c>
      <c r="K12">
        <v>4</v>
      </c>
      <c r="L12">
        <v>4</v>
      </c>
      <c r="M12">
        <v>4</v>
      </c>
      <c r="N12">
        <v>0</v>
      </c>
      <c r="O12">
        <v>1</v>
      </c>
      <c r="P12">
        <v>0</v>
      </c>
      <c r="Q12">
        <v>0</v>
      </c>
      <c r="R12">
        <v>4</v>
      </c>
      <c r="S12">
        <v>0</v>
      </c>
      <c r="T12">
        <v>1</v>
      </c>
      <c r="U12">
        <v>57</v>
      </c>
      <c r="V12">
        <v>0</v>
      </c>
      <c r="W12">
        <v>1</v>
      </c>
      <c r="X12">
        <v>0</v>
      </c>
      <c r="Y12">
        <v>1</v>
      </c>
      <c r="Z12">
        <v>1</v>
      </c>
      <c r="AA12">
        <v>1</v>
      </c>
      <c r="AB12">
        <v>0</v>
      </c>
      <c r="AC12">
        <v>0</v>
      </c>
      <c r="AD12">
        <v>1</v>
      </c>
      <c r="AE12">
        <v>34</v>
      </c>
      <c r="AF12">
        <v>0</v>
      </c>
      <c r="AG12">
        <v>0</v>
      </c>
      <c r="AI12">
        <v>1</v>
      </c>
      <c r="AJ12">
        <v>1</v>
      </c>
      <c r="AK12">
        <v>1</v>
      </c>
      <c r="AL12">
        <v>2.2308702300200101E-2</v>
      </c>
      <c r="AM12">
        <v>-2.2308702300200101E-2</v>
      </c>
      <c r="AN12">
        <v>0.97769129769979901</v>
      </c>
      <c r="AO12">
        <v>2.2308702300200101E-2</v>
      </c>
    </row>
    <row r="13" spans="1:41" x14ac:dyDescent="0.35">
      <c r="A13">
        <v>39</v>
      </c>
      <c r="B13">
        <v>2</v>
      </c>
      <c r="C13">
        <v>10</v>
      </c>
      <c r="D13">
        <v>2</v>
      </c>
      <c r="E13">
        <v>0</v>
      </c>
      <c r="F13">
        <v>0</v>
      </c>
      <c r="G13">
        <v>0</v>
      </c>
      <c r="H13">
        <v>0</v>
      </c>
      <c r="I13">
        <v>0</v>
      </c>
      <c r="J13">
        <v>1225</v>
      </c>
      <c r="K13">
        <v>0</v>
      </c>
      <c r="L13">
        <v>2</v>
      </c>
      <c r="M13">
        <v>2</v>
      </c>
      <c r="N13">
        <v>0</v>
      </c>
      <c r="O13">
        <v>1</v>
      </c>
      <c r="P13">
        <v>0</v>
      </c>
      <c r="Q13">
        <v>0</v>
      </c>
      <c r="R13">
        <v>2</v>
      </c>
      <c r="S13">
        <v>0</v>
      </c>
      <c r="T13">
        <v>0</v>
      </c>
      <c r="U13">
        <v>37</v>
      </c>
      <c r="V13">
        <v>0</v>
      </c>
      <c r="W13">
        <v>0</v>
      </c>
      <c r="X13">
        <v>1</v>
      </c>
      <c r="Y13">
        <v>1</v>
      </c>
      <c r="Z13">
        <v>2</v>
      </c>
      <c r="AA13">
        <v>1</v>
      </c>
      <c r="AB13">
        <v>1</v>
      </c>
      <c r="AC13">
        <v>0</v>
      </c>
      <c r="AD13">
        <v>1</v>
      </c>
      <c r="AE13">
        <v>39</v>
      </c>
      <c r="AF13">
        <v>0</v>
      </c>
      <c r="AG13">
        <v>0</v>
      </c>
      <c r="AI13">
        <v>1</v>
      </c>
      <c r="AJ13">
        <v>1</v>
      </c>
      <c r="AK13">
        <v>1</v>
      </c>
      <c r="AL13">
        <v>0.10193199827876499</v>
      </c>
      <c r="AM13">
        <v>-0.10193199827876499</v>
      </c>
      <c r="AN13">
        <v>0.89806800172123402</v>
      </c>
      <c r="AO13">
        <v>0.10193199827876499</v>
      </c>
    </row>
    <row r="14" spans="1:41" x14ac:dyDescent="0.35">
      <c r="A14">
        <v>41</v>
      </c>
      <c r="B14">
        <v>3</v>
      </c>
      <c r="C14">
        <v>30</v>
      </c>
      <c r="D14">
        <v>2</v>
      </c>
      <c r="E14">
        <v>0</v>
      </c>
      <c r="F14">
        <v>0</v>
      </c>
      <c r="G14">
        <v>0</v>
      </c>
      <c r="H14">
        <v>0</v>
      </c>
      <c r="I14">
        <v>0</v>
      </c>
      <c r="J14">
        <v>2333</v>
      </c>
      <c r="K14">
        <v>2</v>
      </c>
      <c r="L14">
        <v>4</v>
      </c>
      <c r="M14">
        <v>4</v>
      </c>
      <c r="N14">
        <v>0</v>
      </c>
      <c r="O14">
        <v>1</v>
      </c>
      <c r="P14">
        <v>0</v>
      </c>
      <c r="Q14">
        <v>0</v>
      </c>
      <c r="R14">
        <v>2</v>
      </c>
      <c r="S14">
        <v>0</v>
      </c>
      <c r="T14">
        <v>0</v>
      </c>
      <c r="U14">
        <v>30</v>
      </c>
      <c r="V14">
        <v>1</v>
      </c>
      <c r="W14">
        <v>0</v>
      </c>
      <c r="X14">
        <v>1</v>
      </c>
      <c r="Y14">
        <v>1</v>
      </c>
      <c r="Z14">
        <v>3</v>
      </c>
      <c r="AA14">
        <v>1</v>
      </c>
      <c r="AB14">
        <v>0</v>
      </c>
      <c r="AC14">
        <v>0</v>
      </c>
      <c r="AD14">
        <v>1</v>
      </c>
      <c r="AE14">
        <v>41</v>
      </c>
      <c r="AF14">
        <v>1</v>
      </c>
      <c r="AG14">
        <v>0</v>
      </c>
      <c r="AI14">
        <v>1</v>
      </c>
      <c r="AJ14">
        <v>1</v>
      </c>
      <c r="AK14">
        <v>1</v>
      </c>
      <c r="AL14">
        <v>0.18712607695474101</v>
      </c>
      <c r="AM14">
        <v>-0.18712607695474101</v>
      </c>
      <c r="AN14">
        <v>0.81287392304525796</v>
      </c>
      <c r="AO14">
        <v>0.18712607695474101</v>
      </c>
    </row>
    <row r="15" spans="1:41" x14ac:dyDescent="0.35">
      <c r="A15">
        <v>42</v>
      </c>
      <c r="B15">
        <v>1</v>
      </c>
      <c r="C15">
        <v>12</v>
      </c>
      <c r="D15">
        <v>2</v>
      </c>
      <c r="E15">
        <v>0</v>
      </c>
      <c r="F15">
        <v>0</v>
      </c>
      <c r="G15">
        <v>0</v>
      </c>
      <c r="H15">
        <v>0</v>
      </c>
      <c r="I15">
        <v>0</v>
      </c>
      <c r="J15">
        <v>1158</v>
      </c>
      <c r="K15">
        <v>2</v>
      </c>
      <c r="L15">
        <v>2</v>
      </c>
      <c r="M15">
        <v>3</v>
      </c>
      <c r="N15">
        <v>1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26</v>
      </c>
      <c r="V15">
        <v>0</v>
      </c>
      <c r="W15">
        <v>0</v>
      </c>
      <c r="X15">
        <v>1</v>
      </c>
      <c r="Y15">
        <v>1</v>
      </c>
      <c r="Z15">
        <v>2</v>
      </c>
      <c r="AA15">
        <v>1</v>
      </c>
      <c r="AB15">
        <v>1</v>
      </c>
      <c r="AC15">
        <v>0</v>
      </c>
      <c r="AD15">
        <v>1</v>
      </c>
      <c r="AE15">
        <v>42</v>
      </c>
      <c r="AF15">
        <v>1</v>
      </c>
      <c r="AG15">
        <v>0</v>
      </c>
      <c r="AI15">
        <v>1</v>
      </c>
      <c r="AJ15">
        <v>1</v>
      </c>
      <c r="AK15">
        <v>1</v>
      </c>
      <c r="AL15">
        <v>0.27764676049923798</v>
      </c>
      <c r="AM15">
        <v>-0.27764676049923798</v>
      </c>
      <c r="AN15">
        <v>0.72235323950076102</v>
      </c>
      <c r="AO15">
        <v>0.27764676049923798</v>
      </c>
    </row>
    <row r="16" spans="1:41" x14ac:dyDescent="0.35">
      <c r="A16">
        <v>48</v>
      </c>
      <c r="B16">
        <v>0</v>
      </c>
      <c r="C16">
        <v>6</v>
      </c>
      <c r="D16">
        <v>2</v>
      </c>
      <c r="E16">
        <v>0</v>
      </c>
      <c r="F16">
        <v>1</v>
      </c>
      <c r="G16">
        <v>0</v>
      </c>
      <c r="H16">
        <v>0</v>
      </c>
      <c r="I16">
        <v>0</v>
      </c>
      <c r="J16">
        <v>1352</v>
      </c>
      <c r="K16">
        <v>2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2</v>
      </c>
      <c r="S16">
        <v>0</v>
      </c>
      <c r="T16">
        <v>0</v>
      </c>
      <c r="U16">
        <v>23</v>
      </c>
      <c r="V16">
        <v>0</v>
      </c>
      <c r="W16">
        <v>1</v>
      </c>
      <c r="X16">
        <v>0</v>
      </c>
      <c r="Y16">
        <v>1</v>
      </c>
      <c r="Z16">
        <v>0</v>
      </c>
      <c r="AA16">
        <v>1</v>
      </c>
      <c r="AB16">
        <v>1</v>
      </c>
      <c r="AC16">
        <v>0</v>
      </c>
      <c r="AD16">
        <v>1</v>
      </c>
      <c r="AE16">
        <v>48</v>
      </c>
      <c r="AF16">
        <v>0</v>
      </c>
      <c r="AG16">
        <v>0</v>
      </c>
      <c r="AI16">
        <v>1</v>
      </c>
      <c r="AJ16">
        <v>1</v>
      </c>
      <c r="AK16">
        <v>1</v>
      </c>
      <c r="AL16">
        <v>0.30652128370049597</v>
      </c>
      <c r="AM16">
        <v>-0.30652128370049597</v>
      </c>
      <c r="AN16">
        <v>0.69347871629950297</v>
      </c>
      <c r="AO16">
        <v>0.30652128370049597</v>
      </c>
    </row>
    <row r="17" spans="1:41" x14ac:dyDescent="0.35">
      <c r="A17">
        <v>50</v>
      </c>
      <c r="B17">
        <v>3</v>
      </c>
      <c r="C17">
        <v>12</v>
      </c>
      <c r="D17">
        <v>2</v>
      </c>
      <c r="E17">
        <v>0</v>
      </c>
      <c r="F17">
        <v>0</v>
      </c>
      <c r="G17">
        <v>0</v>
      </c>
      <c r="H17">
        <v>0</v>
      </c>
      <c r="I17">
        <v>0</v>
      </c>
      <c r="J17">
        <v>2073</v>
      </c>
      <c r="K17">
        <v>1</v>
      </c>
      <c r="L17">
        <v>2</v>
      </c>
      <c r="M17">
        <v>4</v>
      </c>
      <c r="N17">
        <v>0</v>
      </c>
      <c r="O17">
        <v>0</v>
      </c>
      <c r="P17">
        <v>0</v>
      </c>
      <c r="Q17">
        <v>0</v>
      </c>
      <c r="R17">
        <v>2</v>
      </c>
      <c r="S17">
        <v>1</v>
      </c>
      <c r="T17">
        <v>0</v>
      </c>
      <c r="U17">
        <v>28</v>
      </c>
      <c r="V17">
        <v>0</v>
      </c>
      <c r="W17">
        <v>0</v>
      </c>
      <c r="X17">
        <v>1</v>
      </c>
      <c r="Y17">
        <v>1</v>
      </c>
      <c r="Z17">
        <v>2</v>
      </c>
      <c r="AA17">
        <v>1</v>
      </c>
      <c r="AB17">
        <v>0</v>
      </c>
      <c r="AC17">
        <v>0</v>
      </c>
      <c r="AD17">
        <v>1</v>
      </c>
      <c r="AE17">
        <v>50</v>
      </c>
      <c r="AF17">
        <v>1</v>
      </c>
      <c r="AG17">
        <v>1</v>
      </c>
      <c r="AI17">
        <v>1</v>
      </c>
      <c r="AJ17">
        <v>1</v>
      </c>
      <c r="AK17">
        <v>1</v>
      </c>
      <c r="AL17">
        <v>7.5953556164661304E-2</v>
      </c>
      <c r="AM17">
        <v>-7.5953556164661304E-2</v>
      </c>
      <c r="AN17">
        <v>0.92404644383533796</v>
      </c>
      <c r="AO17">
        <v>7.5953556164661304E-2</v>
      </c>
    </row>
    <row r="18" spans="1:41" x14ac:dyDescent="0.35">
      <c r="A18">
        <v>52</v>
      </c>
      <c r="B18">
        <v>1</v>
      </c>
      <c r="C18">
        <v>27</v>
      </c>
      <c r="D18">
        <v>3</v>
      </c>
      <c r="E18">
        <v>0</v>
      </c>
      <c r="F18">
        <v>1</v>
      </c>
      <c r="G18">
        <v>0</v>
      </c>
      <c r="H18">
        <v>0</v>
      </c>
      <c r="I18">
        <v>0</v>
      </c>
      <c r="J18">
        <v>5965</v>
      </c>
      <c r="K18">
        <v>0</v>
      </c>
      <c r="L18">
        <v>4</v>
      </c>
      <c r="M18">
        <v>1</v>
      </c>
      <c r="N18">
        <v>0</v>
      </c>
      <c r="O18">
        <v>1</v>
      </c>
      <c r="P18">
        <v>0</v>
      </c>
      <c r="Q18">
        <v>0</v>
      </c>
      <c r="R18">
        <v>2</v>
      </c>
      <c r="S18">
        <v>0</v>
      </c>
      <c r="T18">
        <v>0</v>
      </c>
      <c r="U18">
        <v>30</v>
      </c>
      <c r="V18">
        <v>0</v>
      </c>
      <c r="W18">
        <v>0</v>
      </c>
      <c r="X18">
        <v>1</v>
      </c>
      <c r="Y18">
        <v>2</v>
      </c>
      <c r="Z18">
        <v>3</v>
      </c>
      <c r="AA18">
        <v>1</v>
      </c>
      <c r="AB18">
        <v>1</v>
      </c>
      <c r="AC18">
        <v>0</v>
      </c>
      <c r="AD18">
        <v>1</v>
      </c>
      <c r="AE18">
        <v>52</v>
      </c>
      <c r="AF18">
        <v>0</v>
      </c>
      <c r="AG18">
        <v>0</v>
      </c>
      <c r="AI18">
        <v>1</v>
      </c>
      <c r="AJ18">
        <v>1</v>
      </c>
      <c r="AK18">
        <v>1</v>
      </c>
      <c r="AL18">
        <v>0.302310299107445</v>
      </c>
      <c r="AM18">
        <v>-0.302310299107445</v>
      </c>
      <c r="AN18">
        <v>0.697689700892554</v>
      </c>
      <c r="AO18">
        <v>0.302310299107445</v>
      </c>
    </row>
    <row r="19" spans="1:41" x14ac:dyDescent="0.35">
      <c r="A19">
        <v>61</v>
      </c>
      <c r="B19">
        <v>1</v>
      </c>
      <c r="C19">
        <v>9</v>
      </c>
      <c r="D19">
        <v>2</v>
      </c>
      <c r="E19">
        <v>0</v>
      </c>
      <c r="F19">
        <v>0</v>
      </c>
      <c r="G19">
        <v>0</v>
      </c>
      <c r="H19">
        <v>0</v>
      </c>
      <c r="I19">
        <v>1</v>
      </c>
      <c r="J19">
        <v>1391</v>
      </c>
      <c r="K19">
        <v>0</v>
      </c>
      <c r="L19">
        <v>2</v>
      </c>
      <c r="M19">
        <v>2</v>
      </c>
      <c r="N19">
        <v>0</v>
      </c>
      <c r="O19">
        <v>0</v>
      </c>
      <c r="P19">
        <v>1</v>
      </c>
      <c r="Q19">
        <v>0</v>
      </c>
      <c r="R19">
        <v>1</v>
      </c>
      <c r="S19">
        <v>1</v>
      </c>
      <c r="T19">
        <v>0</v>
      </c>
      <c r="U19">
        <v>27</v>
      </c>
      <c r="V19">
        <v>1</v>
      </c>
      <c r="W19">
        <v>0</v>
      </c>
      <c r="X19">
        <v>1</v>
      </c>
      <c r="Y19">
        <v>1</v>
      </c>
      <c r="Z19">
        <v>2</v>
      </c>
      <c r="AA19">
        <v>1</v>
      </c>
      <c r="AB19">
        <v>1</v>
      </c>
      <c r="AC19">
        <v>0</v>
      </c>
      <c r="AD19">
        <v>1</v>
      </c>
      <c r="AE19">
        <v>61</v>
      </c>
      <c r="AF19">
        <v>0</v>
      </c>
      <c r="AG19">
        <v>0</v>
      </c>
      <c r="AI19">
        <v>1</v>
      </c>
      <c r="AJ19">
        <v>1</v>
      </c>
      <c r="AK19">
        <v>1</v>
      </c>
      <c r="AL19">
        <v>0.30760092161734698</v>
      </c>
      <c r="AM19">
        <v>-0.30760092161734698</v>
      </c>
      <c r="AN19">
        <v>0.69239907838265302</v>
      </c>
      <c r="AO19">
        <v>0.30760092161734698</v>
      </c>
    </row>
    <row r="20" spans="1:41" x14ac:dyDescent="0.35">
      <c r="A20">
        <v>62</v>
      </c>
      <c r="B20">
        <v>1</v>
      </c>
      <c r="C20">
        <v>15</v>
      </c>
      <c r="D20">
        <v>4</v>
      </c>
      <c r="E20">
        <v>0</v>
      </c>
      <c r="F20">
        <v>0</v>
      </c>
      <c r="G20">
        <v>0</v>
      </c>
      <c r="H20">
        <v>0</v>
      </c>
      <c r="I20">
        <v>0</v>
      </c>
      <c r="J20">
        <v>1537</v>
      </c>
      <c r="K20">
        <v>4</v>
      </c>
      <c r="L20">
        <v>4</v>
      </c>
      <c r="M20">
        <v>4</v>
      </c>
      <c r="N20">
        <v>0</v>
      </c>
      <c r="O20">
        <v>1</v>
      </c>
      <c r="P20">
        <v>0</v>
      </c>
      <c r="Q20">
        <v>1</v>
      </c>
      <c r="R20">
        <v>4</v>
      </c>
      <c r="S20">
        <v>1</v>
      </c>
      <c r="T20">
        <v>0</v>
      </c>
      <c r="U20">
        <v>50</v>
      </c>
      <c r="V20">
        <v>0</v>
      </c>
      <c r="W20">
        <v>0</v>
      </c>
      <c r="X20">
        <v>1</v>
      </c>
      <c r="Y20">
        <v>2</v>
      </c>
      <c r="Z20">
        <v>2</v>
      </c>
      <c r="AA20">
        <v>1</v>
      </c>
      <c r="AB20">
        <v>1</v>
      </c>
      <c r="AC20">
        <v>0</v>
      </c>
      <c r="AD20">
        <v>1</v>
      </c>
      <c r="AE20">
        <v>62</v>
      </c>
      <c r="AF20">
        <v>1</v>
      </c>
      <c r="AG20">
        <v>0</v>
      </c>
      <c r="AI20">
        <v>1</v>
      </c>
      <c r="AJ20">
        <v>1</v>
      </c>
      <c r="AK20">
        <v>1</v>
      </c>
      <c r="AL20">
        <v>5.8541287656796399E-2</v>
      </c>
      <c r="AM20">
        <v>-5.8541287656796399E-2</v>
      </c>
      <c r="AN20">
        <v>0.941458712343203</v>
      </c>
      <c r="AO20">
        <v>5.8541287656796399E-2</v>
      </c>
    </row>
    <row r="21" spans="1:41" x14ac:dyDescent="0.35">
      <c r="A21">
        <v>66</v>
      </c>
      <c r="B21">
        <v>3</v>
      </c>
      <c r="C21">
        <v>27</v>
      </c>
      <c r="D21">
        <v>2</v>
      </c>
      <c r="E21">
        <v>0</v>
      </c>
      <c r="F21">
        <v>0</v>
      </c>
      <c r="G21">
        <v>0</v>
      </c>
      <c r="H21">
        <v>0</v>
      </c>
      <c r="I21">
        <v>0</v>
      </c>
      <c r="J21">
        <v>5190</v>
      </c>
      <c r="K21">
        <v>4</v>
      </c>
      <c r="L21">
        <v>4</v>
      </c>
      <c r="M21">
        <v>4</v>
      </c>
      <c r="N21">
        <v>0</v>
      </c>
      <c r="O21">
        <v>1</v>
      </c>
      <c r="P21">
        <v>0</v>
      </c>
      <c r="Q21">
        <v>0</v>
      </c>
      <c r="R21">
        <v>4</v>
      </c>
      <c r="S21">
        <v>0</v>
      </c>
      <c r="T21">
        <v>0</v>
      </c>
      <c r="U21">
        <v>48</v>
      </c>
      <c r="V21">
        <v>0</v>
      </c>
      <c r="W21">
        <v>0</v>
      </c>
      <c r="X21">
        <v>1</v>
      </c>
      <c r="Y21">
        <v>4</v>
      </c>
      <c r="Z21">
        <v>2</v>
      </c>
      <c r="AA21">
        <v>2</v>
      </c>
      <c r="AB21">
        <v>1</v>
      </c>
      <c r="AC21">
        <v>0</v>
      </c>
      <c r="AD21">
        <v>1</v>
      </c>
      <c r="AE21">
        <v>66</v>
      </c>
      <c r="AF21">
        <v>0</v>
      </c>
      <c r="AG21">
        <v>0</v>
      </c>
      <c r="AI21">
        <v>1</v>
      </c>
      <c r="AJ21">
        <v>1</v>
      </c>
      <c r="AK21">
        <v>1</v>
      </c>
      <c r="AL21">
        <v>4.6938137948105502E-2</v>
      </c>
      <c r="AM21">
        <v>-4.6938137948105502E-2</v>
      </c>
      <c r="AN21">
        <v>0.95306186205189403</v>
      </c>
      <c r="AO21">
        <v>4.6938137948105502E-2</v>
      </c>
    </row>
    <row r="22" spans="1:41" x14ac:dyDescent="0.35">
      <c r="A22">
        <v>67</v>
      </c>
      <c r="B22">
        <v>3</v>
      </c>
      <c r="C22">
        <v>12</v>
      </c>
      <c r="D22">
        <v>2</v>
      </c>
      <c r="E22">
        <v>0</v>
      </c>
      <c r="F22">
        <v>0</v>
      </c>
      <c r="G22">
        <v>0</v>
      </c>
      <c r="H22">
        <v>0</v>
      </c>
      <c r="I22">
        <v>0</v>
      </c>
      <c r="J22">
        <v>2171</v>
      </c>
      <c r="K22">
        <v>0</v>
      </c>
      <c r="L22">
        <v>1</v>
      </c>
      <c r="M22">
        <v>2</v>
      </c>
      <c r="N22">
        <v>0</v>
      </c>
      <c r="O22">
        <v>0</v>
      </c>
      <c r="P22">
        <v>0</v>
      </c>
      <c r="Q22">
        <v>0</v>
      </c>
      <c r="R22">
        <v>2</v>
      </c>
      <c r="S22">
        <v>0</v>
      </c>
      <c r="T22">
        <v>0</v>
      </c>
      <c r="U22">
        <v>29</v>
      </c>
      <c r="V22">
        <v>1</v>
      </c>
      <c r="W22">
        <v>0</v>
      </c>
      <c r="X22">
        <v>1</v>
      </c>
      <c r="Y22">
        <v>1</v>
      </c>
      <c r="Z22">
        <v>2</v>
      </c>
      <c r="AA22">
        <v>1</v>
      </c>
      <c r="AB22">
        <v>0</v>
      </c>
      <c r="AC22">
        <v>0</v>
      </c>
      <c r="AD22">
        <v>1</v>
      </c>
      <c r="AE22">
        <v>67</v>
      </c>
      <c r="AF22">
        <v>1</v>
      </c>
      <c r="AG22">
        <v>0</v>
      </c>
      <c r="AI22">
        <v>1</v>
      </c>
      <c r="AJ22">
        <v>1</v>
      </c>
      <c r="AK22">
        <v>1</v>
      </c>
      <c r="AL22">
        <v>0.10894881032845501</v>
      </c>
      <c r="AM22">
        <v>-0.10894881032845501</v>
      </c>
      <c r="AN22">
        <v>0.89105118967154395</v>
      </c>
      <c r="AO22">
        <v>0.10894881032845501</v>
      </c>
    </row>
    <row r="23" spans="1:41" x14ac:dyDescent="0.35">
      <c r="A23">
        <v>68</v>
      </c>
      <c r="B23">
        <v>1</v>
      </c>
      <c r="C23">
        <v>12</v>
      </c>
      <c r="D23">
        <v>2</v>
      </c>
      <c r="E23">
        <v>1</v>
      </c>
      <c r="F23">
        <v>0</v>
      </c>
      <c r="G23">
        <v>0</v>
      </c>
      <c r="H23">
        <v>0</v>
      </c>
      <c r="I23">
        <v>0</v>
      </c>
      <c r="J23">
        <v>1007</v>
      </c>
      <c r="K23">
        <v>3</v>
      </c>
      <c r="L23">
        <v>2</v>
      </c>
      <c r="M23">
        <v>4</v>
      </c>
      <c r="N23">
        <v>0</v>
      </c>
      <c r="O23">
        <v>0</v>
      </c>
      <c r="P23">
        <v>1</v>
      </c>
      <c r="Q23">
        <v>0</v>
      </c>
      <c r="R23">
        <v>1</v>
      </c>
      <c r="S23">
        <v>1</v>
      </c>
      <c r="T23">
        <v>0</v>
      </c>
      <c r="U23">
        <v>22</v>
      </c>
      <c r="V23">
        <v>0</v>
      </c>
      <c r="W23">
        <v>0</v>
      </c>
      <c r="X23">
        <v>1</v>
      </c>
      <c r="Y23">
        <v>1</v>
      </c>
      <c r="Z23">
        <v>2</v>
      </c>
      <c r="AA23">
        <v>1</v>
      </c>
      <c r="AB23">
        <v>0</v>
      </c>
      <c r="AC23">
        <v>0</v>
      </c>
      <c r="AD23">
        <v>1</v>
      </c>
      <c r="AE23">
        <v>68</v>
      </c>
      <c r="AF23">
        <v>0</v>
      </c>
      <c r="AG23">
        <v>0</v>
      </c>
      <c r="AI23">
        <v>1</v>
      </c>
      <c r="AJ23">
        <v>1</v>
      </c>
      <c r="AK23">
        <v>1</v>
      </c>
      <c r="AL23">
        <v>0.28890560950901201</v>
      </c>
      <c r="AM23">
        <v>-0.28890560950901201</v>
      </c>
      <c r="AN23">
        <v>0.71109439049098699</v>
      </c>
      <c r="AO23">
        <v>0.28890560950901201</v>
      </c>
    </row>
    <row r="24" spans="1:41" x14ac:dyDescent="0.35">
      <c r="A24">
        <v>69</v>
      </c>
      <c r="B24">
        <v>3</v>
      </c>
      <c r="C24">
        <v>36</v>
      </c>
      <c r="D24">
        <v>2</v>
      </c>
      <c r="E24">
        <v>0</v>
      </c>
      <c r="F24">
        <v>0</v>
      </c>
      <c r="G24">
        <v>0</v>
      </c>
      <c r="H24">
        <v>1</v>
      </c>
      <c r="I24">
        <v>0</v>
      </c>
      <c r="J24">
        <v>1819</v>
      </c>
      <c r="K24">
        <v>0</v>
      </c>
      <c r="L24">
        <v>2</v>
      </c>
      <c r="M24">
        <v>4</v>
      </c>
      <c r="N24">
        <v>0</v>
      </c>
      <c r="O24">
        <v>1</v>
      </c>
      <c r="P24">
        <v>0</v>
      </c>
      <c r="Q24">
        <v>0</v>
      </c>
      <c r="R24">
        <v>4</v>
      </c>
      <c r="S24">
        <v>0</v>
      </c>
      <c r="T24">
        <v>1</v>
      </c>
      <c r="U24">
        <v>37</v>
      </c>
      <c r="V24">
        <v>1</v>
      </c>
      <c r="W24">
        <v>0</v>
      </c>
      <c r="X24">
        <v>0</v>
      </c>
      <c r="Y24">
        <v>1</v>
      </c>
      <c r="Z24">
        <v>2</v>
      </c>
      <c r="AA24">
        <v>1</v>
      </c>
      <c r="AB24">
        <v>1</v>
      </c>
      <c r="AC24">
        <v>0</v>
      </c>
      <c r="AD24">
        <v>0</v>
      </c>
      <c r="AE24">
        <v>69</v>
      </c>
      <c r="AF24">
        <v>0</v>
      </c>
      <c r="AG24">
        <v>0</v>
      </c>
      <c r="AI24">
        <v>1</v>
      </c>
      <c r="AJ24">
        <v>1</v>
      </c>
      <c r="AK24">
        <v>0</v>
      </c>
      <c r="AL24">
        <v>-0.56593007200054102</v>
      </c>
      <c r="AM24">
        <v>0.56593007200054102</v>
      </c>
      <c r="AN24">
        <v>0.56593007200054102</v>
      </c>
      <c r="AO24">
        <v>0.43406992799945798</v>
      </c>
    </row>
    <row r="25" spans="1:41" x14ac:dyDescent="0.35">
      <c r="A25">
        <v>77</v>
      </c>
      <c r="B25">
        <v>0</v>
      </c>
      <c r="C25">
        <v>42</v>
      </c>
      <c r="D25">
        <v>2</v>
      </c>
      <c r="E25">
        <v>0</v>
      </c>
      <c r="F25">
        <v>0</v>
      </c>
      <c r="G25">
        <v>0</v>
      </c>
      <c r="H25">
        <v>0</v>
      </c>
      <c r="I25">
        <v>0</v>
      </c>
      <c r="J25">
        <v>3965</v>
      </c>
      <c r="K25">
        <v>0</v>
      </c>
      <c r="L25">
        <v>1</v>
      </c>
      <c r="M25">
        <v>4</v>
      </c>
      <c r="N25">
        <v>0</v>
      </c>
      <c r="O25">
        <v>1</v>
      </c>
      <c r="P25">
        <v>0</v>
      </c>
      <c r="Q25">
        <v>0</v>
      </c>
      <c r="R25">
        <v>3</v>
      </c>
      <c r="S25">
        <v>0</v>
      </c>
      <c r="T25">
        <v>0</v>
      </c>
      <c r="U25">
        <v>34</v>
      </c>
      <c r="V25">
        <v>0</v>
      </c>
      <c r="W25">
        <v>0</v>
      </c>
      <c r="X25">
        <v>1</v>
      </c>
      <c r="Y25">
        <v>1</v>
      </c>
      <c r="Z25">
        <v>2</v>
      </c>
      <c r="AA25">
        <v>1</v>
      </c>
      <c r="AB25">
        <v>0</v>
      </c>
      <c r="AC25">
        <v>0</v>
      </c>
      <c r="AD25">
        <v>0</v>
      </c>
      <c r="AE25">
        <v>77</v>
      </c>
      <c r="AF25">
        <v>1</v>
      </c>
      <c r="AG25">
        <v>0</v>
      </c>
      <c r="AI25">
        <v>0</v>
      </c>
      <c r="AJ25">
        <v>0</v>
      </c>
      <c r="AK25">
        <v>0</v>
      </c>
      <c r="AL25">
        <v>-0.41987345550010202</v>
      </c>
      <c r="AM25">
        <v>0.41987345550010202</v>
      </c>
      <c r="AN25">
        <v>0.41987345550010202</v>
      </c>
      <c r="AO25">
        <v>0.58012654449989698</v>
      </c>
    </row>
    <row r="26" spans="1:41" x14ac:dyDescent="0.35">
      <c r="A26">
        <v>79</v>
      </c>
      <c r="B26">
        <v>3</v>
      </c>
      <c r="C26">
        <v>54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9436</v>
      </c>
      <c r="K26">
        <v>4</v>
      </c>
      <c r="L26">
        <v>2</v>
      </c>
      <c r="M26">
        <v>2</v>
      </c>
      <c r="N26">
        <v>0</v>
      </c>
      <c r="O26">
        <v>1</v>
      </c>
      <c r="P26">
        <v>0</v>
      </c>
      <c r="Q26">
        <v>0</v>
      </c>
      <c r="R26">
        <v>2</v>
      </c>
      <c r="S26">
        <v>0</v>
      </c>
      <c r="T26">
        <v>0</v>
      </c>
      <c r="U26">
        <v>39</v>
      </c>
      <c r="V26">
        <v>0</v>
      </c>
      <c r="W26">
        <v>0</v>
      </c>
      <c r="X26">
        <v>1</v>
      </c>
      <c r="Y26">
        <v>1</v>
      </c>
      <c r="Z26">
        <v>1</v>
      </c>
      <c r="AA26">
        <v>2</v>
      </c>
      <c r="AB26">
        <v>0</v>
      </c>
      <c r="AC26">
        <v>0</v>
      </c>
      <c r="AD26">
        <v>1</v>
      </c>
      <c r="AE26">
        <v>79</v>
      </c>
      <c r="AF26">
        <v>0</v>
      </c>
      <c r="AG26">
        <v>0</v>
      </c>
      <c r="AI26">
        <v>1</v>
      </c>
      <c r="AJ26">
        <v>1</v>
      </c>
      <c r="AK26">
        <v>1</v>
      </c>
      <c r="AL26">
        <v>0.16831069849691799</v>
      </c>
      <c r="AM26">
        <v>-0.16831069849691799</v>
      </c>
      <c r="AN26">
        <v>0.83168930150308096</v>
      </c>
      <c r="AO26">
        <v>0.16831069849691799</v>
      </c>
    </row>
    <row r="27" spans="1:41" x14ac:dyDescent="0.35">
      <c r="A27">
        <v>83</v>
      </c>
      <c r="B27">
        <v>3</v>
      </c>
      <c r="C27">
        <v>18</v>
      </c>
      <c r="D27">
        <v>2</v>
      </c>
      <c r="E27">
        <v>0</v>
      </c>
      <c r="F27">
        <v>0</v>
      </c>
      <c r="G27">
        <v>0</v>
      </c>
      <c r="H27">
        <v>0</v>
      </c>
      <c r="I27">
        <v>1</v>
      </c>
      <c r="J27">
        <v>1568</v>
      </c>
      <c r="K27">
        <v>1</v>
      </c>
      <c r="L27">
        <v>2</v>
      </c>
      <c r="M27">
        <v>3</v>
      </c>
      <c r="N27">
        <v>0</v>
      </c>
      <c r="O27">
        <v>0</v>
      </c>
      <c r="P27">
        <v>0</v>
      </c>
      <c r="Q27">
        <v>0</v>
      </c>
      <c r="R27">
        <v>4</v>
      </c>
      <c r="S27">
        <v>0</v>
      </c>
      <c r="T27">
        <v>0</v>
      </c>
      <c r="U27">
        <v>24</v>
      </c>
      <c r="V27">
        <v>0</v>
      </c>
      <c r="W27">
        <v>1</v>
      </c>
      <c r="X27">
        <v>0</v>
      </c>
      <c r="Y27">
        <v>1</v>
      </c>
      <c r="Z27">
        <v>1</v>
      </c>
      <c r="AA27">
        <v>1</v>
      </c>
      <c r="AB27">
        <v>0</v>
      </c>
      <c r="AC27">
        <v>0</v>
      </c>
      <c r="AD27">
        <v>1</v>
      </c>
      <c r="AE27">
        <v>83</v>
      </c>
      <c r="AF27">
        <v>0</v>
      </c>
      <c r="AG27">
        <v>0</v>
      </c>
      <c r="AI27">
        <v>1</v>
      </c>
      <c r="AJ27">
        <v>1</v>
      </c>
      <c r="AK27">
        <v>1</v>
      </c>
      <c r="AL27">
        <v>0.10185533197473901</v>
      </c>
      <c r="AM27">
        <v>-0.10185533197473901</v>
      </c>
      <c r="AN27">
        <v>0.89814466802526005</v>
      </c>
      <c r="AO27">
        <v>0.10185533197473901</v>
      </c>
    </row>
    <row r="28" spans="1:41" x14ac:dyDescent="0.35">
      <c r="A28">
        <v>85</v>
      </c>
      <c r="B28">
        <v>0</v>
      </c>
      <c r="C28">
        <v>10</v>
      </c>
      <c r="D28">
        <v>2</v>
      </c>
      <c r="E28">
        <v>0</v>
      </c>
      <c r="F28">
        <v>0</v>
      </c>
      <c r="G28">
        <v>0</v>
      </c>
      <c r="H28">
        <v>0</v>
      </c>
      <c r="I28">
        <v>0</v>
      </c>
      <c r="J28">
        <v>2315</v>
      </c>
      <c r="K28">
        <v>0</v>
      </c>
      <c r="L28">
        <v>4</v>
      </c>
      <c r="M28">
        <v>3</v>
      </c>
      <c r="N28">
        <v>0</v>
      </c>
      <c r="O28">
        <v>1</v>
      </c>
      <c r="P28">
        <v>0</v>
      </c>
      <c r="Q28">
        <v>0</v>
      </c>
      <c r="R28">
        <v>4</v>
      </c>
      <c r="S28">
        <v>1</v>
      </c>
      <c r="T28">
        <v>0</v>
      </c>
      <c r="U28">
        <v>52</v>
      </c>
      <c r="V28">
        <v>0</v>
      </c>
      <c r="W28">
        <v>0</v>
      </c>
      <c r="X28">
        <v>1</v>
      </c>
      <c r="Y28">
        <v>1</v>
      </c>
      <c r="Z28">
        <v>1</v>
      </c>
      <c r="AA28">
        <v>1</v>
      </c>
      <c r="AB28">
        <v>0</v>
      </c>
      <c r="AC28">
        <v>0</v>
      </c>
      <c r="AD28">
        <v>1</v>
      </c>
      <c r="AE28">
        <v>85</v>
      </c>
      <c r="AF28">
        <v>1</v>
      </c>
      <c r="AG28">
        <v>0</v>
      </c>
      <c r="AI28">
        <v>1</v>
      </c>
      <c r="AJ28">
        <v>1</v>
      </c>
      <c r="AK28">
        <v>1</v>
      </c>
      <c r="AL28">
        <v>0.27512036553154001</v>
      </c>
      <c r="AM28">
        <v>-0.27512036553154001</v>
      </c>
      <c r="AN28">
        <v>0.72487963446845904</v>
      </c>
      <c r="AO28">
        <v>0.27512036553154001</v>
      </c>
    </row>
    <row r="29" spans="1:41" x14ac:dyDescent="0.35">
      <c r="A29">
        <v>88</v>
      </c>
      <c r="B29">
        <v>1</v>
      </c>
      <c r="C29">
        <v>36</v>
      </c>
      <c r="D29">
        <v>2</v>
      </c>
      <c r="E29">
        <v>0</v>
      </c>
      <c r="F29">
        <v>0</v>
      </c>
      <c r="G29">
        <v>0</v>
      </c>
      <c r="H29">
        <v>1</v>
      </c>
      <c r="I29">
        <v>0</v>
      </c>
      <c r="J29">
        <v>12612</v>
      </c>
      <c r="K29">
        <v>1</v>
      </c>
      <c r="L29">
        <v>2</v>
      </c>
      <c r="M29">
        <v>1</v>
      </c>
      <c r="N29">
        <v>0</v>
      </c>
      <c r="O29">
        <v>1</v>
      </c>
      <c r="P29">
        <v>0</v>
      </c>
      <c r="Q29">
        <v>0</v>
      </c>
      <c r="R29">
        <v>4</v>
      </c>
      <c r="S29">
        <v>0</v>
      </c>
      <c r="T29">
        <v>1</v>
      </c>
      <c r="U29">
        <v>47</v>
      </c>
      <c r="V29">
        <v>0</v>
      </c>
      <c r="W29">
        <v>0</v>
      </c>
      <c r="X29">
        <v>0</v>
      </c>
      <c r="Y29">
        <v>1</v>
      </c>
      <c r="Z29">
        <v>2</v>
      </c>
      <c r="AA29">
        <v>2</v>
      </c>
      <c r="AB29">
        <v>1</v>
      </c>
      <c r="AC29">
        <v>0</v>
      </c>
      <c r="AD29">
        <v>0</v>
      </c>
      <c r="AE29">
        <v>88</v>
      </c>
      <c r="AF29">
        <v>0</v>
      </c>
      <c r="AG29">
        <v>0</v>
      </c>
      <c r="AI29">
        <v>0</v>
      </c>
      <c r="AJ29">
        <v>0</v>
      </c>
      <c r="AK29">
        <v>0</v>
      </c>
      <c r="AL29">
        <v>-0.39242686829567403</v>
      </c>
      <c r="AM29">
        <v>0.39242686829567403</v>
      </c>
      <c r="AN29">
        <v>0.39242686829567403</v>
      </c>
      <c r="AO29">
        <v>0.60757313170432503</v>
      </c>
    </row>
    <row r="30" spans="1:41" x14ac:dyDescent="0.35">
      <c r="A30">
        <v>89</v>
      </c>
      <c r="B30">
        <v>0</v>
      </c>
      <c r="C30">
        <v>18</v>
      </c>
      <c r="D30">
        <v>2</v>
      </c>
      <c r="E30">
        <v>1</v>
      </c>
      <c r="F30">
        <v>0</v>
      </c>
      <c r="G30">
        <v>0</v>
      </c>
      <c r="H30">
        <v>0</v>
      </c>
      <c r="I30">
        <v>0</v>
      </c>
      <c r="J30">
        <v>2249</v>
      </c>
      <c r="K30">
        <v>1</v>
      </c>
      <c r="L30">
        <v>3</v>
      </c>
      <c r="M30">
        <v>4</v>
      </c>
      <c r="N30">
        <v>0</v>
      </c>
      <c r="O30">
        <v>1</v>
      </c>
      <c r="P30">
        <v>0</v>
      </c>
      <c r="Q30">
        <v>0</v>
      </c>
      <c r="R30">
        <v>3</v>
      </c>
      <c r="S30">
        <v>0</v>
      </c>
      <c r="T30">
        <v>0</v>
      </c>
      <c r="U30">
        <v>30</v>
      </c>
      <c r="V30">
        <v>0</v>
      </c>
      <c r="W30">
        <v>0</v>
      </c>
      <c r="X30">
        <v>1</v>
      </c>
      <c r="Y30">
        <v>1</v>
      </c>
      <c r="Z30">
        <v>3</v>
      </c>
      <c r="AA30">
        <v>2</v>
      </c>
      <c r="AB30">
        <v>1</v>
      </c>
      <c r="AC30">
        <v>0</v>
      </c>
      <c r="AD30">
        <v>1</v>
      </c>
      <c r="AE30">
        <v>89</v>
      </c>
      <c r="AF30">
        <v>0</v>
      </c>
      <c r="AG30">
        <v>0</v>
      </c>
      <c r="AI30">
        <v>1</v>
      </c>
      <c r="AJ30">
        <v>1</v>
      </c>
      <c r="AK30">
        <v>1</v>
      </c>
      <c r="AL30">
        <v>0.47618440937133899</v>
      </c>
      <c r="AM30">
        <v>-0.47618440937133899</v>
      </c>
      <c r="AN30">
        <v>0.52381559062866001</v>
      </c>
      <c r="AO30">
        <v>0.47618440937133899</v>
      </c>
    </row>
    <row r="31" spans="1:41" x14ac:dyDescent="0.35">
      <c r="A31">
        <v>93</v>
      </c>
      <c r="B31">
        <v>3</v>
      </c>
      <c r="C31">
        <v>12</v>
      </c>
      <c r="D31">
        <v>4</v>
      </c>
      <c r="E31">
        <v>0</v>
      </c>
      <c r="F31">
        <v>0</v>
      </c>
      <c r="G31">
        <v>0</v>
      </c>
      <c r="H31">
        <v>0</v>
      </c>
      <c r="I31">
        <v>0</v>
      </c>
      <c r="J31">
        <v>797</v>
      </c>
      <c r="K31">
        <v>4</v>
      </c>
      <c r="L31">
        <v>4</v>
      </c>
      <c r="M31">
        <v>4</v>
      </c>
      <c r="N31">
        <v>0</v>
      </c>
      <c r="O31">
        <v>0</v>
      </c>
      <c r="P31">
        <v>0</v>
      </c>
      <c r="Q31">
        <v>0</v>
      </c>
      <c r="R31">
        <v>3</v>
      </c>
      <c r="S31">
        <v>0</v>
      </c>
      <c r="T31">
        <v>0</v>
      </c>
      <c r="U31">
        <v>33</v>
      </c>
      <c r="V31">
        <v>1</v>
      </c>
      <c r="W31">
        <v>0</v>
      </c>
      <c r="X31">
        <v>1</v>
      </c>
      <c r="Y31">
        <v>1</v>
      </c>
      <c r="Z31">
        <v>1</v>
      </c>
      <c r="AA31">
        <v>2</v>
      </c>
      <c r="AB31">
        <v>0</v>
      </c>
      <c r="AC31">
        <v>0</v>
      </c>
      <c r="AD31">
        <v>0</v>
      </c>
      <c r="AE31">
        <v>93</v>
      </c>
      <c r="AF31">
        <v>1</v>
      </c>
      <c r="AG31">
        <v>0</v>
      </c>
      <c r="AI31">
        <v>1</v>
      </c>
      <c r="AJ31">
        <v>1</v>
      </c>
      <c r="AK31">
        <v>0</v>
      </c>
      <c r="AL31">
        <v>-0.96856223817587495</v>
      </c>
      <c r="AM31">
        <v>0.96856223817587495</v>
      </c>
      <c r="AN31">
        <v>0.96856223817587495</v>
      </c>
      <c r="AO31">
        <v>3.1437761824124798E-2</v>
      </c>
    </row>
    <row r="32" spans="1:41" x14ac:dyDescent="0.35">
      <c r="A32">
        <v>96</v>
      </c>
      <c r="B32">
        <v>1</v>
      </c>
      <c r="C32">
        <v>54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v>15945</v>
      </c>
      <c r="K32">
        <v>0</v>
      </c>
      <c r="L32">
        <v>1</v>
      </c>
      <c r="M32">
        <v>3</v>
      </c>
      <c r="N32">
        <v>0</v>
      </c>
      <c r="O32">
        <v>1</v>
      </c>
      <c r="P32">
        <v>0</v>
      </c>
      <c r="Q32">
        <v>0</v>
      </c>
      <c r="R32">
        <v>4</v>
      </c>
      <c r="S32">
        <v>0</v>
      </c>
      <c r="T32">
        <v>1</v>
      </c>
      <c r="U32">
        <v>58</v>
      </c>
      <c r="V32">
        <v>0</v>
      </c>
      <c r="W32">
        <v>1</v>
      </c>
      <c r="X32">
        <v>0</v>
      </c>
      <c r="Y32">
        <v>1</v>
      </c>
      <c r="Z32">
        <v>2</v>
      </c>
      <c r="AA32">
        <v>1</v>
      </c>
      <c r="AB32">
        <v>1</v>
      </c>
      <c r="AC32">
        <v>0</v>
      </c>
      <c r="AD32">
        <v>0</v>
      </c>
      <c r="AE32">
        <v>96</v>
      </c>
      <c r="AF32">
        <v>0</v>
      </c>
      <c r="AG32">
        <v>0</v>
      </c>
      <c r="AI32">
        <v>0</v>
      </c>
      <c r="AJ32">
        <v>0</v>
      </c>
      <c r="AK32">
        <v>0</v>
      </c>
      <c r="AL32">
        <v>-5.8058182079605197E-2</v>
      </c>
      <c r="AM32">
        <v>5.8058182079605197E-2</v>
      </c>
      <c r="AN32">
        <v>5.8058182079605197E-2</v>
      </c>
      <c r="AO32">
        <v>0.941941817920394</v>
      </c>
    </row>
    <row r="33" spans="1:41" x14ac:dyDescent="0.35">
      <c r="A33">
        <v>97</v>
      </c>
      <c r="B33">
        <v>3</v>
      </c>
      <c r="C33">
        <v>12</v>
      </c>
      <c r="D33">
        <v>4</v>
      </c>
      <c r="E33">
        <v>0</v>
      </c>
      <c r="F33">
        <v>0</v>
      </c>
      <c r="G33">
        <v>0</v>
      </c>
      <c r="H33">
        <v>1</v>
      </c>
      <c r="I33">
        <v>0</v>
      </c>
      <c r="J33">
        <v>2012</v>
      </c>
      <c r="K33">
        <v>4</v>
      </c>
      <c r="L33">
        <v>3</v>
      </c>
      <c r="M33">
        <v>4</v>
      </c>
      <c r="N33">
        <v>0</v>
      </c>
      <c r="O33">
        <v>0</v>
      </c>
      <c r="P33">
        <v>0</v>
      </c>
      <c r="Q33">
        <v>0</v>
      </c>
      <c r="R33">
        <v>2</v>
      </c>
      <c r="S33">
        <v>0</v>
      </c>
      <c r="T33">
        <v>0</v>
      </c>
      <c r="U33">
        <v>61</v>
      </c>
      <c r="V33">
        <v>0</v>
      </c>
      <c r="W33">
        <v>0</v>
      </c>
      <c r="X33">
        <v>1</v>
      </c>
      <c r="Y33">
        <v>1</v>
      </c>
      <c r="Z33">
        <v>2</v>
      </c>
      <c r="AA33">
        <v>1</v>
      </c>
      <c r="AB33">
        <v>0</v>
      </c>
      <c r="AC33">
        <v>0</v>
      </c>
      <c r="AD33">
        <v>1</v>
      </c>
      <c r="AE33">
        <v>97</v>
      </c>
      <c r="AF33">
        <v>0</v>
      </c>
      <c r="AG33">
        <v>0</v>
      </c>
      <c r="AI33">
        <v>1</v>
      </c>
      <c r="AJ33">
        <v>1</v>
      </c>
      <c r="AK33">
        <v>1</v>
      </c>
      <c r="AL33">
        <v>6.3910719494208901E-2</v>
      </c>
      <c r="AM33">
        <v>-6.3910719494208901E-2</v>
      </c>
      <c r="AN33">
        <v>0.93608928050579099</v>
      </c>
      <c r="AO33">
        <v>6.3910719494208901E-2</v>
      </c>
    </row>
    <row r="34" spans="1:41" x14ac:dyDescent="0.35">
      <c r="A34">
        <v>98</v>
      </c>
      <c r="B34">
        <v>1</v>
      </c>
      <c r="C34">
        <v>18</v>
      </c>
      <c r="D34">
        <v>2</v>
      </c>
      <c r="E34">
        <v>0</v>
      </c>
      <c r="F34">
        <v>0</v>
      </c>
      <c r="G34">
        <v>0</v>
      </c>
      <c r="H34">
        <v>0</v>
      </c>
      <c r="I34">
        <v>1</v>
      </c>
      <c r="J34">
        <v>2622</v>
      </c>
      <c r="K34">
        <v>1</v>
      </c>
      <c r="L34">
        <v>2</v>
      </c>
      <c r="M34">
        <v>4</v>
      </c>
      <c r="N34">
        <v>0</v>
      </c>
      <c r="O34">
        <v>1</v>
      </c>
      <c r="P34">
        <v>0</v>
      </c>
      <c r="Q34">
        <v>0</v>
      </c>
      <c r="R34">
        <v>4</v>
      </c>
      <c r="S34">
        <v>0</v>
      </c>
      <c r="T34">
        <v>0</v>
      </c>
      <c r="U34">
        <v>34</v>
      </c>
      <c r="V34">
        <v>0</v>
      </c>
      <c r="W34">
        <v>0</v>
      </c>
      <c r="X34">
        <v>1</v>
      </c>
      <c r="Y34">
        <v>1</v>
      </c>
      <c r="Z34">
        <v>2</v>
      </c>
      <c r="AA34">
        <v>1</v>
      </c>
      <c r="AB34">
        <v>0</v>
      </c>
      <c r="AC34">
        <v>0</v>
      </c>
      <c r="AD34">
        <v>1</v>
      </c>
      <c r="AE34">
        <v>98</v>
      </c>
      <c r="AF34">
        <v>0</v>
      </c>
      <c r="AG34">
        <v>0</v>
      </c>
      <c r="AI34">
        <v>1</v>
      </c>
      <c r="AJ34">
        <v>1</v>
      </c>
      <c r="AK34">
        <v>1</v>
      </c>
      <c r="AL34">
        <v>0.21512088383451</v>
      </c>
      <c r="AM34">
        <v>-0.21512088383451</v>
      </c>
      <c r="AN34">
        <v>0.784879116165489</v>
      </c>
      <c r="AO34">
        <v>0.21512088383451</v>
      </c>
    </row>
    <row r="35" spans="1:41" x14ac:dyDescent="0.35">
      <c r="A35">
        <v>104</v>
      </c>
      <c r="B35">
        <v>1</v>
      </c>
      <c r="C35">
        <v>9</v>
      </c>
      <c r="D35">
        <v>4</v>
      </c>
      <c r="E35">
        <v>0</v>
      </c>
      <c r="F35">
        <v>0</v>
      </c>
      <c r="G35">
        <v>1</v>
      </c>
      <c r="H35">
        <v>0</v>
      </c>
      <c r="I35">
        <v>0</v>
      </c>
      <c r="J35">
        <v>1919</v>
      </c>
      <c r="K35">
        <v>0</v>
      </c>
      <c r="L35">
        <v>3</v>
      </c>
      <c r="M35">
        <v>4</v>
      </c>
      <c r="N35">
        <v>0</v>
      </c>
      <c r="O35">
        <v>1</v>
      </c>
      <c r="P35">
        <v>0</v>
      </c>
      <c r="Q35">
        <v>0</v>
      </c>
      <c r="R35">
        <v>3</v>
      </c>
      <c r="S35">
        <v>0</v>
      </c>
      <c r="T35">
        <v>0</v>
      </c>
      <c r="U35">
        <v>35</v>
      </c>
      <c r="V35">
        <v>0</v>
      </c>
      <c r="W35">
        <v>1</v>
      </c>
      <c r="X35">
        <v>0</v>
      </c>
      <c r="Y35">
        <v>1</v>
      </c>
      <c r="Z35">
        <v>2</v>
      </c>
      <c r="AA35">
        <v>1</v>
      </c>
      <c r="AB35">
        <v>1</v>
      </c>
      <c r="AC35">
        <v>0</v>
      </c>
      <c r="AD35">
        <v>1</v>
      </c>
      <c r="AE35">
        <v>104</v>
      </c>
      <c r="AF35">
        <v>0</v>
      </c>
      <c r="AG35">
        <v>0</v>
      </c>
      <c r="AI35">
        <v>1</v>
      </c>
      <c r="AJ35">
        <v>1</v>
      </c>
      <c r="AK35">
        <v>1</v>
      </c>
      <c r="AL35">
        <v>0.26498208286465302</v>
      </c>
      <c r="AM35">
        <v>-0.26498208286465302</v>
      </c>
      <c r="AN35">
        <v>0.73501791713534603</v>
      </c>
      <c r="AO35">
        <v>0.26498208286465302</v>
      </c>
    </row>
    <row r="36" spans="1:41" x14ac:dyDescent="0.35">
      <c r="A36">
        <v>105</v>
      </c>
      <c r="B36">
        <v>3</v>
      </c>
      <c r="C36">
        <v>12</v>
      </c>
      <c r="D36">
        <v>2</v>
      </c>
      <c r="E36">
        <v>0</v>
      </c>
      <c r="F36">
        <v>1</v>
      </c>
      <c r="G36">
        <v>0</v>
      </c>
      <c r="H36">
        <v>0</v>
      </c>
      <c r="I36">
        <v>0</v>
      </c>
      <c r="J36">
        <v>2445</v>
      </c>
      <c r="K36">
        <v>4</v>
      </c>
      <c r="L36">
        <v>1</v>
      </c>
      <c r="M36">
        <v>2</v>
      </c>
      <c r="N36">
        <v>0</v>
      </c>
      <c r="O36">
        <v>0</v>
      </c>
      <c r="P36">
        <v>1</v>
      </c>
      <c r="Q36">
        <v>0</v>
      </c>
      <c r="R36">
        <v>4</v>
      </c>
      <c r="S36">
        <v>0</v>
      </c>
      <c r="T36">
        <v>0</v>
      </c>
      <c r="U36">
        <v>26</v>
      </c>
      <c r="V36">
        <v>0</v>
      </c>
      <c r="W36">
        <v>1</v>
      </c>
      <c r="X36">
        <v>0</v>
      </c>
      <c r="Y36">
        <v>1</v>
      </c>
      <c r="Z36">
        <v>2</v>
      </c>
      <c r="AA36">
        <v>1</v>
      </c>
      <c r="AB36">
        <v>1</v>
      </c>
      <c r="AC36">
        <v>0</v>
      </c>
      <c r="AD36">
        <v>1</v>
      </c>
      <c r="AE36">
        <v>105</v>
      </c>
      <c r="AF36">
        <v>0</v>
      </c>
      <c r="AG36">
        <v>0</v>
      </c>
      <c r="AI36">
        <v>1</v>
      </c>
      <c r="AJ36">
        <v>1</v>
      </c>
      <c r="AK36">
        <v>1</v>
      </c>
      <c r="AL36">
        <v>3.4813755194556602E-2</v>
      </c>
      <c r="AM36">
        <v>-3.4813755194556602E-2</v>
      </c>
      <c r="AN36">
        <v>0.96518624480544302</v>
      </c>
      <c r="AO36">
        <v>3.4813755194556602E-2</v>
      </c>
    </row>
    <row r="37" spans="1:41" x14ac:dyDescent="0.35">
      <c r="A37">
        <v>111</v>
      </c>
      <c r="B37">
        <v>1</v>
      </c>
      <c r="C37">
        <v>6</v>
      </c>
      <c r="D37">
        <v>3</v>
      </c>
      <c r="E37">
        <v>0</v>
      </c>
      <c r="F37">
        <v>0</v>
      </c>
      <c r="G37">
        <v>0</v>
      </c>
      <c r="H37">
        <v>0</v>
      </c>
      <c r="I37">
        <v>1</v>
      </c>
      <c r="J37">
        <v>1449</v>
      </c>
      <c r="K37">
        <v>1</v>
      </c>
      <c r="L37">
        <v>4</v>
      </c>
      <c r="M37">
        <v>1</v>
      </c>
      <c r="N37">
        <v>1</v>
      </c>
      <c r="O37">
        <v>0</v>
      </c>
      <c r="P37">
        <v>0</v>
      </c>
      <c r="Q37">
        <v>0</v>
      </c>
      <c r="R37">
        <v>2</v>
      </c>
      <c r="S37">
        <v>0</v>
      </c>
      <c r="T37">
        <v>0</v>
      </c>
      <c r="U37">
        <v>31</v>
      </c>
      <c r="V37">
        <v>1</v>
      </c>
      <c r="W37">
        <v>0</v>
      </c>
      <c r="X37">
        <v>1</v>
      </c>
      <c r="Y37">
        <v>2</v>
      </c>
      <c r="Z37">
        <v>2</v>
      </c>
      <c r="AA37">
        <v>2</v>
      </c>
      <c r="AB37">
        <v>0</v>
      </c>
      <c r="AC37">
        <v>0</v>
      </c>
      <c r="AD37">
        <v>1</v>
      </c>
      <c r="AE37">
        <v>111</v>
      </c>
      <c r="AF37">
        <v>0</v>
      </c>
      <c r="AG37">
        <v>0</v>
      </c>
      <c r="AI37">
        <v>1</v>
      </c>
      <c r="AJ37">
        <v>1</v>
      </c>
      <c r="AK37">
        <v>1</v>
      </c>
      <c r="AL37">
        <v>0.19261643078903401</v>
      </c>
      <c r="AM37">
        <v>-0.19261643078903401</v>
      </c>
      <c r="AN37">
        <v>0.80738356921096599</v>
      </c>
      <c r="AO37">
        <v>0.19261643078903401</v>
      </c>
    </row>
    <row r="38" spans="1:41" x14ac:dyDescent="0.35">
      <c r="A38">
        <v>112</v>
      </c>
      <c r="B38">
        <v>2</v>
      </c>
      <c r="C38">
        <v>15</v>
      </c>
      <c r="D38">
        <v>2</v>
      </c>
      <c r="E38">
        <v>0</v>
      </c>
      <c r="F38">
        <v>0</v>
      </c>
      <c r="G38">
        <v>0</v>
      </c>
      <c r="H38">
        <v>1</v>
      </c>
      <c r="I38">
        <v>0</v>
      </c>
      <c r="J38">
        <v>392</v>
      </c>
      <c r="K38">
        <v>0</v>
      </c>
      <c r="L38">
        <v>1</v>
      </c>
      <c r="M38">
        <v>4</v>
      </c>
      <c r="N38">
        <v>0</v>
      </c>
      <c r="O38">
        <v>0</v>
      </c>
      <c r="P38">
        <v>0</v>
      </c>
      <c r="Q38">
        <v>0</v>
      </c>
      <c r="R38">
        <v>4</v>
      </c>
      <c r="S38">
        <v>0</v>
      </c>
      <c r="T38">
        <v>0</v>
      </c>
      <c r="U38">
        <v>23</v>
      </c>
      <c r="V38">
        <v>0</v>
      </c>
      <c r="W38">
        <v>1</v>
      </c>
      <c r="X38">
        <v>0</v>
      </c>
      <c r="Y38">
        <v>1</v>
      </c>
      <c r="Z38">
        <v>2</v>
      </c>
      <c r="AA38">
        <v>1</v>
      </c>
      <c r="AB38">
        <v>1</v>
      </c>
      <c r="AC38">
        <v>0</v>
      </c>
      <c r="AD38">
        <v>1</v>
      </c>
      <c r="AE38">
        <v>112</v>
      </c>
      <c r="AF38">
        <v>0</v>
      </c>
      <c r="AG38">
        <v>0</v>
      </c>
      <c r="AI38">
        <v>0</v>
      </c>
      <c r="AJ38">
        <v>0</v>
      </c>
      <c r="AK38">
        <v>1</v>
      </c>
      <c r="AL38">
        <v>0.64876100539581405</v>
      </c>
      <c r="AM38">
        <v>-0.64876100539581405</v>
      </c>
      <c r="AN38">
        <v>0.35123899460418501</v>
      </c>
      <c r="AO38">
        <v>0.64876100539581405</v>
      </c>
    </row>
    <row r="39" spans="1:41" x14ac:dyDescent="0.35">
      <c r="A39">
        <v>117</v>
      </c>
      <c r="B39">
        <v>0</v>
      </c>
      <c r="C39">
        <v>42</v>
      </c>
      <c r="D39">
        <v>2</v>
      </c>
      <c r="E39">
        <v>0</v>
      </c>
      <c r="F39">
        <v>0</v>
      </c>
      <c r="G39">
        <v>0</v>
      </c>
      <c r="H39">
        <v>0</v>
      </c>
      <c r="I39">
        <v>0</v>
      </c>
      <c r="J39">
        <v>7174</v>
      </c>
      <c r="K39">
        <v>4</v>
      </c>
      <c r="L39">
        <v>3</v>
      </c>
      <c r="M39">
        <v>4</v>
      </c>
      <c r="N39">
        <v>0</v>
      </c>
      <c r="O39">
        <v>0</v>
      </c>
      <c r="P39">
        <v>0</v>
      </c>
      <c r="Q39">
        <v>0</v>
      </c>
      <c r="R39">
        <v>3</v>
      </c>
      <c r="S39">
        <v>0</v>
      </c>
      <c r="T39">
        <v>0</v>
      </c>
      <c r="U39">
        <v>30</v>
      </c>
      <c r="V39">
        <v>0</v>
      </c>
      <c r="W39">
        <v>0</v>
      </c>
      <c r="X39">
        <v>1</v>
      </c>
      <c r="Y39">
        <v>1</v>
      </c>
      <c r="Z39">
        <v>3</v>
      </c>
      <c r="AA39">
        <v>1</v>
      </c>
      <c r="AB39">
        <v>1</v>
      </c>
      <c r="AC39">
        <v>0</v>
      </c>
      <c r="AD39">
        <v>0</v>
      </c>
      <c r="AE39">
        <v>117</v>
      </c>
      <c r="AF39">
        <v>1</v>
      </c>
      <c r="AG39">
        <v>0</v>
      </c>
      <c r="AI39">
        <v>1</v>
      </c>
      <c r="AJ39">
        <v>1</v>
      </c>
      <c r="AK39">
        <v>0</v>
      </c>
      <c r="AL39">
        <v>-0.53824933618138704</v>
      </c>
      <c r="AM39">
        <v>0.53824933618138704</v>
      </c>
      <c r="AN39">
        <v>0.53824933618138704</v>
      </c>
      <c r="AO39">
        <v>0.46175066381861202</v>
      </c>
    </row>
    <row r="40" spans="1:41" x14ac:dyDescent="0.35">
      <c r="A40">
        <v>122</v>
      </c>
      <c r="B40">
        <v>3</v>
      </c>
      <c r="C40">
        <v>24</v>
      </c>
      <c r="D40">
        <v>4</v>
      </c>
      <c r="E40">
        <v>0</v>
      </c>
      <c r="F40">
        <v>1</v>
      </c>
      <c r="G40">
        <v>0</v>
      </c>
      <c r="H40">
        <v>0</v>
      </c>
      <c r="I40">
        <v>0</v>
      </c>
      <c r="J40">
        <v>3868</v>
      </c>
      <c r="K40">
        <v>0</v>
      </c>
      <c r="L40">
        <v>4</v>
      </c>
      <c r="M40">
        <v>4</v>
      </c>
      <c r="N40">
        <v>0</v>
      </c>
      <c r="O40">
        <v>0</v>
      </c>
      <c r="P40">
        <v>0</v>
      </c>
      <c r="Q40">
        <v>0</v>
      </c>
      <c r="R40">
        <v>2</v>
      </c>
      <c r="S40">
        <v>0</v>
      </c>
      <c r="T40">
        <v>0</v>
      </c>
      <c r="U40">
        <v>41</v>
      </c>
      <c r="V40">
        <v>0</v>
      </c>
      <c r="W40">
        <v>1</v>
      </c>
      <c r="X40">
        <v>0</v>
      </c>
      <c r="Y40">
        <v>2</v>
      </c>
      <c r="Z40">
        <v>3</v>
      </c>
      <c r="AA40">
        <v>1</v>
      </c>
      <c r="AB40">
        <v>1</v>
      </c>
      <c r="AC40">
        <v>0</v>
      </c>
      <c r="AD40">
        <v>1</v>
      </c>
      <c r="AE40">
        <v>122</v>
      </c>
      <c r="AF40">
        <v>0</v>
      </c>
      <c r="AG40">
        <v>0</v>
      </c>
      <c r="AI40">
        <v>1</v>
      </c>
      <c r="AJ40">
        <v>1</v>
      </c>
      <c r="AK40">
        <v>1</v>
      </c>
      <c r="AL40">
        <v>0.19393069696253001</v>
      </c>
      <c r="AM40">
        <v>-0.19393069696253001</v>
      </c>
      <c r="AN40">
        <v>0.80606930303746904</v>
      </c>
      <c r="AO40">
        <v>0.19393069696253001</v>
      </c>
    </row>
    <row r="41" spans="1:41" x14ac:dyDescent="0.35">
      <c r="A41">
        <v>123</v>
      </c>
      <c r="B41">
        <v>3</v>
      </c>
      <c r="C41">
        <v>12</v>
      </c>
      <c r="D41">
        <v>2</v>
      </c>
      <c r="E41">
        <v>0</v>
      </c>
      <c r="F41">
        <v>0</v>
      </c>
      <c r="G41">
        <v>1</v>
      </c>
      <c r="H41">
        <v>0</v>
      </c>
      <c r="I41">
        <v>0</v>
      </c>
      <c r="J41">
        <v>1768</v>
      </c>
      <c r="K41">
        <v>0</v>
      </c>
      <c r="L41">
        <v>2</v>
      </c>
      <c r="M41">
        <v>3</v>
      </c>
      <c r="N41">
        <v>0</v>
      </c>
      <c r="O41">
        <v>1</v>
      </c>
      <c r="P41">
        <v>0</v>
      </c>
      <c r="Q41">
        <v>0</v>
      </c>
      <c r="R41">
        <v>2</v>
      </c>
      <c r="S41">
        <v>1</v>
      </c>
      <c r="T41">
        <v>0</v>
      </c>
      <c r="U41">
        <v>24</v>
      </c>
      <c r="V41">
        <v>0</v>
      </c>
      <c r="W41">
        <v>1</v>
      </c>
      <c r="X41">
        <v>0</v>
      </c>
      <c r="Y41">
        <v>1</v>
      </c>
      <c r="Z41">
        <v>1</v>
      </c>
      <c r="AA41">
        <v>1</v>
      </c>
      <c r="AB41">
        <v>0</v>
      </c>
      <c r="AC41">
        <v>0</v>
      </c>
      <c r="AD41">
        <v>1</v>
      </c>
      <c r="AE41">
        <v>123</v>
      </c>
      <c r="AF41">
        <v>0</v>
      </c>
      <c r="AG41">
        <v>0</v>
      </c>
      <c r="AI41">
        <v>1</v>
      </c>
      <c r="AJ41">
        <v>1</v>
      </c>
      <c r="AK41">
        <v>1</v>
      </c>
      <c r="AL41">
        <v>9.6865210123594697E-2</v>
      </c>
      <c r="AM41">
        <v>-9.6865210123594697E-2</v>
      </c>
      <c r="AN41">
        <v>0.90313478987640505</v>
      </c>
      <c r="AO41">
        <v>9.6865210123594697E-2</v>
      </c>
    </row>
    <row r="42" spans="1:41" x14ac:dyDescent="0.35">
      <c r="A42">
        <v>126</v>
      </c>
      <c r="B42">
        <v>0</v>
      </c>
      <c r="C42">
        <v>12</v>
      </c>
      <c r="D42">
        <v>4</v>
      </c>
      <c r="E42">
        <v>1</v>
      </c>
      <c r="F42">
        <v>0</v>
      </c>
      <c r="G42">
        <v>0</v>
      </c>
      <c r="H42">
        <v>0</v>
      </c>
      <c r="I42">
        <v>0</v>
      </c>
      <c r="J42">
        <v>2121</v>
      </c>
      <c r="K42">
        <v>0</v>
      </c>
      <c r="L42">
        <v>2</v>
      </c>
      <c r="M42">
        <v>4</v>
      </c>
      <c r="N42">
        <v>0</v>
      </c>
      <c r="O42">
        <v>1</v>
      </c>
      <c r="P42">
        <v>0</v>
      </c>
      <c r="Q42">
        <v>0</v>
      </c>
      <c r="R42">
        <v>2</v>
      </c>
      <c r="S42">
        <v>0</v>
      </c>
      <c r="T42">
        <v>0</v>
      </c>
      <c r="U42">
        <v>30</v>
      </c>
      <c r="V42">
        <v>0</v>
      </c>
      <c r="W42">
        <v>0</v>
      </c>
      <c r="X42">
        <v>1</v>
      </c>
      <c r="Y42">
        <v>2</v>
      </c>
      <c r="Z42">
        <v>2</v>
      </c>
      <c r="AA42">
        <v>1</v>
      </c>
      <c r="AB42">
        <v>0</v>
      </c>
      <c r="AC42">
        <v>0</v>
      </c>
      <c r="AD42">
        <v>1</v>
      </c>
      <c r="AE42">
        <v>126</v>
      </c>
      <c r="AF42">
        <v>0</v>
      </c>
      <c r="AG42">
        <v>0</v>
      </c>
      <c r="AI42">
        <v>1</v>
      </c>
      <c r="AJ42">
        <v>1</v>
      </c>
      <c r="AK42">
        <v>1</v>
      </c>
      <c r="AL42">
        <v>0.44100064941657402</v>
      </c>
      <c r="AM42">
        <v>-0.44100064941657402</v>
      </c>
      <c r="AN42">
        <v>0.55899935058342598</v>
      </c>
      <c r="AO42">
        <v>0.44100064941657402</v>
      </c>
    </row>
    <row r="43" spans="1:41" x14ac:dyDescent="0.35">
      <c r="A43">
        <v>128</v>
      </c>
      <c r="B43">
        <v>1</v>
      </c>
      <c r="C43">
        <v>12</v>
      </c>
      <c r="D43">
        <v>2</v>
      </c>
      <c r="E43">
        <v>0</v>
      </c>
      <c r="F43">
        <v>0</v>
      </c>
      <c r="G43">
        <v>0</v>
      </c>
      <c r="H43">
        <v>0</v>
      </c>
      <c r="I43">
        <v>0</v>
      </c>
      <c r="J43">
        <v>639</v>
      </c>
      <c r="K43">
        <v>0</v>
      </c>
      <c r="L43">
        <v>2</v>
      </c>
      <c r="M43">
        <v>4</v>
      </c>
      <c r="N43">
        <v>0</v>
      </c>
      <c r="O43">
        <v>1</v>
      </c>
      <c r="P43">
        <v>0</v>
      </c>
      <c r="Q43">
        <v>0</v>
      </c>
      <c r="R43">
        <v>2</v>
      </c>
      <c r="S43">
        <v>0</v>
      </c>
      <c r="T43">
        <v>0</v>
      </c>
      <c r="U43">
        <v>30</v>
      </c>
      <c r="V43">
        <v>0</v>
      </c>
      <c r="W43">
        <v>0</v>
      </c>
      <c r="X43">
        <v>1</v>
      </c>
      <c r="Y43">
        <v>1</v>
      </c>
      <c r="Z43">
        <v>2</v>
      </c>
      <c r="AA43">
        <v>1</v>
      </c>
      <c r="AB43">
        <v>0</v>
      </c>
      <c r="AC43">
        <v>0</v>
      </c>
      <c r="AD43">
        <v>0</v>
      </c>
      <c r="AE43">
        <v>128</v>
      </c>
      <c r="AF43">
        <v>0</v>
      </c>
      <c r="AG43">
        <v>0</v>
      </c>
      <c r="AI43">
        <v>1</v>
      </c>
      <c r="AJ43">
        <v>1</v>
      </c>
      <c r="AK43">
        <v>0</v>
      </c>
      <c r="AL43">
        <v>-0.75824532803488898</v>
      </c>
      <c r="AM43">
        <v>0.75824532803488898</v>
      </c>
      <c r="AN43">
        <v>0.75824532803488898</v>
      </c>
      <c r="AO43">
        <v>0.24175467196511</v>
      </c>
    </row>
    <row r="44" spans="1:41" x14ac:dyDescent="0.35">
      <c r="A44">
        <v>132</v>
      </c>
      <c r="B44">
        <v>0</v>
      </c>
      <c r="C44">
        <v>36</v>
      </c>
      <c r="D44">
        <v>3</v>
      </c>
      <c r="E44">
        <v>0</v>
      </c>
      <c r="F44">
        <v>0</v>
      </c>
      <c r="G44">
        <v>0</v>
      </c>
      <c r="H44">
        <v>1</v>
      </c>
      <c r="I44">
        <v>0</v>
      </c>
      <c r="J44">
        <v>6887</v>
      </c>
      <c r="K44">
        <v>0</v>
      </c>
      <c r="L44">
        <v>2</v>
      </c>
      <c r="M44">
        <v>4</v>
      </c>
      <c r="N44">
        <v>0</v>
      </c>
      <c r="O44">
        <v>1</v>
      </c>
      <c r="P44">
        <v>0</v>
      </c>
      <c r="Q44">
        <v>0</v>
      </c>
      <c r="R44">
        <v>3</v>
      </c>
      <c r="S44">
        <v>0</v>
      </c>
      <c r="T44">
        <v>0</v>
      </c>
      <c r="U44">
        <v>29</v>
      </c>
      <c r="V44">
        <v>1</v>
      </c>
      <c r="W44">
        <v>0</v>
      </c>
      <c r="X44">
        <v>1</v>
      </c>
      <c r="Y44">
        <v>1</v>
      </c>
      <c r="Z44">
        <v>2</v>
      </c>
      <c r="AA44">
        <v>1</v>
      </c>
      <c r="AB44">
        <v>1</v>
      </c>
      <c r="AC44">
        <v>0</v>
      </c>
      <c r="AD44">
        <v>0</v>
      </c>
      <c r="AE44">
        <v>132</v>
      </c>
      <c r="AF44">
        <v>0</v>
      </c>
      <c r="AG44">
        <v>0</v>
      </c>
      <c r="AI44">
        <v>0</v>
      </c>
      <c r="AJ44">
        <v>0</v>
      </c>
      <c r="AK44">
        <v>0</v>
      </c>
      <c r="AL44">
        <v>-8.2001577364124403E-2</v>
      </c>
      <c r="AM44">
        <v>8.20015773641245E-2</v>
      </c>
      <c r="AN44">
        <v>8.2001577364124403E-2</v>
      </c>
      <c r="AO44">
        <v>0.91799842263587506</v>
      </c>
    </row>
    <row r="45" spans="1:41" x14ac:dyDescent="0.35">
      <c r="A45">
        <v>134</v>
      </c>
      <c r="B45">
        <v>3</v>
      </c>
      <c r="C45">
        <v>18</v>
      </c>
      <c r="D45">
        <v>2</v>
      </c>
      <c r="E45">
        <v>0</v>
      </c>
      <c r="F45">
        <v>0</v>
      </c>
      <c r="G45">
        <v>1</v>
      </c>
      <c r="H45">
        <v>0</v>
      </c>
      <c r="I45">
        <v>0</v>
      </c>
      <c r="J45">
        <v>1984</v>
      </c>
      <c r="K45">
        <v>0</v>
      </c>
      <c r="L45">
        <v>2</v>
      </c>
      <c r="M45">
        <v>4</v>
      </c>
      <c r="N45">
        <v>0</v>
      </c>
      <c r="O45">
        <v>1</v>
      </c>
      <c r="P45">
        <v>0</v>
      </c>
      <c r="Q45">
        <v>0</v>
      </c>
      <c r="R45">
        <v>4</v>
      </c>
      <c r="S45">
        <v>0</v>
      </c>
      <c r="T45">
        <v>1</v>
      </c>
      <c r="U45">
        <v>47</v>
      </c>
      <c r="V45">
        <v>1</v>
      </c>
      <c r="W45">
        <v>0</v>
      </c>
      <c r="X45">
        <v>0</v>
      </c>
      <c r="Y45">
        <v>2</v>
      </c>
      <c r="Z45">
        <v>2</v>
      </c>
      <c r="AA45">
        <v>1</v>
      </c>
      <c r="AB45">
        <v>0</v>
      </c>
      <c r="AC45">
        <v>0</v>
      </c>
      <c r="AD45">
        <v>1</v>
      </c>
      <c r="AE45">
        <v>134</v>
      </c>
      <c r="AF45">
        <v>0</v>
      </c>
      <c r="AG45">
        <v>0</v>
      </c>
      <c r="AI45">
        <v>1</v>
      </c>
      <c r="AJ45">
        <v>1</v>
      </c>
      <c r="AK45">
        <v>1</v>
      </c>
      <c r="AL45">
        <v>0.14283018449010201</v>
      </c>
      <c r="AM45">
        <v>-0.14283018449010201</v>
      </c>
      <c r="AN45">
        <v>0.85716981550989702</v>
      </c>
      <c r="AO45">
        <v>0.14283018449010201</v>
      </c>
    </row>
    <row r="46" spans="1:41" x14ac:dyDescent="0.35">
      <c r="A46">
        <v>139</v>
      </c>
      <c r="B46">
        <v>1</v>
      </c>
      <c r="C46">
        <v>15</v>
      </c>
      <c r="D46">
        <v>4</v>
      </c>
      <c r="E46">
        <v>0</v>
      </c>
      <c r="F46">
        <v>0</v>
      </c>
      <c r="G46">
        <v>0</v>
      </c>
      <c r="H46">
        <v>0</v>
      </c>
      <c r="I46">
        <v>0</v>
      </c>
      <c r="J46">
        <v>2728</v>
      </c>
      <c r="K46">
        <v>4</v>
      </c>
      <c r="L46">
        <v>3</v>
      </c>
      <c r="M46">
        <v>4</v>
      </c>
      <c r="N46">
        <v>0</v>
      </c>
      <c r="O46">
        <v>1</v>
      </c>
      <c r="P46">
        <v>0</v>
      </c>
      <c r="Q46">
        <v>1</v>
      </c>
      <c r="R46">
        <v>2</v>
      </c>
      <c r="S46">
        <v>1</v>
      </c>
      <c r="T46">
        <v>0</v>
      </c>
      <c r="U46">
        <v>35</v>
      </c>
      <c r="V46">
        <v>1</v>
      </c>
      <c r="W46">
        <v>0</v>
      </c>
      <c r="X46">
        <v>1</v>
      </c>
      <c r="Y46">
        <v>3</v>
      </c>
      <c r="Z46">
        <v>2</v>
      </c>
      <c r="AA46">
        <v>1</v>
      </c>
      <c r="AB46">
        <v>1</v>
      </c>
      <c r="AC46">
        <v>0</v>
      </c>
      <c r="AD46">
        <v>1</v>
      </c>
      <c r="AE46">
        <v>139</v>
      </c>
      <c r="AF46">
        <v>1</v>
      </c>
      <c r="AG46">
        <v>0</v>
      </c>
      <c r="AI46">
        <v>1</v>
      </c>
      <c r="AJ46">
        <v>1</v>
      </c>
      <c r="AK46">
        <v>1</v>
      </c>
      <c r="AL46">
        <v>0.105504154728223</v>
      </c>
      <c r="AM46">
        <v>-0.105504154728223</v>
      </c>
      <c r="AN46">
        <v>0.89449584527177595</v>
      </c>
      <c r="AO46">
        <v>0.105504154728223</v>
      </c>
    </row>
    <row r="47" spans="1:41" x14ac:dyDescent="0.35">
      <c r="A47">
        <v>141</v>
      </c>
      <c r="B47">
        <v>2</v>
      </c>
      <c r="C47">
        <v>6</v>
      </c>
      <c r="D47">
        <v>2</v>
      </c>
      <c r="E47">
        <v>1</v>
      </c>
      <c r="F47">
        <v>0</v>
      </c>
      <c r="G47">
        <v>0</v>
      </c>
      <c r="H47">
        <v>0</v>
      </c>
      <c r="I47">
        <v>0</v>
      </c>
      <c r="J47">
        <v>709</v>
      </c>
      <c r="K47">
        <v>3</v>
      </c>
      <c r="L47">
        <v>1</v>
      </c>
      <c r="M47">
        <v>2</v>
      </c>
      <c r="N47">
        <v>0</v>
      </c>
      <c r="O47">
        <v>0</v>
      </c>
      <c r="P47">
        <v>1</v>
      </c>
      <c r="Q47">
        <v>0</v>
      </c>
      <c r="R47">
        <v>2</v>
      </c>
      <c r="S47">
        <v>1</v>
      </c>
      <c r="T47">
        <v>0</v>
      </c>
      <c r="U47">
        <v>27</v>
      </c>
      <c r="V47">
        <v>0</v>
      </c>
      <c r="W47">
        <v>0</v>
      </c>
      <c r="X47">
        <v>1</v>
      </c>
      <c r="Y47">
        <v>1</v>
      </c>
      <c r="Z47">
        <v>0</v>
      </c>
      <c r="AA47">
        <v>1</v>
      </c>
      <c r="AB47">
        <v>0</v>
      </c>
      <c r="AC47">
        <v>1</v>
      </c>
      <c r="AD47">
        <v>1</v>
      </c>
      <c r="AE47">
        <v>141</v>
      </c>
      <c r="AF47">
        <v>0</v>
      </c>
      <c r="AG47">
        <v>0</v>
      </c>
      <c r="AI47">
        <v>1</v>
      </c>
      <c r="AJ47">
        <v>1</v>
      </c>
      <c r="AK47">
        <v>1</v>
      </c>
      <c r="AL47">
        <v>2.7704944777931999E-2</v>
      </c>
      <c r="AM47">
        <v>-2.7704944777931999E-2</v>
      </c>
      <c r="AN47">
        <v>0.97229505522206705</v>
      </c>
      <c r="AO47">
        <v>2.7704944777931999E-2</v>
      </c>
    </row>
    <row r="48" spans="1:41" x14ac:dyDescent="0.35">
      <c r="A48">
        <v>142</v>
      </c>
      <c r="B48">
        <v>1</v>
      </c>
      <c r="C48">
        <v>36</v>
      </c>
      <c r="D48">
        <v>2</v>
      </c>
      <c r="E48">
        <v>0</v>
      </c>
      <c r="F48">
        <v>0</v>
      </c>
      <c r="G48">
        <v>0</v>
      </c>
      <c r="H48">
        <v>0</v>
      </c>
      <c r="I48">
        <v>0</v>
      </c>
      <c r="J48">
        <v>4795</v>
      </c>
      <c r="K48">
        <v>0</v>
      </c>
      <c r="L48">
        <v>1</v>
      </c>
      <c r="M48">
        <v>4</v>
      </c>
      <c r="N48">
        <v>0</v>
      </c>
      <c r="O48">
        <v>0</v>
      </c>
      <c r="P48">
        <v>0</v>
      </c>
      <c r="Q48">
        <v>0</v>
      </c>
      <c r="R48">
        <v>1</v>
      </c>
      <c r="S48">
        <v>0</v>
      </c>
      <c r="T48">
        <v>1</v>
      </c>
      <c r="U48">
        <v>30</v>
      </c>
      <c r="V48">
        <v>0</v>
      </c>
      <c r="W48">
        <v>0</v>
      </c>
      <c r="X48">
        <v>1</v>
      </c>
      <c r="Y48">
        <v>1</v>
      </c>
      <c r="Z48">
        <v>3</v>
      </c>
      <c r="AA48">
        <v>1</v>
      </c>
      <c r="AB48">
        <v>1</v>
      </c>
      <c r="AC48">
        <v>0</v>
      </c>
      <c r="AD48">
        <v>1</v>
      </c>
      <c r="AE48">
        <v>142</v>
      </c>
      <c r="AF48">
        <v>1</v>
      </c>
      <c r="AG48">
        <v>0</v>
      </c>
      <c r="AI48">
        <v>0</v>
      </c>
      <c r="AJ48">
        <v>0</v>
      </c>
      <c r="AK48">
        <v>1</v>
      </c>
      <c r="AL48">
        <v>0.59370887854284404</v>
      </c>
      <c r="AM48">
        <v>-0.59370887854284404</v>
      </c>
      <c r="AN48">
        <v>0.40629112145715501</v>
      </c>
      <c r="AO48">
        <v>0.59370887854284404</v>
      </c>
    </row>
    <row r="49" spans="1:41" x14ac:dyDescent="0.35">
      <c r="A49">
        <v>145</v>
      </c>
      <c r="B49">
        <v>3</v>
      </c>
      <c r="C49">
        <v>21</v>
      </c>
      <c r="D49">
        <v>4</v>
      </c>
      <c r="E49">
        <v>0</v>
      </c>
      <c r="F49">
        <v>0</v>
      </c>
      <c r="G49">
        <v>1</v>
      </c>
      <c r="H49">
        <v>0</v>
      </c>
      <c r="I49">
        <v>0</v>
      </c>
      <c r="J49">
        <v>2288</v>
      </c>
      <c r="K49">
        <v>0</v>
      </c>
      <c r="L49">
        <v>1</v>
      </c>
      <c r="M49">
        <v>4</v>
      </c>
      <c r="N49">
        <v>0</v>
      </c>
      <c r="O49">
        <v>0</v>
      </c>
      <c r="P49">
        <v>0</v>
      </c>
      <c r="Q49">
        <v>0</v>
      </c>
      <c r="R49">
        <v>4</v>
      </c>
      <c r="S49">
        <v>0</v>
      </c>
      <c r="T49">
        <v>0</v>
      </c>
      <c r="U49">
        <v>23</v>
      </c>
      <c r="V49">
        <v>0</v>
      </c>
      <c r="W49">
        <v>0</v>
      </c>
      <c r="X49">
        <v>1</v>
      </c>
      <c r="Y49">
        <v>1</v>
      </c>
      <c r="Z49">
        <v>2</v>
      </c>
      <c r="AA49">
        <v>1</v>
      </c>
      <c r="AB49">
        <v>1</v>
      </c>
      <c r="AC49">
        <v>0</v>
      </c>
      <c r="AD49">
        <v>1</v>
      </c>
      <c r="AE49">
        <v>145</v>
      </c>
      <c r="AF49">
        <v>0</v>
      </c>
      <c r="AG49">
        <v>0</v>
      </c>
      <c r="AI49">
        <v>1</v>
      </c>
      <c r="AJ49">
        <v>1</v>
      </c>
      <c r="AK49">
        <v>1</v>
      </c>
      <c r="AL49">
        <v>9.66468404854674E-2</v>
      </c>
      <c r="AM49">
        <v>-9.66468404854674E-2</v>
      </c>
      <c r="AN49">
        <v>0.90335315951453199</v>
      </c>
      <c r="AO49">
        <v>9.66468404854674E-2</v>
      </c>
    </row>
    <row r="50" spans="1:41" x14ac:dyDescent="0.35">
      <c r="A50">
        <v>146</v>
      </c>
      <c r="B50">
        <v>1</v>
      </c>
      <c r="C50">
        <v>48</v>
      </c>
      <c r="D50">
        <v>1</v>
      </c>
      <c r="E50">
        <v>0</v>
      </c>
      <c r="F50">
        <v>0</v>
      </c>
      <c r="G50">
        <v>0</v>
      </c>
      <c r="H50">
        <v>0</v>
      </c>
      <c r="I50">
        <v>1</v>
      </c>
      <c r="J50">
        <v>3566</v>
      </c>
      <c r="K50">
        <v>1</v>
      </c>
      <c r="L50">
        <v>3</v>
      </c>
      <c r="M50">
        <v>4</v>
      </c>
      <c r="N50">
        <v>0</v>
      </c>
      <c r="O50">
        <v>1</v>
      </c>
      <c r="P50">
        <v>0</v>
      </c>
      <c r="Q50">
        <v>0</v>
      </c>
      <c r="R50">
        <v>2</v>
      </c>
      <c r="S50">
        <v>0</v>
      </c>
      <c r="T50">
        <v>0</v>
      </c>
      <c r="U50">
        <v>30</v>
      </c>
      <c r="V50">
        <v>0</v>
      </c>
      <c r="W50">
        <v>0</v>
      </c>
      <c r="X50">
        <v>1</v>
      </c>
      <c r="Y50">
        <v>1</v>
      </c>
      <c r="Z50">
        <v>2</v>
      </c>
      <c r="AA50">
        <v>1</v>
      </c>
      <c r="AB50">
        <v>0</v>
      </c>
      <c r="AC50">
        <v>0</v>
      </c>
      <c r="AD50">
        <v>1</v>
      </c>
      <c r="AE50">
        <v>146</v>
      </c>
      <c r="AF50">
        <v>0</v>
      </c>
      <c r="AG50">
        <v>0</v>
      </c>
      <c r="AI50">
        <v>0</v>
      </c>
      <c r="AJ50">
        <v>0</v>
      </c>
      <c r="AK50">
        <v>1</v>
      </c>
      <c r="AL50">
        <v>0.59751780365084495</v>
      </c>
      <c r="AM50">
        <v>-0.59751780365084495</v>
      </c>
      <c r="AN50">
        <v>0.402482196349154</v>
      </c>
      <c r="AO50">
        <v>0.59751780365084495</v>
      </c>
    </row>
    <row r="51" spans="1:41" x14ac:dyDescent="0.35">
      <c r="A51">
        <v>152</v>
      </c>
      <c r="B51">
        <v>3</v>
      </c>
      <c r="C51">
        <v>10</v>
      </c>
      <c r="D51">
        <v>2</v>
      </c>
      <c r="E51">
        <v>0</v>
      </c>
      <c r="F51">
        <v>0</v>
      </c>
      <c r="G51">
        <v>0</v>
      </c>
      <c r="H51">
        <v>0</v>
      </c>
      <c r="I51">
        <v>0</v>
      </c>
      <c r="J51">
        <v>1924</v>
      </c>
      <c r="K51">
        <v>0</v>
      </c>
      <c r="L51">
        <v>2</v>
      </c>
      <c r="M51">
        <v>1</v>
      </c>
      <c r="N51">
        <v>0</v>
      </c>
      <c r="O51">
        <v>1</v>
      </c>
      <c r="P51">
        <v>0</v>
      </c>
      <c r="Q51">
        <v>0</v>
      </c>
      <c r="R51">
        <v>4</v>
      </c>
      <c r="S51">
        <v>0</v>
      </c>
      <c r="T51">
        <v>0</v>
      </c>
      <c r="U51">
        <v>38</v>
      </c>
      <c r="V51">
        <v>0</v>
      </c>
      <c r="W51">
        <v>0</v>
      </c>
      <c r="X51">
        <v>1</v>
      </c>
      <c r="Y51">
        <v>1</v>
      </c>
      <c r="Z51">
        <v>2</v>
      </c>
      <c r="AA51">
        <v>1</v>
      </c>
      <c r="AB51">
        <v>1</v>
      </c>
      <c r="AC51">
        <v>1</v>
      </c>
      <c r="AD51">
        <v>1</v>
      </c>
      <c r="AE51">
        <v>152</v>
      </c>
      <c r="AF51">
        <v>1</v>
      </c>
      <c r="AG51">
        <v>0</v>
      </c>
      <c r="AI51">
        <v>1</v>
      </c>
      <c r="AJ51">
        <v>1</v>
      </c>
      <c r="AK51">
        <v>1</v>
      </c>
      <c r="AL51">
        <v>7.48829528744687E-3</v>
      </c>
      <c r="AM51">
        <v>-7.48829528744687E-3</v>
      </c>
      <c r="AN51">
        <v>0.99251170471255301</v>
      </c>
      <c r="AO51">
        <v>7.48829528744687E-3</v>
      </c>
    </row>
    <row r="52" spans="1:41" x14ac:dyDescent="0.35">
      <c r="A52">
        <v>157</v>
      </c>
      <c r="B52">
        <v>0</v>
      </c>
      <c r="C52">
        <v>9</v>
      </c>
      <c r="D52">
        <v>4</v>
      </c>
      <c r="E52">
        <v>0</v>
      </c>
      <c r="F52">
        <v>0</v>
      </c>
      <c r="G52">
        <v>0</v>
      </c>
      <c r="H52">
        <v>0</v>
      </c>
      <c r="I52">
        <v>0</v>
      </c>
      <c r="J52">
        <v>1288</v>
      </c>
      <c r="K52">
        <v>1</v>
      </c>
      <c r="L52">
        <v>4</v>
      </c>
      <c r="M52">
        <v>3</v>
      </c>
      <c r="N52">
        <v>0</v>
      </c>
      <c r="O52">
        <v>1</v>
      </c>
      <c r="P52">
        <v>0</v>
      </c>
      <c r="Q52">
        <v>1</v>
      </c>
      <c r="R52">
        <v>4</v>
      </c>
      <c r="S52">
        <v>1</v>
      </c>
      <c r="T52">
        <v>0</v>
      </c>
      <c r="U52">
        <v>48</v>
      </c>
      <c r="V52">
        <v>0</v>
      </c>
      <c r="W52">
        <v>0</v>
      </c>
      <c r="X52">
        <v>1</v>
      </c>
      <c r="Y52">
        <v>2</v>
      </c>
      <c r="Z52">
        <v>2</v>
      </c>
      <c r="AA52">
        <v>2</v>
      </c>
      <c r="AB52">
        <v>0</v>
      </c>
      <c r="AC52">
        <v>1</v>
      </c>
      <c r="AD52">
        <v>1</v>
      </c>
      <c r="AE52">
        <v>157</v>
      </c>
      <c r="AF52">
        <v>0</v>
      </c>
      <c r="AG52">
        <v>0</v>
      </c>
      <c r="AI52">
        <v>1</v>
      </c>
      <c r="AJ52">
        <v>1</v>
      </c>
      <c r="AK52">
        <v>1</v>
      </c>
      <c r="AL52">
        <v>2.74068074852E-2</v>
      </c>
      <c r="AM52">
        <v>-2.74068074852E-2</v>
      </c>
      <c r="AN52">
        <v>0.97259319251479903</v>
      </c>
      <c r="AO52">
        <v>2.74068074852E-2</v>
      </c>
    </row>
    <row r="53" spans="1:41" x14ac:dyDescent="0.35">
      <c r="A53">
        <v>158</v>
      </c>
      <c r="B53">
        <v>0</v>
      </c>
      <c r="C53">
        <v>12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339</v>
      </c>
      <c r="K53">
        <v>0</v>
      </c>
      <c r="L53">
        <v>4</v>
      </c>
      <c r="M53">
        <v>4</v>
      </c>
      <c r="N53">
        <v>0</v>
      </c>
      <c r="O53">
        <v>0</v>
      </c>
      <c r="P53">
        <v>1</v>
      </c>
      <c r="Q53">
        <v>0</v>
      </c>
      <c r="R53">
        <v>1</v>
      </c>
      <c r="S53">
        <v>0</v>
      </c>
      <c r="T53">
        <v>0</v>
      </c>
      <c r="U53">
        <v>45</v>
      </c>
      <c r="V53">
        <v>1</v>
      </c>
      <c r="W53">
        <v>0</v>
      </c>
      <c r="X53">
        <v>1</v>
      </c>
      <c r="Y53">
        <v>1</v>
      </c>
      <c r="Z53">
        <v>1</v>
      </c>
      <c r="AA53">
        <v>1</v>
      </c>
      <c r="AB53">
        <v>0</v>
      </c>
      <c r="AC53">
        <v>0</v>
      </c>
      <c r="AD53">
        <v>1</v>
      </c>
      <c r="AE53">
        <v>158</v>
      </c>
      <c r="AF53">
        <v>0</v>
      </c>
      <c r="AG53">
        <v>0</v>
      </c>
      <c r="AI53">
        <v>0</v>
      </c>
      <c r="AJ53">
        <v>0</v>
      </c>
      <c r="AK53">
        <v>1</v>
      </c>
      <c r="AL53">
        <v>0.72799739520559603</v>
      </c>
      <c r="AM53">
        <v>-0.72799739520559603</v>
      </c>
      <c r="AN53">
        <v>0.27200260479440302</v>
      </c>
      <c r="AO53">
        <v>0.72799739520559603</v>
      </c>
    </row>
    <row r="54" spans="1:41" x14ac:dyDescent="0.35">
      <c r="A54">
        <v>159</v>
      </c>
      <c r="B54">
        <v>1</v>
      </c>
      <c r="C54">
        <v>24</v>
      </c>
      <c r="D54">
        <v>2</v>
      </c>
      <c r="E54">
        <v>1</v>
      </c>
      <c r="F54">
        <v>0</v>
      </c>
      <c r="G54">
        <v>0</v>
      </c>
      <c r="H54">
        <v>0</v>
      </c>
      <c r="I54">
        <v>0</v>
      </c>
      <c r="J54">
        <v>3512</v>
      </c>
      <c r="K54">
        <v>1</v>
      </c>
      <c r="L54">
        <v>3</v>
      </c>
      <c r="M54">
        <v>2</v>
      </c>
      <c r="N54">
        <v>0</v>
      </c>
      <c r="O54">
        <v>1</v>
      </c>
      <c r="P54">
        <v>0</v>
      </c>
      <c r="Q54">
        <v>0</v>
      </c>
      <c r="R54">
        <v>3</v>
      </c>
      <c r="S54">
        <v>0</v>
      </c>
      <c r="T54">
        <v>0</v>
      </c>
      <c r="U54">
        <v>38</v>
      </c>
      <c r="V54">
        <v>1</v>
      </c>
      <c r="W54">
        <v>0</v>
      </c>
      <c r="X54">
        <v>1</v>
      </c>
      <c r="Y54">
        <v>2</v>
      </c>
      <c r="Z54">
        <v>2</v>
      </c>
      <c r="AA54">
        <v>1</v>
      </c>
      <c r="AB54">
        <v>1</v>
      </c>
      <c r="AC54">
        <v>0</v>
      </c>
      <c r="AD54">
        <v>1</v>
      </c>
      <c r="AE54">
        <v>159</v>
      </c>
      <c r="AF54">
        <v>0</v>
      </c>
      <c r="AG54">
        <v>0</v>
      </c>
      <c r="AI54">
        <v>1</v>
      </c>
      <c r="AJ54">
        <v>1</v>
      </c>
      <c r="AK54">
        <v>1</v>
      </c>
      <c r="AL54">
        <v>0.42670682855995501</v>
      </c>
      <c r="AM54">
        <v>-0.42670682855995501</v>
      </c>
      <c r="AN54">
        <v>0.57329317144004399</v>
      </c>
      <c r="AO54">
        <v>0.42670682855995501</v>
      </c>
    </row>
    <row r="55" spans="1:41" x14ac:dyDescent="0.35">
      <c r="A55">
        <v>161</v>
      </c>
      <c r="B55">
        <v>3</v>
      </c>
      <c r="C55">
        <v>24</v>
      </c>
      <c r="D55">
        <v>4</v>
      </c>
      <c r="E55">
        <v>0</v>
      </c>
      <c r="F55">
        <v>0</v>
      </c>
      <c r="G55">
        <v>0</v>
      </c>
      <c r="H55">
        <v>0</v>
      </c>
      <c r="I55">
        <v>0</v>
      </c>
      <c r="J55">
        <v>2872</v>
      </c>
      <c r="K55">
        <v>1</v>
      </c>
      <c r="L55">
        <v>4</v>
      </c>
      <c r="M55">
        <v>3</v>
      </c>
      <c r="N55">
        <v>0</v>
      </c>
      <c r="O55">
        <v>1</v>
      </c>
      <c r="P55">
        <v>0</v>
      </c>
      <c r="Q55">
        <v>0</v>
      </c>
      <c r="R55">
        <v>4</v>
      </c>
      <c r="S55">
        <v>1</v>
      </c>
      <c r="T55">
        <v>0</v>
      </c>
      <c r="U55">
        <v>36</v>
      </c>
      <c r="V55">
        <v>0</v>
      </c>
      <c r="W55">
        <v>0</v>
      </c>
      <c r="X55">
        <v>1</v>
      </c>
      <c r="Y55">
        <v>1</v>
      </c>
      <c r="Z55">
        <v>2</v>
      </c>
      <c r="AA55">
        <v>2</v>
      </c>
      <c r="AB55">
        <v>1</v>
      </c>
      <c r="AC55">
        <v>0</v>
      </c>
      <c r="AD55">
        <v>1</v>
      </c>
      <c r="AE55">
        <v>161</v>
      </c>
      <c r="AF55">
        <v>1</v>
      </c>
      <c r="AG55">
        <v>0</v>
      </c>
      <c r="AI55">
        <v>1</v>
      </c>
      <c r="AJ55">
        <v>1</v>
      </c>
      <c r="AK55">
        <v>1</v>
      </c>
      <c r="AL55">
        <v>3.2277507020914101E-2</v>
      </c>
      <c r="AM55">
        <v>-3.2277507020914101E-2</v>
      </c>
      <c r="AN55">
        <v>0.96772249297908497</v>
      </c>
      <c r="AO55">
        <v>3.2277507020914101E-2</v>
      </c>
    </row>
    <row r="56" spans="1:41" x14ac:dyDescent="0.35">
      <c r="A56">
        <v>163</v>
      </c>
      <c r="B56">
        <v>3</v>
      </c>
      <c r="C56">
        <v>15</v>
      </c>
      <c r="D56">
        <v>2</v>
      </c>
      <c r="E56">
        <v>0</v>
      </c>
      <c r="F56">
        <v>0</v>
      </c>
      <c r="G56">
        <v>0</v>
      </c>
      <c r="H56">
        <v>0</v>
      </c>
      <c r="I56">
        <v>0</v>
      </c>
      <c r="J56">
        <v>1262</v>
      </c>
      <c r="K56">
        <v>2</v>
      </c>
      <c r="L56">
        <v>3</v>
      </c>
      <c r="M56">
        <v>4</v>
      </c>
      <c r="N56">
        <v>0</v>
      </c>
      <c r="O56">
        <v>1</v>
      </c>
      <c r="P56">
        <v>0</v>
      </c>
      <c r="Q56">
        <v>0</v>
      </c>
      <c r="R56">
        <v>3</v>
      </c>
      <c r="S56">
        <v>0</v>
      </c>
      <c r="T56">
        <v>0</v>
      </c>
      <c r="U56">
        <v>36</v>
      </c>
      <c r="V56">
        <v>0</v>
      </c>
      <c r="W56">
        <v>0</v>
      </c>
      <c r="X56">
        <v>1</v>
      </c>
      <c r="Y56">
        <v>2</v>
      </c>
      <c r="Z56">
        <v>2</v>
      </c>
      <c r="AA56">
        <v>1</v>
      </c>
      <c r="AB56">
        <v>1</v>
      </c>
      <c r="AC56">
        <v>0</v>
      </c>
      <c r="AD56">
        <v>1</v>
      </c>
      <c r="AE56">
        <v>163</v>
      </c>
      <c r="AF56">
        <v>0</v>
      </c>
      <c r="AG56">
        <v>0</v>
      </c>
      <c r="AI56">
        <v>1</v>
      </c>
      <c r="AJ56">
        <v>1</v>
      </c>
      <c r="AK56">
        <v>1</v>
      </c>
      <c r="AL56">
        <v>7.8636444849182793E-2</v>
      </c>
      <c r="AM56">
        <v>-7.8636444849182793E-2</v>
      </c>
      <c r="AN56">
        <v>0.92136355515081703</v>
      </c>
      <c r="AO56">
        <v>7.8636444849182793E-2</v>
      </c>
    </row>
    <row r="57" spans="1:41" x14ac:dyDescent="0.35">
      <c r="A57">
        <v>165</v>
      </c>
      <c r="B57">
        <v>3</v>
      </c>
      <c r="C57">
        <v>36</v>
      </c>
      <c r="D57">
        <v>2</v>
      </c>
      <c r="E57">
        <v>1</v>
      </c>
      <c r="F57">
        <v>0</v>
      </c>
      <c r="G57">
        <v>0</v>
      </c>
      <c r="H57">
        <v>0</v>
      </c>
      <c r="I57">
        <v>0</v>
      </c>
      <c r="J57">
        <v>909</v>
      </c>
      <c r="K57">
        <v>2</v>
      </c>
      <c r="L57">
        <v>4</v>
      </c>
      <c r="M57">
        <v>4</v>
      </c>
      <c r="N57">
        <v>0</v>
      </c>
      <c r="O57">
        <v>1</v>
      </c>
      <c r="P57">
        <v>0</v>
      </c>
      <c r="Q57">
        <v>0</v>
      </c>
      <c r="R57">
        <v>4</v>
      </c>
      <c r="S57">
        <v>0</v>
      </c>
      <c r="T57">
        <v>0</v>
      </c>
      <c r="U57">
        <v>36</v>
      </c>
      <c r="V57">
        <v>0</v>
      </c>
      <c r="W57">
        <v>0</v>
      </c>
      <c r="X57">
        <v>1</v>
      </c>
      <c r="Y57">
        <v>1</v>
      </c>
      <c r="Z57">
        <v>2</v>
      </c>
      <c r="AA57">
        <v>1</v>
      </c>
      <c r="AB57">
        <v>0</v>
      </c>
      <c r="AC57">
        <v>0</v>
      </c>
      <c r="AD57">
        <v>1</v>
      </c>
      <c r="AE57">
        <v>165</v>
      </c>
      <c r="AF57">
        <v>0</v>
      </c>
      <c r="AG57">
        <v>0</v>
      </c>
      <c r="AI57">
        <v>1</v>
      </c>
      <c r="AJ57">
        <v>1</v>
      </c>
      <c r="AK57">
        <v>1</v>
      </c>
      <c r="AL57">
        <v>0.24989832017208799</v>
      </c>
      <c r="AM57">
        <v>-0.24989832017208799</v>
      </c>
      <c r="AN57">
        <v>0.75010167982791198</v>
      </c>
      <c r="AO57">
        <v>0.24989832017208799</v>
      </c>
    </row>
    <row r="58" spans="1:41" x14ac:dyDescent="0.35">
      <c r="A58">
        <v>167</v>
      </c>
      <c r="B58">
        <v>0</v>
      </c>
      <c r="C58">
        <v>18</v>
      </c>
      <c r="D58">
        <v>2</v>
      </c>
      <c r="E58">
        <v>0</v>
      </c>
      <c r="F58">
        <v>0</v>
      </c>
      <c r="G58">
        <v>1</v>
      </c>
      <c r="H58">
        <v>0</v>
      </c>
      <c r="I58">
        <v>0</v>
      </c>
      <c r="J58">
        <v>1131</v>
      </c>
      <c r="K58">
        <v>0</v>
      </c>
      <c r="L58">
        <v>0</v>
      </c>
      <c r="M58">
        <v>4</v>
      </c>
      <c r="N58">
        <v>0</v>
      </c>
      <c r="O58">
        <v>0</v>
      </c>
      <c r="P58">
        <v>0</v>
      </c>
      <c r="Q58">
        <v>0</v>
      </c>
      <c r="R58">
        <v>2</v>
      </c>
      <c r="S58">
        <v>0</v>
      </c>
      <c r="T58">
        <v>0</v>
      </c>
      <c r="U58">
        <v>33</v>
      </c>
      <c r="V58">
        <v>0</v>
      </c>
      <c r="W58">
        <v>0</v>
      </c>
      <c r="X58">
        <v>1</v>
      </c>
      <c r="Y58">
        <v>1</v>
      </c>
      <c r="Z58">
        <v>2</v>
      </c>
      <c r="AA58">
        <v>1</v>
      </c>
      <c r="AB58">
        <v>0</v>
      </c>
      <c r="AC58">
        <v>0</v>
      </c>
      <c r="AD58">
        <v>0</v>
      </c>
      <c r="AE58">
        <v>167</v>
      </c>
      <c r="AF58">
        <v>0</v>
      </c>
      <c r="AG58">
        <v>0</v>
      </c>
      <c r="AI58">
        <v>1</v>
      </c>
      <c r="AJ58">
        <v>1</v>
      </c>
      <c r="AK58">
        <v>0</v>
      </c>
      <c r="AL58">
        <v>-0.53246156746570705</v>
      </c>
      <c r="AM58">
        <v>0.53246156746570705</v>
      </c>
      <c r="AN58">
        <v>0.53246156746570705</v>
      </c>
      <c r="AO58">
        <v>0.467538432534292</v>
      </c>
    </row>
    <row r="59" spans="1:41" x14ac:dyDescent="0.35">
      <c r="A59">
        <v>168</v>
      </c>
      <c r="B59">
        <v>1</v>
      </c>
      <c r="C59">
        <v>11</v>
      </c>
      <c r="D59">
        <v>2</v>
      </c>
      <c r="E59">
        <v>0</v>
      </c>
      <c r="F59">
        <v>0</v>
      </c>
      <c r="G59">
        <v>1</v>
      </c>
      <c r="H59">
        <v>0</v>
      </c>
      <c r="I59">
        <v>0</v>
      </c>
      <c r="J59">
        <v>1577</v>
      </c>
      <c r="K59">
        <v>3</v>
      </c>
      <c r="L59">
        <v>1</v>
      </c>
      <c r="M59">
        <v>4</v>
      </c>
      <c r="N59">
        <v>0</v>
      </c>
      <c r="O59">
        <v>0</v>
      </c>
      <c r="P59">
        <v>0</v>
      </c>
      <c r="Q59">
        <v>0</v>
      </c>
      <c r="R59">
        <v>1</v>
      </c>
      <c r="S59">
        <v>1</v>
      </c>
      <c r="T59">
        <v>0</v>
      </c>
      <c r="U59">
        <v>20</v>
      </c>
      <c r="V59">
        <v>0</v>
      </c>
      <c r="W59">
        <v>0</v>
      </c>
      <c r="X59">
        <v>1</v>
      </c>
      <c r="Y59">
        <v>1</v>
      </c>
      <c r="Z59">
        <v>2</v>
      </c>
      <c r="AA59">
        <v>1</v>
      </c>
      <c r="AB59">
        <v>0</v>
      </c>
      <c r="AC59">
        <v>0</v>
      </c>
      <c r="AD59">
        <v>1</v>
      </c>
      <c r="AE59">
        <v>168</v>
      </c>
      <c r="AF59">
        <v>0</v>
      </c>
      <c r="AG59">
        <v>0</v>
      </c>
      <c r="AI59">
        <v>1</v>
      </c>
      <c r="AJ59">
        <v>1</v>
      </c>
      <c r="AK59">
        <v>1</v>
      </c>
      <c r="AL59">
        <v>0.14807617679482399</v>
      </c>
      <c r="AM59">
        <v>-0.14807617679482399</v>
      </c>
      <c r="AN59">
        <v>0.85192382320517501</v>
      </c>
      <c r="AO59">
        <v>0.14807617679482399</v>
      </c>
    </row>
    <row r="60" spans="1:41" x14ac:dyDescent="0.35">
      <c r="A60">
        <v>169</v>
      </c>
      <c r="B60">
        <v>3</v>
      </c>
      <c r="C60">
        <v>24</v>
      </c>
      <c r="D60">
        <v>2</v>
      </c>
      <c r="E60">
        <v>0</v>
      </c>
      <c r="F60">
        <v>0</v>
      </c>
      <c r="G60">
        <v>1</v>
      </c>
      <c r="H60">
        <v>0</v>
      </c>
      <c r="I60">
        <v>0</v>
      </c>
      <c r="J60">
        <v>3972</v>
      </c>
      <c r="K60">
        <v>0</v>
      </c>
      <c r="L60">
        <v>3</v>
      </c>
      <c r="M60">
        <v>2</v>
      </c>
      <c r="N60">
        <v>0</v>
      </c>
      <c r="O60">
        <v>0</v>
      </c>
      <c r="P60">
        <v>0</v>
      </c>
      <c r="Q60">
        <v>0</v>
      </c>
      <c r="R60">
        <v>4</v>
      </c>
      <c r="S60">
        <v>0</v>
      </c>
      <c r="T60">
        <v>0</v>
      </c>
      <c r="U60">
        <v>25</v>
      </c>
      <c r="V60">
        <v>0</v>
      </c>
      <c r="W60">
        <v>1</v>
      </c>
      <c r="X60">
        <v>0</v>
      </c>
      <c r="Y60">
        <v>1</v>
      </c>
      <c r="Z60">
        <v>2</v>
      </c>
      <c r="AA60">
        <v>1</v>
      </c>
      <c r="AB60">
        <v>1</v>
      </c>
      <c r="AC60">
        <v>0</v>
      </c>
      <c r="AD60">
        <v>1</v>
      </c>
      <c r="AE60">
        <v>169</v>
      </c>
      <c r="AF60">
        <v>0</v>
      </c>
      <c r="AG60">
        <v>0</v>
      </c>
      <c r="AI60">
        <v>1</v>
      </c>
      <c r="AJ60">
        <v>1</v>
      </c>
      <c r="AK60">
        <v>1</v>
      </c>
      <c r="AL60">
        <v>0.175200701027247</v>
      </c>
      <c r="AM60">
        <v>-0.175200701027247</v>
      </c>
      <c r="AN60">
        <v>0.82479929897275295</v>
      </c>
      <c r="AO60">
        <v>0.175200701027247</v>
      </c>
    </row>
    <row r="61" spans="1:41" x14ac:dyDescent="0.35">
      <c r="A61">
        <v>177</v>
      </c>
      <c r="B61">
        <v>0</v>
      </c>
      <c r="C61">
        <v>12</v>
      </c>
      <c r="D61">
        <v>2</v>
      </c>
      <c r="E61">
        <v>0</v>
      </c>
      <c r="F61">
        <v>0</v>
      </c>
      <c r="G61">
        <v>1</v>
      </c>
      <c r="H61">
        <v>0</v>
      </c>
      <c r="I61">
        <v>0</v>
      </c>
      <c r="J61">
        <v>2577</v>
      </c>
      <c r="K61">
        <v>0</v>
      </c>
      <c r="L61">
        <v>2</v>
      </c>
      <c r="M61">
        <v>2</v>
      </c>
      <c r="N61">
        <v>1</v>
      </c>
      <c r="O61">
        <v>0</v>
      </c>
      <c r="P61">
        <v>0</v>
      </c>
      <c r="Q61">
        <v>0</v>
      </c>
      <c r="R61">
        <v>1</v>
      </c>
      <c r="S61">
        <v>0</v>
      </c>
      <c r="T61">
        <v>0</v>
      </c>
      <c r="U61">
        <v>42</v>
      </c>
      <c r="V61">
        <v>0</v>
      </c>
      <c r="W61">
        <v>0</v>
      </c>
      <c r="X61">
        <v>1</v>
      </c>
      <c r="Y61">
        <v>1</v>
      </c>
      <c r="Z61">
        <v>2</v>
      </c>
      <c r="AA61">
        <v>1</v>
      </c>
      <c r="AB61">
        <v>0</v>
      </c>
      <c r="AC61">
        <v>0</v>
      </c>
      <c r="AD61">
        <v>1</v>
      </c>
      <c r="AE61">
        <v>177</v>
      </c>
      <c r="AF61">
        <v>0</v>
      </c>
      <c r="AG61">
        <v>0</v>
      </c>
      <c r="AI61">
        <v>1</v>
      </c>
      <c r="AJ61">
        <v>1</v>
      </c>
      <c r="AK61">
        <v>1</v>
      </c>
      <c r="AL61">
        <v>0.32016738722692301</v>
      </c>
      <c r="AM61">
        <v>-0.32016738722692301</v>
      </c>
      <c r="AN61">
        <v>0.67983261277307605</v>
      </c>
      <c r="AO61">
        <v>0.32016738722692301</v>
      </c>
    </row>
    <row r="62" spans="1:41" x14ac:dyDescent="0.35">
      <c r="A62">
        <v>180</v>
      </c>
      <c r="B62">
        <v>0</v>
      </c>
      <c r="C62">
        <v>21</v>
      </c>
      <c r="D62">
        <v>4</v>
      </c>
      <c r="E62">
        <v>1</v>
      </c>
      <c r="F62">
        <v>0</v>
      </c>
      <c r="G62">
        <v>0</v>
      </c>
      <c r="H62">
        <v>0</v>
      </c>
      <c r="I62">
        <v>0</v>
      </c>
      <c r="J62">
        <v>571</v>
      </c>
      <c r="K62">
        <v>0</v>
      </c>
      <c r="L62">
        <v>4</v>
      </c>
      <c r="M62">
        <v>4</v>
      </c>
      <c r="N62">
        <v>0</v>
      </c>
      <c r="O62">
        <v>1</v>
      </c>
      <c r="P62">
        <v>0</v>
      </c>
      <c r="Q62">
        <v>0</v>
      </c>
      <c r="R62">
        <v>4</v>
      </c>
      <c r="S62">
        <v>1</v>
      </c>
      <c r="T62">
        <v>0</v>
      </c>
      <c r="U62">
        <v>65</v>
      </c>
      <c r="V62">
        <v>0</v>
      </c>
      <c r="W62">
        <v>0</v>
      </c>
      <c r="X62">
        <v>1</v>
      </c>
      <c r="Y62">
        <v>2</v>
      </c>
      <c r="Z62">
        <v>2</v>
      </c>
      <c r="AA62">
        <v>1</v>
      </c>
      <c r="AB62">
        <v>0</v>
      </c>
      <c r="AC62">
        <v>0</v>
      </c>
      <c r="AD62">
        <v>1</v>
      </c>
      <c r="AE62">
        <v>180</v>
      </c>
      <c r="AF62">
        <v>0</v>
      </c>
      <c r="AG62">
        <v>0</v>
      </c>
      <c r="AI62">
        <v>1</v>
      </c>
      <c r="AJ62">
        <v>1</v>
      </c>
      <c r="AK62">
        <v>1</v>
      </c>
      <c r="AL62">
        <v>0.45113431170954099</v>
      </c>
      <c r="AM62">
        <v>-0.45113431170954099</v>
      </c>
      <c r="AN62">
        <v>0.54886568829045901</v>
      </c>
      <c r="AO62">
        <v>0.45113431170954099</v>
      </c>
    </row>
    <row r="63" spans="1:41" x14ac:dyDescent="0.35">
      <c r="A63">
        <v>183</v>
      </c>
      <c r="B63">
        <v>0</v>
      </c>
      <c r="C63">
        <v>21</v>
      </c>
      <c r="D63">
        <v>1</v>
      </c>
      <c r="E63">
        <v>1</v>
      </c>
      <c r="F63">
        <v>0</v>
      </c>
      <c r="G63">
        <v>0</v>
      </c>
      <c r="H63">
        <v>0</v>
      </c>
      <c r="I63">
        <v>0</v>
      </c>
      <c r="J63">
        <v>1647</v>
      </c>
      <c r="K63">
        <v>4</v>
      </c>
      <c r="L63">
        <v>2</v>
      </c>
      <c r="M63">
        <v>4</v>
      </c>
      <c r="N63">
        <v>0</v>
      </c>
      <c r="O63">
        <v>1</v>
      </c>
      <c r="P63">
        <v>0</v>
      </c>
      <c r="Q63">
        <v>0</v>
      </c>
      <c r="R63">
        <v>2</v>
      </c>
      <c r="S63">
        <v>0</v>
      </c>
      <c r="T63">
        <v>0</v>
      </c>
      <c r="U63">
        <v>40</v>
      </c>
      <c r="V63">
        <v>0</v>
      </c>
      <c r="W63">
        <v>0</v>
      </c>
      <c r="X63">
        <v>1</v>
      </c>
      <c r="Y63">
        <v>2</v>
      </c>
      <c r="Z63">
        <v>1</v>
      </c>
      <c r="AA63">
        <v>2</v>
      </c>
      <c r="AB63">
        <v>0</v>
      </c>
      <c r="AC63">
        <v>0</v>
      </c>
      <c r="AD63">
        <v>0</v>
      </c>
      <c r="AE63">
        <v>183</v>
      </c>
      <c r="AF63">
        <v>0</v>
      </c>
      <c r="AG63">
        <v>0</v>
      </c>
      <c r="AI63">
        <v>1</v>
      </c>
      <c r="AJ63">
        <v>1</v>
      </c>
      <c r="AK63">
        <v>0</v>
      </c>
      <c r="AL63">
        <v>-0.50526542959412002</v>
      </c>
      <c r="AM63">
        <v>0.50526542959412002</v>
      </c>
      <c r="AN63">
        <v>0.50526542959412002</v>
      </c>
      <c r="AO63">
        <v>0.49473457040587898</v>
      </c>
    </row>
    <row r="64" spans="1:41" x14ac:dyDescent="0.35">
      <c r="A64">
        <v>184</v>
      </c>
      <c r="B64">
        <v>3</v>
      </c>
      <c r="C64">
        <v>24</v>
      </c>
      <c r="D64">
        <v>4</v>
      </c>
      <c r="E64">
        <v>0</v>
      </c>
      <c r="F64">
        <v>0</v>
      </c>
      <c r="G64">
        <v>1</v>
      </c>
      <c r="H64">
        <v>0</v>
      </c>
      <c r="I64">
        <v>0</v>
      </c>
      <c r="J64">
        <v>3777</v>
      </c>
      <c r="K64">
        <v>3</v>
      </c>
      <c r="L64">
        <v>2</v>
      </c>
      <c r="M64">
        <v>4</v>
      </c>
      <c r="N64">
        <v>0</v>
      </c>
      <c r="O64">
        <v>1</v>
      </c>
      <c r="P64">
        <v>0</v>
      </c>
      <c r="Q64">
        <v>0</v>
      </c>
      <c r="R64">
        <v>4</v>
      </c>
      <c r="S64">
        <v>1</v>
      </c>
      <c r="T64">
        <v>0</v>
      </c>
      <c r="U64">
        <v>50</v>
      </c>
      <c r="V64">
        <v>0</v>
      </c>
      <c r="W64">
        <v>0</v>
      </c>
      <c r="X64">
        <v>1</v>
      </c>
      <c r="Y64">
        <v>1</v>
      </c>
      <c r="Z64">
        <v>2</v>
      </c>
      <c r="AA64">
        <v>1</v>
      </c>
      <c r="AB64">
        <v>1</v>
      </c>
      <c r="AC64">
        <v>0</v>
      </c>
      <c r="AD64">
        <v>1</v>
      </c>
      <c r="AE64">
        <v>184</v>
      </c>
      <c r="AF64">
        <v>0</v>
      </c>
      <c r="AG64">
        <v>0</v>
      </c>
      <c r="AI64">
        <v>1</v>
      </c>
      <c r="AJ64">
        <v>1</v>
      </c>
      <c r="AK64">
        <v>1</v>
      </c>
      <c r="AL64">
        <v>2.6660309416200501E-2</v>
      </c>
      <c r="AM64">
        <v>-2.6660309416200501E-2</v>
      </c>
      <c r="AN64">
        <v>0.97333969058379899</v>
      </c>
      <c r="AO64">
        <v>2.6660309416200501E-2</v>
      </c>
    </row>
    <row r="65" spans="1:41" x14ac:dyDescent="0.35">
      <c r="A65">
        <v>191</v>
      </c>
      <c r="B65">
        <v>3</v>
      </c>
      <c r="C65">
        <v>24</v>
      </c>
      <c r="D65">
        <v>2</v>
      </c>
      <c r="E65">
        <v>0</v>
      </c>
      <c r="F65">
        <v>0</v>
      </c>
      <c r="G65">
        <v>0</v>
      </c>
      <c r="H65">
        <v>0</v>
      </c>
      <c r="I65">
        <v>1</v>
      </c>
      <c r="J65">
        <v>4591</v>
      </c>
      <c r="K65">
        <v>3</v>
      </c>
      <c r="L65">
        <v>2</v>
      </c>
      <c r="M65">
        <v>2</v>
      </c>
      <c r="N65">
        <v>0</v>
      </c>
      <c r="O65">
        <v>1</v>
      </c>
      <c r="P65">
        <v>0</v>
      </c>
      <c r="Q65">
        <v>0</v>
      </c>
      <c r="R65">
        <v>3</v>
      </c>
      <c r="S65">
        <v>0</v>
      </c>
      <c r="T65">
        <v>0</v>
      </c>
      <c r="U65">
        <v>54</v>
      </c>
      <c r="V65">
        <v>0</v>
      </c>
      <c r="W65">
        <v>0</v>
      </c>
      <c r="X65">
        <v>1</v>
      </c>
      <c r="Y65">
        <v>3</v>
      </c>
      <c r="Z65">
        <v>3</v>
      </c>
      <c r="AA65">
        <v>1</v>
      </c>
      <c r="AB65">
        <v>1</v>
      </c>
      <c r="AC65">
        <v>0</v>
      </c>
      <c r="AD65">
        <v>0</v>
      </c>
      <c r="AE65">
        <v>191</v>
      </c>
      <c r="AF65">
        <v>0</v>
      </c>
      <c r="AG65">
        <v>0</v>
      </c>
      <c r="AI65">
        <v>1</v>
      </c>
      <c r="AJ65">
        <v>1</v>
      </c>
      <c r="AK65">
        <v>0</v>
      </c>
      <c r="AL65">
        <v>-0.974427468350055</v>
      </c>
      <c r="AM65">
        <v>0.974427468350055</v>
      </c>
      <c r="AN65">
        <v>0.974427468350055</v>
      </c>
      <c r="AO65">
        <v>2.55725316499445E-2</v>
      </c>
    </row>
    <row r="66" spans="1:41" x14ac:dyDescent="0.35">
      <c r="A66">
        <v>194</v>
      </c>
      <c r="B66">
        <v>3</v>
      </c>
      <c r="C66">
        <v>6</v>
      </c>
      <c r="D66">
        <v>2</v>
      </c>
      <c r="E66">
        <v>0</v>
      </c>
      <c r="F66">
        <v>0</v>
      </c>
      <c r="G66">
        <v>0</v>
      </c>
      <c r="H66">
        <v>0</v>
      </c>
      <c r="I66">
        <v>0</v>
      </c>
      <c r="J66">
        <v>2108</v>
      </c>
      <c r="K66">
        <v>0</v>
      </c>
      <c r="L66">
        <v>3</v>
      </c>
      <c r="M66">
        <v>2</v>
      </c>
      <c r="N66">
        <v>0</v>
      </c>
      <c r="O66">
        <v>0</v>
      </c>
      <c r="P66">
        <v>1</v>
      </c>
      <c r="Q66">
        <v>0</v>
      </c>
      <c r="R66">
        <v>2</v>
      </c>
      <c r="S66">
        <v>1</v>
      </c>
      <c r="T66">
        <v>0</v>
      </c>
      <c r="U66">
        <v>29</v>
      </c>
      <c r="V66">
        <v>0</v>
      </c>
      <c r="W66">
        <v>1</v>
      </c>
      <c r="X66">
        <v>0</v>
      </c>
      <c r="Y66">
        <v>1</v>
      </c>
      <c r="Z66">
        <v>2</v>
      </c>
      <c r="AA66">
        <v>1</v>
      </c>
      <c r="AB66">
        <v>0</v>
      </c>
      <c r="AC66">
        <v>0</v>
      </c>
      <c r="AD66">
        <v>1</v>
      </c>
      <c r="AE66">
        <v>194</v>
      </c>
      <c r="AF66">
        <v>1</v>
      </c>
      <c r="AG66">
        <v>0</v>
      </c>
      <c r="AI66">
        <v>1</v>
      </c>
      <c r="AJ66">
        <v>1</v>
      </c>
      <c r="AK66">
        <v>1</v>
      </c>
      <c r="AL66">
        <v>9.9490521864479195E-2</v>
      </c>
      <c r="AM66">
        <v>-9.9490521864479195E-2</v>
      </c>
      <c r="AN66">
        <v>0.90050947813551996</v>
      </c>
      <c r="AO66">
        <v>9.9490521864479195E-2</v>
      </c>
    </row>
    <row r="67" spans="1:41" x14ac:dyDescent="0.35">
      <c r="A67">
        <v>195</v>
      </c>
      <c r="B67">
        <v>1</v>
      </c>
      <c r="C67">
        <v>45</v>
      </c>
      <c r="D67">
        <v>2</v>
      </c>
      <c r="E67">
        <v>0</v>
      </c>
      <c r="F67">
        <v>0</v>
      </c>
      <c r="G67">
        <v>0</v>
      </c>
      <c r="H67">
        <v>0</v>
      </c>
      <c r="I67">
        <v>0</v>
      </c>
      <c r="J67">
        <v>3031</v>
      </c>
      <c r="K67">
        <v>1</v>
      </c>
      <c r="L67">
        <v>2</v>
      </c>
      <c r="M67">
        <v>4</v>
      </c>
      <c r="N67">
        <v>0</v>
      </c>
      <c r="O67">
        <v>1</v>
      </c>
      <c r="P67">
        <v>0</v>
      </c>
      <c r="Q67">
        <v>1</v>
      </c>
      <c r="R67">
        <v>4</v>
      </c>
      <c r="S67">
        <v>0</v>
      </c>
      <c r="T67">
        <v>0</v>
      </c>
      <c r="U67">
        <v>21</v>
      </c>
      <c r="V67">
        <v>0</v>
      </c>
      <c r="W67">
        <v>1</v>
      </c>
      <c r="X67">
        <v>0</v>
      </c>
      <c r="Y67">
        <v>1</v>
      </c>
      <c r="Z67">
        <v>2</v>
      </c>
      <c r="AA67">
        <v>1</v>
      </c>
      <c r="AB67">
        <v>0</v>
      </c>
      <c r="AC67">
        <v>0</v>
      </c>
      <c r="AD67">
        <v>0</v>
      </c>
      <c r="AE67">
        <v>195</v>
      </c>
      <c r="AF67">
        <v>1</v>
      </c>
      <c r="AG67">
        <v>0</v>
      </c>
      <c r="AI67">
        <v>1</v>
      </c>
      <c r="AJ67">
        <v>1</v>
      </c>
      <c r="AK67">
        <v>0</v>
      </c>
      <c r="AL67">
        <v>-0.50835711540199002</v>
      </c>
      <c r="AM67">
        <v>0.50835711540199002</v>
      </c>
      <c r="AN67">
        <v>0.50835711540199002</v>
      </c>
      <c r="AO67">
        <v>0.49164288459800898</v>
      </c>
    </row>
    <row r="68" spans="1:41" x14ac:dyDescent="0.35">
      <c r="A68">
        <v>198</v>
      </c>
      <c r="B68">
        <v>1</v>
      </c>
      <c r="C68">
        <v>12</v>
      </c>
      <c r="D68">
        <v>2</v>
      </c>
      <c r="E68">
        <v>0</v>
      </c>
      <c r="F68">
        <v>0</v>
      </c>
      <c r="G68">
        <v>1</v>
      </c>
      <c r="H68">
        <v>0</v>
      </c>
      <c r="I68">
        <v>0</v>
      </c>
      <c r="J68">
        <v>951</v>
      </c>
      <c r="K68">
        <v>1</v>
      </c>
      <c r="L68">
        <v>1</v>
      </c>
      <c r="M68">
        <v>4</v>
      </c>
      <c r="N68">
        <v>0</v>
      </c>
      <c r="O68">
        <v>0</v>
      </c>
      <c r="P68">
        <v>0</v>
      </c>
      <c r="Q68">
        <v>0</v>
      </c>
      <c r="R68">
        <v>4</v>
      </c>
      <c r="S68">
        <v>0</v>
      </c>
      <c r="T68">
        <v>0</v>
      </c>
      <c r="U68">
        <v>27</v>
      </c>
      <c r="V68">
        <v>1</v>
      </c>
      <c r="W68">
        <v>1</v>
      </c>
      <c r="X68">
        <v>0</v>
      </c>
      <c r="Y68">
        <v>4</v>
      </c>
      <c r="Z68">
        <v>2</v>
      </c>
      <c r="AA68">
        <v>1</v>
      </c>
      <c r="AB68">
        <v>0</v>
      </c>
      <c r="AC68">
        <v>0</v>
      </c>
      <c r="AD68">
        <v>0</v>
      </c>
      <c r="AE68">
        <v>198</v>
      </c>
      <c r="AF68">
        <v>0</v>
      </c>
      <c r="AG68">
        <v>0</v>
      </c>
      <c r="AI68">
        <v>1</v>
      </c>
      <c r="AJ68">
        <v>1</v>
      </c>
      <c r="AK68">
        <v>0</v>
      </c>
      <c r="AL68">
        <v>-0.52906853117929997</v>
      </c>
      <c r="AM68">
        <v>0.52906853117929997</v>
      </c>
      <c r="AN68">
        <v>0.52906853117929997</v>
      </c>
      <c r="AO68">
        <v>0.47093146882069897</v>
      </c>
    </row>
    <row r="69" spans="1:41" x14ac:dyDescent="0.35">
      <c r="A69">
        <v>201</v>
      </c>
      <c r="B69">
        <v>3</v>
      </c>
      <c r="C69">
        <v>9</v>
      </c>
      <c r="D69">
        <v>4</v>
      </c>
      <c r="E69">
        <v>0</v>
      </c>
      <c r="F69">
        <v>0</v>
      </c>
      <c r="G69">
        <v>0</v>
      </c>
      <c r="H69">
        <v>1</v>
      </c>
      <c r="I69">
        <v>0</v>
      </c>
      <c r="J69">
        <v>936</v>
      </c>
      <c r="K69">
        <v>2</v>
      </c>
      <c r="L69">
        <v>4</v>
      </c>
      <c r="M69">
        <v>4</v>
      </c>
      <c r="N69">
        <v>0</v>
      </c>
      <c r="O69">
        <v>1</v>
      </c>
      <c r="P69">
        <v>0</v>
      </c>
      <c r="Q69">
        <v>0</v>
      </c>
      <c r="R69">
        <v>2</v>
      </c>
      <c r="S69">
        <v>0</v>
      </c>
      <c r="T69">
        <v>0</v>
      </c>
      <c r="U69">
        <v>52</v>
      </c>
      <c r="V69">
        <v>0</v>
      </c>
      <c r="W69">
        <v>0</v>
      </c>
      <c r="X69">
        <v>1</v>
      </c>
      <c r="Y69">
        <v>2</v>
      </c>
      <c r="Z69">
        <v>2</v>
      </c>
      <c r="AA69">
        <v>1</v>
      </c>
      <c r="AB69">
        <v>1</v>
      </c>
      <c r="AC69">
        <v>0</v>
      </c>
      <c r="AD69">
        <v>1</v>
      </c>
      <c r="AE69">
        <v>201</v>
      </c>
      <c r="AF69">
        <v>0</v>
      </c>
      <c r="AG69">
        <v>0</v>
      </c>
      <c r="AI69">
        <v>1</v>
      </c>
      <c r="AJ69">
        <v>1</v>
      </c>
      <c r="AK69">
        <v>1</v>
      </c>
      <c r="AL69">
        <v>0.11457317984704</v>
      </c>
      <c r="AM69">
        <v>-0.11457317984704</v>
      </c>
      <c r="AN69">
        <v>0.88542682015295904</v>
      </c>
      <c r="AO69">
        <v>0.11457317984704</v>
      </c>
    </row>
    <row r="70" spans="1:41" x14ac:dyDescent="0.35">
      <c r="A70">
        <v>202</v>
      </c>
      <c r="B70">
        <v>0</v>
      </c>
      <c r="C70">
        <v>12</v>
      </c>
      <c r="D70">
        <v>2</v>
      </c>
      <c r="E70">
        <v>1</v>
      </c>
      <c r="F70">
        <v>0</v>
      </c>
      <c r="G70">
        <v>0</v>
      </c>
      <c r="H70">
        <v>0</v>
      </c>
      <c r="I70">
        <v>0</v>
      </c>
      <c r="J70">
        <v>1168</v>
      </c>
      <c r="K70">
        <v>0</v>
      </c>
      <c r="L70">
        <v>2</v>
      </c>
      <c r="M70">
        <v>4</v>
      </c>
      <c r="N70">
        <v>0</v>
      </c>
      <c r="O70">
        <v>0</v>
      </c>
      <c r="P70">
        <v>1</v>
      </c>
      <c r="Q70">
        <v>0</v>
      </c>
      <c r="R70">
        <v>3</v>
      </c>
      <c r="S70">
        <v>1</v>
      </c>
      <c r="T70">
        <v>0</v>
      </c>
      <c r="U70">
        <v>27</v>
      </c>
      <c r="V70">
        <v>0</v>
      </c>
      <c r="W70">
        <v>0</v>
      </c>
      <c r="X70">
        <v>1</v>
      </c>
      <c r="Y70">
        <v>1</v>
      </c>
      <c r="Z70">
        <v>1</v>
      </c>
      <c r="AA70">
        <v>1</v>
      </c>
      <c r="AB70">
        <v>0</v>
      </c>
      <c r="AC70">
        <v>0</v>
      </c>
      <c r="AD70">
        <v>1</v>
      </c>
      <c r="AE70">
        <v>202</v>
      </c>
      <c r="AF70">
        <v>0</v>
      </c>
      <c r="AG70">
        <v>0</v>
      </c>
      <c r="AI70">
        <v>0</v>
      </c>
      <c r="AJ70">
        <v>0</v>
      </c>
      <c r="AK70">
        <v>1</v>
      </c>
      <c r="AL70">
        <v>0.64981039777358895</v>
      </c>
      <c r="AM70">
        <v>-0.64981039777358895</v>
      </c>
      <c r="AN70">
        <v>0.35018960222640999</v>
      </c>
      <c r="AO70">
        <v>0.64981039777358895</v>
      </c>
    </row>
    <row r="71" spans="1:41" x14ac:dyDescent="0.35">
      <c r="A71">
        <v>203</v>
      </c>
      <c r="B71">
        <v>3</v>
      </c>
      <c r="C71">
        <v>27</v>
      </c>
      <c r="D71">
        <v>3</v>
      </c>
      <c r="E71">
        <v>0</v>
      </c>
      <c r="F71">
        <v>0</v>
      </c>
      <c r="G71">
        <v>0</v>
      </c>
      <c r="H71">
        <v>0</v>
      </c>
      <c r="I71">
        <v>1</v>
      </c>
      <c r="J71">
        <v>5117</v>
      </c>
      <c r="K71">
        <v>0</v>
      </c>
      <c r="L71">
        <v>3</v>
      </c>
      <c r="M71">
        <v>3</v>
      </c>
      <c r="N71">
        <v>0</v>
      </c>
      <c r="O71">
        <v>1</v>
      </c>
      <c r="P71">
        <v>0</v>
      </c>
      <c r="Q71">
        <v>0</v>
      </c>
      <c r="R71">
        <v>4</v>
      </c>
      <c r="S71">
        <v>0</v>
      </c>
      <c r="T71">
        <v>0</v>
      </c>
      <c r="U71">
        <v>26</v>
      </c>
      <c r="V71">
        <v>0</v>
      </c>
      <c r="W71">
        <v>0</v>
      </c>
      <c r="X71">
        <v>1</v>
      </c>
      <c r="Y71">
        <v>2</v>
      </c>
      <c r="Z71">
        <v>2</v>
      </c>
      <c r="AA71">
        <v>1</v>
      </c>
      <c r="AB71">
        <v>0</v>
      </c>
      <c r="AC71">
        <v>0</v>
      </c>
      <c r="AD71">
        <v>1</v>
      </c>
      <c r="AE71">
        <v>203</v>
      </c>
      <c r="AF71">
        <v>0</v>
      </c>
      <c r="AG71">
        <v>0</v>
      </c>
      <c r="AI71">
        <v>1</v>
      </c>
      <c r="AJ71">
        <v>1</v>
      </c>
      <c r="AK71">
        <v>1</v>
      </c>
      <c r="AL71">
        <v>0.148807445178361</v>
      </c>
      <c r="AM71">
        <v>-0.148807445178361</v>
      </c>
      <c r="AN71">
        <v>0.85119255482163803</v>
      </c>
      <c r="AO71">
        <v>0.148807445178361</v>
      </c>
    </row>
    <row r="72" spans="1:41" x14ac:dyDescent="0.35">
      <c r="A72">
        <v>205</v>
      </c>
      <c r="B72">
        <v>3</v>
      </c>
      <c r="C72">
        <v>12</v>
      </c>
      <c r="D72">
        <v>4</v>
      </c>
      <c r="E72">
        <v>1</v>
      </c>
      <c r="F72">
        <v>0</v>
      </c>
      <c r="G72">
        <v>0</v>
      </c>
      <c r="H72">
        <v>0</v>
      </c>
      <c r="I72">
        <v>0</v>
      </c>
      <c r="J72">
        <v>1495</v>
      </c>
      <c r="K72">
        <v>0</v>
      </c>
      <c r="L72">
        <v>4</v>
      </c>
      <c r="M72">
        <v>4</v>
      </c>
      <c r="N72">
        <v>0</v>
      </c>
      <c r="O72">
        <v>1</v>
      </c>
      <c r="P72">
        <v>0</v>
      </c>
      <c r="Q72">
        <v>0</v>
      </c>
      <c r="R72">
        <v>1</v>
      </c>
      <c r="S72">
        <v>1</v>
      </c>
      <c r="T72">
        <v>0</v>
      </c>
      <c r="U72">
        <v>38</v>
      </c>
      <c r="V72">
        <v>0</v>
      </c>
      <c r="W72">
        <v>0</v>
      </c>
      <c r="X72">
        <v>1</v>
      </c>
      <c r="Y72">
        <v>2</v>
      </c>
      <c r="Z72">
        <v>1</v>
      </c>
      <c r="AA72">
        <v>2</v>
      </c>
      <c r="AB72">
        <v>0</v>
      </c>
      <c r="AC72">
        <v>0</v>
      </c>
      <c r="AD72">
        <v>1</v>
      </c>
      <c r="AE72">
        <v>205</v>
      </c>
      <c r="AF72">
        <v>0</v>
      </c>
      <c r="AG72">
        <v>0</v>
      </c>
      <c r="AI72">
        <v>1</v>
      </c>
      <c r="AJ72">
        <v>1</v>
      </c>
      <c r="AK72">
        <v>1</v>
      </c>
      <c r="AL72">
        <v>0.107744571840671</v>
      </c>
      <c r="AM72">
        <v>-0.107744571840671</v>
      </c>
      <c r="AN72">
        <v>0.89225542815932801</v>
      </c>
      <c r="AO72">
        <v>0.107744571840671</v>
      </c>
    </row>
    <row r="73" spans="1:41" x14ac:dyDescent="0.35">
      <c r="A73">
        <v>208</v>
      </c>
      <c r="B73">
        <v>1</v>
      </c>
      <c r="C73">
        <v>12</v>
      </c>
      <c r="D73">
        <v>4</v>
      </c>
      <c r="E73">
        <v>0</v>
      </c>
      <c r="F73">
        <v>0</v>
      </c>
      <c r="G73">
        <v>0</v>
      </c>
      <c r="H73">
        <v>0</v>
      </c>
      <c r="I73">
        <v>0</v>
      </c>
      <c r="J73">
        <v>1424</v>
      </c>
      <c r="K73">
        <v>0</v>
      </c>
      <c r="L73">
        <v>3</v>
      </c>
      <c r="M73">
        <v>4</v>
      </c>
      <c r="N73">
        <v>0</v>
      </c>
      <c r="O73">
        <v>1</v>
      </c>
      <c r="P73">
        <v>0</v>
      </c>
      <c r="Q73">
        <v>0</v>
      </c>
      <c r="R73">
        <v>3</v>
      </c>
      <c r="S73">
        <v>0</v>
      </c>
      <c r="T73">
        <v>0</v>
      </c>
      <c r="U73">
        <v>26</v>
      </c>
      <c r="V73">
        <v>0</v>
      </c>
      <c r="W73">
        <v>0</v>
      </c>
      <c r="X73">
        <v>1</v>
      </c>
      <c r="Y73">
        <v>1</v>
      </c>
      <c r="Z73">
        <v>2</v>
      </c>
      <c r="AA73">
        <v>1</v>
      </c>
      <c r="AB73">
        <v>0</v>
      </c>
      <c r="AC73">
        <v>0</v>
      </c>
      <c r="AD73">
        <v>1</v>
      </c>
      <c r="AE73">
        <v>208</v>
      </c>
      <c r="AF73">
        <v>0</v>
      </c>
      <c r="AG73">
        <v>0</v>
      </c>
      <c r="AI73">
        <v>1</v>
      </c>
      <c r="AJ73">
        <v>1</v>
      </c>
      <c r="AK73">
        <v>1</v>
      </c>
      <c r="AL73">
        <v>0.173744199082523</v>
      </c>
      <c r="AM73">
        <v>-0.173744199082523</v>
      </c>
      <c r="AN73">
        <v>0.82625580091747597</v>
      </c>
      <c r="AO73">
        <v>0.173744199082523</v>
      </c>
    </row>
    <row r="74" spans="1:41" x14ac:dyDescent="0.35">
      <c r="A74">
        <v>229</v>
      </c>
      <c r="B74">
        <v>3</v>
      </c>
      <c r="C74">
        <v>9</v>
      </c>
      <c r="D74">
        <v>2</v>
      </c>
      <c r="E74">
        <v>0</v>
      </c>
      <c r="F74">
        <v>0</v>
      </c>
      <c r="G74">
        <v>0</v>
      </c>
      <c r="H74">
        <v>0</v>
      </c>
      <c r="I74">
        <v>0</v>
      </c>
      <c r="J74">
        <v>1478</v>
      </c>
      <c r="K74">
        <v>0</v>
      </c>
      <c r="L74">
        <v>3</v>
      </c>
      <c r="M74">
        <v>4</v>
      </c>
      <c r="N74">
        <v>0</v>
      </c>
      <c r="O74">
        <v>1</v>
      </c>
      <c r="P74">
        <v>0</v>
      </c>
      <c r="Q74">
        <v>0</v>
      </c>
      <c r="R74">
        <v>2</v>
      </c>
      <c r="S74">
        <v>0</v>
      </c>
      <c r="T74">
        <v>0</v>
      </c>
      <c r="U74">
        <v>22</v>
      </c>
      <c r="V74">
        <v>0</v>
      </c>
      <c r="W74">
        <v>0</v>
      </c>
      <c r="X74">
        <v>1</v>
      </c>
      <c r="Y74">
        <v>1</v>
      </c>
      <c r="Z74">
        <v>2</v>
      </c>
      <c r="AA74">
        <v>1</v>
      </c>
      <c r="AB74">
        <v>0</v>
      </c>
      <c r="AC74">
        <v>0</v>
      </c>
      <c r="AD74">
        <v>0</v>
      </c>
      <c r="AE74">
        <v>229</v>
      </c>
      <c r="AF74">
        <v>1</v>
      </c>
      <c r="AG74">
        <v>0</v>
      </c>
      <c r="AI74">
        <v>1</v>
      </c>
      <c r="AJ74">
        <v>1</v>
      </c>
      <c r="AK74">
        <v>0</v>
      </c>
      <c r="AL74">
        <v>-0.92909014247266697</v>
      </c>
      <c r="AM74">
        <v>0.92909014247266697</v>
      </c>
      <c r="AN74">
        <v>0.92909014247266697</v>
      </c>
      <c r="AO74">
        <v>7.0909857527333003E-2</v>
      </c>
    </row>
    <row r="75" spans="1:41" x14ac:dyDescent="0.35">
      <c r="A75">
        <v>232</v>
      </c>
      <c r="B75">
        <v>3</v>
      </c>
      <c r="C75">
        <v>9</v>
      </c>
      <c r="D75">
        <v>2</v>
      </c>
      <c r="E75">
        <v>1</v>
      </c>
      <c r="F75">
        <v>0</v>
      </c>
      <c r="G75">
        <v>0</v>
      </c>
      <c r="H75">
        <v>0</v>
      </c>
      <c r="I75">
        <v>0</v>
      </c>
      <c r="J75">
        <v>2507</v>
      </c>
      <c r="K75">
        <v>2</v>
      </c>
      <c r="L75">
        <v>4</v>
      </c>
      <c r="M75">
        <v>2</v>
      </c>
      <c r="N75">
        <v>0</v>
      </c>
      <c r="O75">
        <v>1</v>
      </c>
      <c r="P75">
        <v>0</v>
      </c>
      <c r="Q75">
        <v>0</v>
      </c>
      <c r="R75">
        <v>4</v>
      </c>
      <c r="S75">
        <v>0</v>
      </c>
      <c r="T75">
        <v>1</v>
      </c>
      <c r="U75">
        <v>51</v>
      </c>
      <c r="V75">
        <v>0</v>
      </c>
      <c r="W75">
        <v>0</v>
      </c>
      <c r="X75">
        <v>0</v>
      </c>
      <c r="Y75">
        <v>1</v>
      </c>
      <c r="Z75">
        <v>1</v>
      </c>
      <c r="AA75">
        <v>1</v>
      </c>
      <c r="AB75">
        <v>0</v>
      </c>
      <c r="AC75">
        <v>0</v>
      </c>
      <c r="AD75">
        <v>1</v>
      </c>
      <c r="AE75">
        <v>232</v>
      </c>
      <c r="AF75">
        <v>0</v>
      </c>
      <c r="AG75">
        <v>0</v>
      </c>
      <c r="AI75">
        <v>1</v>
      </c>
      <c r="AJ75">
        <v>1</v>
      </c>
      <c r="AK75">
        <v>1</v>
      </c>
      <c r="AL75">
        <v>9.8249869136191006E-2</v>
      </c>
      <c r="AM75">
        <v>-9.8249869136191006E-2</v>
      </c>
      <c r="AN75">
        <v>0.90175013086380895</v>
      </c>
      <c r="AO75">
        <v>9.8249869136191006E-2</v>
      </c>
    </row>
    <row r="76" spans="1:41" x14ac:dyDescent="0.35">
      <c r="A76">
        <v>234</v>
      </c>
      <c r="B76">
        <v>1</v>
      </c>
      <c r="C76">
        <v>18</v>
      </c>
      <c r="D76">
        <v>2</v>
      </c>
      <c r="E76">
        <v>0</v>
      </c>
      <c r="F76">
        <v>0</v>
      </c>
      <c r="G76">
        <v>0</v>
      </c>
      <c r="H76">
        <v>0</v>
      </c>
      <c r="I76">
        <v>0</v>
      </c>
      <c r="J76">
        <v>866</v>
      </c>
      <c r="K76">
        <v>0</v>
      </c>
      <c r="L76">
        <v>2</v>
      </c>
      <c r="M76">
        <v>4</v>
      </c>
      <c r="N76">
        <v>0</v>
      </c>
      <c r="O76">
        <v>0</v>
      </c>
      <c r="P76">
        <v>1</v>
      </c>
      <c r="Q76">
        <v>1</v>
      </c>
      <c r="R76">
        <v>2</v>
      </c>
      <c r="S76">
        <v>1</v>
      </c>
      <c r="T76">
        <v>0</v>
      </c>
      <c r="U76">
        <v>25</v>
      </c>
      <c r="V76">
        <v>0</v>
      </c>
      <c r="W76">
        <v>0</v>
      </c>
      <c r="X76">
        <v>1</v>
      </c>
      <c r="Y76">
        <v>1</v>
      </c>
      <c r="Z76">
        <v>1</v>
      </c>
      <c r="AA76">
        <v>1</v>
      </c>
      <c r="AB76">
        <v>0</v>
      </c>
      <c r="AC76">
        <v>0</v>
      </c>
      <c r="AD76">
        <v>1</v>
      </c>
      <c r="AE76">
        <v>234</v>
      </c>
      <c r="AF76">
        <v>1</v>
      </c>
      <c r="AG76">
        <v>0</v>
      </c>
      <c r="AI76">
        <v>1</v>
      </c>
      <c r="AJ76">
        <v>1</v>
      </c>
      <c r="AK76">
        <v>1</v>
      </c>
      <c r="AL76">
        <v>0.37468247286587197</v>
      </c>
      <c r="AM76">
        <v>-0.37468247286587197</v>
      </c>
      <c r="AN76">
        <v>0.62531752713412703</v>
      </c>
      <c r="AO76">
        <v>0.37468247286587197</v>
      </c>
    </row>
    <row r="77" spans="1:41" x14ac:dyDescent="0.35">
      <c r="A77">
        <v>236</v>
      </c>
      <c r="B77">
        <v>0</v>
      </c>
      <c r="C77">
        <v>24</v>
      </c>
      <c r="D77">
        <v>2</v>
      </c>
      <c r="E77">
        <v>0</v>
      </c>
      <c r="F77">
        <v>0</v>
      </c>
      <c r="G77">
        <v>0</v>
      </c>
      <c r="H77">
        <v>0</v>
      </c>
      <c r="I77">
        <v>0</v>
      </c>
      <c r="J77">
        <v>1823</v>
      </c>
      <c r="K77">
        <v>0</v>
      </c>
      <c r="L77">
        <v>0</v>
      </c>
      <c r="M77">
        <v>4</v>
      </c>
      <c r="N77">
        <v>0</v>
      </c>
      <c r="O77">
        <v>1</v>
      </c>
      <c r="P77">
        <v>0</v>
      </c>
      <c r="Q77">
        <v>0</v>
      </c>
      <c r="R77">
        <v>2</v>
      </c>
      <c r="S77">
        <v>0</v>
      </c>
      <c r="T77">
        <v>0</v>
      </c>
      <c r="U77">
        <v>30</v>
      </c>
      <c r="V77">
        <v>1</v>
      </c>
      <c r="W77">
        <v>0</v>
      </c>
      <c r="X77">
        <v>1</v>
      </c>
      <c r="Y77">
        <v>1</v>
      </c>
      <c r="Z77">
        <v>3</v>
      </c>
      <c r="AA77">
        <v>2</v>
      </c>
      <c r="AB77">
        <v>0</v>
      </c>
      <c r="AC77">
        <v>0</v>
      </c>
      <c r="AD77">
        <v>0</v>
      </c>
      <c r="AE77">
        <v>236</v>
      </c>
      <c r="AF77">
        <v>1</v>
      </c>
      <c r="AG77">
        <v>0</v>
      </c>
      <c r="AI77">
        <v>0</v>
      </c>
      <c r="AJ77">
        <v>0</v>
      </c>
      <c r="AK77">
        <v>0</v>
      </c>
      <c r="AL77">
        <v>-0.464903335365905</v>
      </c>
      <c r="AM77">
        <v>0.464903335365905</v>
      </c>
      <c r="AN77">
        <v>0.464903335365905</v>
      </c>
      <c r="AO77">
        <v>0.535096664634094</v>
      </c>
    </row>
    <row r="78" spans="1:41" x14ac:dyDescent="0.35">
      <c r="A78">
        <v>238</v>
      </c>
      <c r="B78">
        <v>1</v>
      </c>
      <c r="C78">
        <v>21</v>
      </c>
      <c r="D78">
        <v>2</v>
      </c>
      <c r="E78">
        <v>0</v>
      </c>
      <c r="F78">
        <v>0</v>
      </c>
      <c r="G78">
        <v>0</v>
      </c>
      <c r="H78">
        <v>0</v>
      </c>
      <c r="I78">
        <v>1</v>
      </c>
      <c r="J78">
        <v>2767</v>
      </c>
      <c r="K78">
        <v>1</v>
      </c>
      <c r="L78">
        <v>4</v>
      </c>
      <c r="M78">
        <v>4</v>
      </c>
      <c r="N78">
        <v>1</v>
      </c>
      <c r="O78">
        <v>0</v>
      </c>
      <c r="P78">
        <v>0</v>
      </c>
      <c r="Q78">
        <v>0</v>
      </c>
      <c r="R78">
        <v>2</v>
      </c>
      <c r="S78">
        <v>0</v>
      </c>
      <c r="T78">
        <v>0</v>
      </c>
      <c r="U78">
        <v>61</v>
      </c>
      <c r="V78">
        <v>1</v>
      </c>
      <c r="W78">
        <v>1</v>
      </c>
      <c r="X78">
        <v>0</v>
      </c>
      <c r="Y78">
        <v>2</v>
      </c>
      <c r="Z78">
        <v>1</v>
      </c>
      <c r="AA78">
        <v>1</v>
      </c>
      <c r="AB78">
        <v>0</v>
      </c>
      <c r="AC78">
        <v>0</v>
      </c>
      <c r="AD78">
        <v>0</v>
      </c>
      <c r="AE78">
        <v>238</v>
      </c>
      <c r="AF78">
        <v>0</v>
      </c>
      <c r="AG78">
        <v>0</v>
      </c>
      <c r="AI78">
        <v>0</v>
      </c>
      <c r="AJ78">
        <v>0</v>
      </c>
      <c r="AK78">
        <v>0</v>
      </c>
      <c r="AL78">
        <v>-0.42256735372308302</v>
      </c>
      <c r="AM78">
        <v>0.42256735372308302</v>
      </c>
      <c r="AN78">
        <v>0.42256735372308302</v>
      </c>
      <c r="AO78">
        <v>0.57743264627691604</v>
      </c>
    </row>
    <row r="79" spans="1:41" x14ac:dyDescent="0.35">
      <c r="A79">
        <v>240</v>
      </c>
      <c r="B79">
        <v>0</v>
      </c>
      <c r="C79">
        <v>30</v>
      </c>
      <c r="D79">
        <v>2</v>
      </c>
      <c r="E79">
        <v>0</v>
      </c>
      <c r="F79">
        <v>0</v>
      </c>
      <c r="G79">
        <v>0</v>
      </c>
      <c r="H79">
        <v>0</v>
      </c>
      <c r="I79">
        <v>0</v>
      </c>
      <c r="J79">
        <v>2522</v>
      </c>
      <c r="K79">
        <v>0</v>
      </c>
      <c r="L79">
        <v>4</v>
      </c>
      <c r="M79">
        <v>1</v>
      </c>
      <c r="N79">
        <v>0</v>
      </c>
      <c r="O79">
        <v>1</v>
      </c>
      <c r="P79">
        <v>0</v>
      </c>
      <c r="Q79">
        <v>1</v>
      </c>
      <c r="R79">
        <v>3</v>
      </c>
      <c r="S79">
        <v>0</v>
      </c>
      <c r="T79">
        <v>0</v>
      </c>
      <c r="U79">
        <v>39</v>
      </c>
      <c r="V79">
        <v>0</v>
      </c>
      <c r="W79">
        <v>0</v>
      </c>
      <c r="X79">
        <v>1</v>
      </c>
      <c r="Y79">
        <v>1</v>
      </c>
      <c r="Z79">
        <v>2</v>
      </c>
      <c r="AA79">
        <v>2</v>
      </c>
      <c r="AB79">
        <v>0</v>
      </c>
      <c r="AC79">
        <v>0</v>
      </c>
      <c r="AD79">
        <v>1</v>
      </c>
      <c r="AE79">
        <v>240</v>
      </c>
      <c r="AF79">
        <v>1</v>
      </c>
      <c r="AG79">
        <v>0</v>
      </c>
      <c r="AI79">
        <v>1</v>
      </c>
      <c r="AJ79">
        <v>1</v>
      </c>
      <c r="AK79">
        <v>1</v>
      </c>
      <c r="AL79">
        <v>0.249683001644876</v>
      </c>
      <c r="AM79">
        <v>-0.249683001644876</v>
      </c>
      <c r="AN79">
        <v>0.750316998355123</v>
      </c>
      <c r="AO79">
        <v>0.249683001644876</v>
      </c>
    </row>
    <row r="80" spans="1:41" x14ac:dyDescent="0.35">
      <c r="A80">
        <v>247</v>
      </c>
      <c r="B80">
        <v>3</v>
      </c>
      <c r="C80">
        <v>12</v>
      </c>
      <c r="D80">
        <v>4</v>
      </c>
      <c r="E80">
        <v>0</v>
      </c>
      <c r="F80">
        <v>0</v>
      </c>
      <c r="G80">
        <v>0</v>
      </c>
      <c r="H80">
        <v>0</v>
      </c>
      <c r="I80">
        <v>0</v>
      </c>
      <c r="J80">
        <v>717</v>
      </c>
      <c r="K80">
        <v>0</v>
      </c>
      <c r="L80">
        <v>4</v>
      </c>
      <c r="M80">
        <v>4</v>
      </c>
      <c r="N80">
        <v>0</v>
      </c>
      <c r="O80">
        <v>1</v>
      </c>
      <c r="P80">
        <v>0</v>
      </c>
      <c r="Q80">
        <v>0</v>
      </c>
      <c r="R80">
        <v>4</v>
      </c>
      <c r="S80">
        <v>1</v>
      </c>
      <c r="T80">
        <v>0</v>
      </c>
      <c r="U80">
        <v>52</v>
      </c>
      <c r="V80">
        <v>0</v>
      </c>
      <c r="W80">
        <v>0</v>
      </c>
      <c r="X80">
        <v>1</v>
      </c>
      <c r="Y80">
        <v>3</v>
      </c>
      <c r="Z80">
        <v>2</v>
      </c>
      <c r="AA80">
        <v>1</v>
      </c>
      <c r="AB80">
        <v>0</v>
      </c>
      <c r="AC80">
        <v>0</v>
      </c>
      <c r="AD80">
        <v>1</v>
      </c>
      <c r="AE80">
        <v>247</v>
      </c>
      <c r="AF80">
        <v>1</v>
      </c>
      <c r="AG80">
        <v>0</v>
      </c>
      <c r="AI80">
        <v>1</v>
      </c>
      <c r="AJ80">
        <v>1</v>
      </c>
      <c r="AK80">
        <v>1</v>
      </c>
      <c r="AL80">
        <v>4.3359493265318003E-2</v>
      </c>
      <c r="AM80">
        <v>-4.3359493265318003E-2</v>
      </c>
      <c r="AN80">
        <v>0.95664050673468104</v>
      </c>
      <c r="AO80">
        <v>4.3359493265318003E-2</v>
      </c>
    </row>
    <row r="81" spans="1:41" x14ac:dyDescent="0.35">
      <c r="A81">
        <v>248</v>
      </c>
      <c r="B81">
        <v>3</v>
      </c>
      <c r="C81">
        <v>6</v>
      </c>
      <c r="D81">
        <v>0</v>
      </c>
      <c r="E81">
        <v>1</v>
      </c>
      <c r="F81">
        <v>0</v>
      </c>
      <c r="G81">
        <v>0</v>
      </c>
      <c r="H81">
        <v>0</v>
      </c>
      <c r="I81">
        <v>0</v>
      </c>
      <c r="J81">
        <v>1204</v>
      </c>
      <c r="K81">
        <v>1</v>
      </c>
      <c r="L81">
        <v>2</v>
      </c>
      <c r="M81">
        <v>4</v>
      </c>
      <c r="N81">
        <v>0</v>
      </c>
      <c r="O81">
        <v>1</v>
      </c>
      <c r="P81">
        <v>0</v>
      </c>
      <c r="Q81">
        <v>0</v>
      </c>
      <c r="R81">
        <v>1</v>
      </c>
      <c r="S81">
        <v>0</v>
      </c>
      <c r="T81">
        <v>1</v>
      </c>
      <c r="U81">
        <v>35</v>
      </c>
      <c r="V81">
        <v>1</v>
      </c>
      <c r="W81">
        <v>1</v>
      </c>
      <c r="X81">
        <v>0</v>
      </c>
      <c r="Y81">
        <v>1</v>
      </c>
      <c r="Z81">
        <v>2</v>
      </c>
      <c r="AA81">
        <v>1</v>
      </c>
      <c r="AB81">
        <v>0</v>
      </c>
      <c r="AC81">
        <v>1</v>
      </c>
      <c r="AD81">
        <v>1</v>
      </c>
      <c r="AE81">
        <v>248</v>
      </c>
      <c r="AF81">
        <v>0</v>
      </c>
      <c r="AG81">
        <v>0</v>
      </c>
      <c r="AI81">
        <v>1</v>
      </c>
      <c r="AJ81">
        <v>1</v>
      </c>
      <c r="AK81">
        <v>1</v>
      </c>
      <c r="AL81">
        <v>0.14539797361531701</v>
      </c>
      <c r="AM81">
        <v>-0.14539797361531701</v>
      </c>
      <c r="AN81">
        <v>0.85460202638468197</v>
      </c>
      <c r="AO81">
        <v>0.14539797361531701</v>
      </c>
    </row>
    <row r="82" spans="1:41" x14ac:dyDescent="0.35">
      <c r="A82">
        <v>249</v>
      </c>
      <c r="B82">
        <v>2</v>
      </c>
      <c r="C82">
        <v>24</v>
      </c>
      <c r="D82">
        <v>2</v>
      </c>
      <c r="E82">
        <v>0</v>
      </c>
      <c r="F82">
        <v>0</v>
      </c>
      <c r="G82">
        <v>1</v>
      </c>
      <c r="H82">
        <v>0</v>
      </c>
      <c r="I82">
        <v>0</v>
      </c>
      <c r="J82">
        <v>1925</v>
      </c>
      <c r="K82">
        <v>0</v>
      </c>
      <c r="L82">
        <v>2</v>
      </c>
      <c r="M82">
        <v>2</v>
      </c>
      <c r="N82">
        <v>0</v>
      </c>
      <c r="O82">
        <v>1</v>
      </c>
      <c r="P82">
        <v>0</v>
      </c>
      <c r="Q82">
        <v>0</v>
      </c>
      <c r="R82">
        <v>2</v>
      </c>
      <c r="S82">
        <v>1</v>
      </c>
      <c r="T82">
        <v>0</v>
      </c>
      <c r="U82">
        <v>26</v>
      </c>
      <c r="V82">
        <v>0</v>
      </c>
      <c r="W82">
        <v>0</v>
      </c>
      <c r="X82">
        <v>1</v>
      </c>
      <c r="Y82">
        <v>1</v>
      </c>
      <c r="Z82">
        <v>2</v>
      </c>
      <c r="AA82">
        <v>1</v>
      </c>
      <c r="AB82">
        <v>0</v>
      </c>
      <c r="AC82">
        <v>0</v>
      </c>
      <c r="AD82">
        <v>1</v>
      </c>
      <c r="AE82">
        <v>249</v>
      </c>
      <c r="AF82">
        <v>0</v>
      </c>
      <c r="AG82">
        <v>0</v>
      </c>
      <c r="AI82">
        <v>1</v>
      </c>
      <c r="AJ82">
        <v>1</v>
      </c>
      <c r="AK82">
        <v>1</v>
      </c>
      <c r="AL82">
        <v>0.147561017230631</v>
      </c>
      <c r="AM82">
        <v>-0.147561017230631</v>
      </c>
      <c r="AN82">
        <v>0.85243898276936803</v>
      </c>
      <c r="AO82">
        <v>0.147561017230631</v>
      </c>
    </row>
    <row r="83" spans="1:41" x14ac:dyDescent="0.35">
      <c r="A83">
        <v>250</v>
      </c>
      <c r="B83">
        <v>3</v>
      </c>
      <c r="C83">
        <v>18</v>
      </c>
      <c r="D83">
        <v>2</v>
      </c>
      <c r="E83">
        <v>0</v>
      </c>
      <c r="F83">
        <v>0</v>
      </c>
      <c r="G83">
        <v>0</v>
      </c>
      <c r="H83">
        <v>0</v>
      </c>
      <c r="I83">
        <v>0</v>
      </c>
      <c r="J83">
        <v>433</v>
      </c>
      <c r="K83">
        <v>0</v>
      </c>
      <c r="L83">
        <v>0</v>
      </c>
      <c r="M83">
        <v>3</v>
      </c>
      <c r="N83">
        <v>0</v>
      </c>
      <c r="O83">
        <v>0</v>
      </c>
      <c r="P83">
        <v>0</v>
      </c>
      <c r="Q83">
        <v>0</v>
      </c>
      <c r="R83">
        <v>4</v>
      </c>
      <c r="S83">
        <v>1</v>
      </c>
      <c r="T83">
        <v>0</v>
      </c>
      <c r="U83">
        <v>22</v>
      </c>
      <c r="V83">
        <v>0</v>
      </c>
      <c r="W83">
        <v>1</v>
      </c>
      <c r="X83">
        <v>0</v>
      </c>
      <c r="Y83">
        <v>1</v>
      </c>
      <c r="Z83">
        <v>2</v>
      </c>
      <c r="AA83">
        <v>1</v>
      </c>
      <c r="AB83">
        <v>0</v>
      </c>
      <c r="AC83">
        <v>0</v>
      </c>
      <c r="AD83">
        <v>0</v>
      </c>
      <c r="AE83">
        <v>250</v>
      </c>
      <c r="AF83">
        <v>1</v>
      </c>
      <c r="AG83">
        <v>1</v>
      </c>
      <c r="AI83">
        <v>1</v>
      </c>
      <c r="AJ83">
        <v>1</v>
      </c>
      <c r="AK83">
        <v>0</v>
      </c>
      <c r="AL83">
        <v>-0.85588586271044398</v>
      </c>
      <c r="AM83">
        <v>0.85588586271044398</v>
      </c>
      <c r="AN83">
        <v>0.85588586271044398</v>
      </c>
      <c r="AO83">
        <v>0.14411413728955499</v>
      </c>
    </row>
    <row r="84" spans="1:41" x14ac:dyDescent="0.35">
      <c r="A84">
        <v>252</v>
      </c>
      <c r="B84">
        <v>2</v>
      </c>
      <c r="C84">
        <v>12</v>
      </c>
      <c r="D84">
        <v>2</v>
      </c>
      <c r="E84">
        <v>0</v>
      </c>
      <c r="F84">
        <v>0</v>
      </c>
      <c r="G84">
        <v>1</v>
      </c>
      <c r="H84">
        <v>0</v>
      </c>
      <c r="I84">
        <v>0</v>
      </c>
      <c r="J84">
        <v>2251</v>
      </c>
      <c r="K84">
        <v>0</v>
      </c>
      <c r="L84">
        <v>2</v>
      </c>
      <c r="M84">
        <v>1</v>
      </c>
      <c r="N84">
        <v>0</v>
      </c>
      <c r="O84">
        <v>0</v>
      </c>
      <c r="P84">
        <v>0</v>
      </c>
      <c r="Q84">
        <v>0</v>
      </c>
      <c r="R84">
        <v>2</v>
      </c>
      <c r="S84">
        <v>0</v>
      </c>
      <c r="T84">
        <v>0</v>
      </c>
      <c r="U84">
        <v>46</v>
      </c>
      <c r="V84">
        <v>0</v>
      </c>
      <c r="W84">
        <v>0</v>
      </c>
      <c r="X84">
        <v>1</v>
      </c>
      <c r="Y84">
        <v>1</v>
      </c>
      <c r="Z84">
        <v>1</v>
      </c>
      <c r="AA84">
        <v>1</v>
      </c>
      <c r="AB84">
        <v>0</v>
      </c>
      <c r="AC84">
        <v>0</v>
      </c>
      <c r="AD84">
        <v>1</v>
      </c>
      <c r="AE84">
        <v>252</v>
      </c>
      <c r="AF84">
        <v>0</v>
      </c>
      <c r="AG84">
        <v>0</v>
      </c>
      <c r="AI84">
        <v>1</v>
      </c>
      <c r="AJ84">
        <v>1</v>
      </c>
      <c r="AK84">
        <v>1</v>
      </c>
      <c r="AL84">
        <v>0.133291769208262</v>
      </c>
      <c r="AM84">
        <v>-0.133291769208262</v>
      </c>
      <c r="AN84">
        <v>0.86670823079173798</v>
      </c>
      <c r="AO84">
        <v>0.133291769208262</v>
      </c>
    </row>
    <row r="85" spans="1:41" x14ac:dyDescent="0.35">
      <c r="A85">
        <v>253</v>
      </c>
      <c r="B85">
        <v>1</v>
      </c>
      <c r="C85">
        <v>30</v>
      </c>
      <c r="D85">
        <v>2</v>
      </c>
      <c r="E85">
        <v>1</v>
      </c>
      <c r="F85">
        <v>0</v>
      </c>
      <c r="G85">
        <v>0</v>
      </c>
      <c r="H85">
        <v>0</v>
      </c>
      <c r="I85">
        <v>0</v>
      </c>
      <c r="J85">
        <v>2150</v>
      </c>
      <c r="K85">
        <v>0</v>
      </c>
      <c r="L85">
        <v>2</v>
      </c>
      <c r="M85">
        <v>4</v>
      </c>
      <c r="N85">
        <v>0</v>
      </c>
      <c r="O85">
        <v>0</v>
      </c>
      <c r="P85">
        <v>0</v>
      </c>
      <c r="Q85">
        <v>1</v>
      </c>
      <c r="R85">
        <v>2</v>
      </c>
      <c r="S85">
        <v>0</v>
      </c>
      <c r="T85">
        <v>1</v>
      </c>
      <c r="U85">
        <v>24</v>
      </c>
      <c r="V85">
        <v>1</v>
      </c>
      <c r="W85">
        <v>0</v>
      </c>
      <c r="X85">
        <v>1</v>
      </c>
      <c r="Y85">
        <v>1</v>
      </c>
      <c r="Z85">
        <v>2</v>
      </c>
      <c r="AA85">
        <v>1</v>
      </c>
      <c r="AB85">
        <v>0</v>
      </c>
      <c r="AC85">
        <v>0</v>
      </c>
      <c r="AD85">
        <v>0</v>
      </c>
      <c r="AE85">
        <v>253</v>
      </c>
      <c r="AF85">
        <v>0</v>
      </c>
      <c r="AG85">
        <v>0</v>
      </c>
      <c r="AI85">
        <v>0</v>
      </c>
      <c r="AJ85">
        <v>0</v>
      </c>
      <c r="AK85">
        <v>0</v>
      </c>
      <c r="AL85">
        <v>-0.210532212230124</v>
      </c>
      <c r="AM85">
        <v>0.210532212230124</v>
      </c>
      <c r="AN85">
        <v>0.210532212230124</v>
      </c>
      <c r="AO85">
        <v>0.78946778776987503</v>
      </c>
    </row>
    <row r="86" spans="1:41" x14ac:dyDescent="0.35">
      <c r="A86">
        <v>254</v>
      </c>
      <c r="B86">
        <v>3</v>
      </c>
      <c r="C86">
        <v>24</v>
      </c>
      <c r="D86">
        <v>3</v>
      </c>
      <c r="E86">
        <v>0</v>
      </c>
      <c r="F86">
        <v>0</v>
      </c>
      <c r="G86">
        <v>1</v>
      </c>
      <c r="H86">
        <v>0</v>
      </c>
      <c r="I86">
        <v>0</v>
      </c>
      <c r="J86">
        <v>4151</v>
      </c>
      <c r="K86">
        <v>1</v>
      </c>
      <c r="L86">
        <v>2</v>
      </c>
      <c r="M86">
        <v>2</v>
      </c>
      <c r="N86">
        <v>0</v>
      </c>
      <c r="O86">
        <v>1</v>
      </c>
      <c r="P86">
        <v>0</v>
      </c>
      <c r="Q86">
        <v>0</v>
      </c>
      <c r="R86">
        <v>3</v>
      </c>
      <c r="S86">
        <v>0</v>
      </c>
      <c r="T86">
        <v>0</v>
      </c>
      <c r="U86">
        <v>35</v>
      </c>
      <c r="V86">
        <v>0</v>
      </c>
      <c r="W86">
        <v>0</v>
      </c>
      <c r="X86">
        <v>1</v>
      </c>
      <c r="Y86">
        <v>2</v>
      </c>
      <c r="Z86">
        <v>2</v>
      </c>
      <c r="AA86">
        <v>1</v>
      </c>
      <c r="AB86">
        <v>0</v>
      </c>
      <c r="AC86">
        <v>0</v>
      </c>
      <c r="AD86">
        <v>1</v>
      </c>
      <c r="AE86">
        <v>254</v>
      </c>
      <c r="AF86">
        <v>0</v>
      </c>
      <c r="AG86">
        <v>0</v>
      </c>
      <c r="AI86">
        <v>1</v>
      </c>
      <c r="AJ86">
        <v>1</v>
      </c>
      <c r="AK86">
        <v>1</v>
      </c>
      <c r="AL86">
        <v>5.8638515010586902E-2</v>
      </c>
      <c r="AM86">
        <v>-5.8638515010586902E-2</v>
      </c>
      <c r="AN86">
        <v>0.94136148498941297</v>
      </c>
      <c r="AO86">
        <v>5.8638515010586902E-2</v>
      </c>
    </row>
    <row r="87" spans="1:41" x14ac:dyDescent="0.35">
      <c r="A87">
        <v>256</v>
      </c>
      <c r="B87">
        <v>1</v>
      </c>
      <c r="C87">
        <v>60</v>
      </c>
      <c r="D87">
        <v>3</v>
      </c>
      <c r="E87">
        <v>0</v>
      </c>
      <c r="F87">
        <v>0</v>
      </c>
      <c r="G87">
        <v>0</v>
      </c>
      <c r="H87">
        <v>0</v>
      </c>
      <c r="I87">
        <v>0</v>
      </c>
      <c r="J87">
        <v>7418</v>
      </c>
      <c r="K87">
        <v>4</v>
      </c>
      <c r="L87">
        <v>2</v>
      </c>
      <c r="M87">
        <v>1</v>
      </c>
      <c r="N87">
        <v>0</v>
      </c>
      <c r="O87">
        <v>1</v>
      </c>
      <c r="P87">
        <v>0</v>
      </c>
      <c r="Q87">
        <v>0</v>
      </c>
      <c r="R87">
        <v>1</v>
      </c>
      <c r="S87">
        <v>1</v>
      </c>
      <c r="T87">
        <v>0</v>
      </c>
      <c r="U87">
        <v>27</v>
      </c>
      <c r="V87">
        <v>0</v>
      </c>
      <c r="W87">
        <v>0</v>
      </c>
      <c r="X87">
        <v>1</v>
      </c>
      <c r="Y87">
        <v>1</v>
      </c>
      <c r="Z87">
        <v>1</v>
      </c>
      <c r="AA87">
        <v>1</v>
      </c>
      <c r="AB87">
        <v>0</v>
      </c>
      <c r="AC87">
        <v>0</v>
      </c>
      <c r="AD87">
        <v>1</v>
      </c>
      <c r="AE87">
        <v>256</v>
      </c>
      <c r="AF87">
        <v>1</v>
      </c>
      <c r="AG87">
        <v>0</v>
      </c>
      <c r="AI87">
        <v>1</v>
      </c>
      <c r="AJ87">
        <v>1</v>
      </c>
      <c r="AK87">
        <v>1</v>
      </c>
      <c r="AL87">
        <v>0.23709599529806</v>
      </c>
      <c r="AM87">
        <v>-0.23709599529806</v>
      </c>
      <c r="AN87">
        <v>0.76290400470193998</v>
      </c>
      <c r="AO87">
        <v>0.23709599529806</v>
      </c>
    </row>
    <row r="88" spans="1:41" x14ac:dyDescent="0.35">
      <c r="A88">
        <v>258</v>
      </c>
      <c r="B88">
        <v>0</v>
      </c>
      <c r="C88">
        <v>12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2149</v>
      </c>
      <c r="K88">
        <v>0</v>
      </c>
      <c r="L88">
        <v>2</v>
      </c>
      <c r="M88">
        <v>4</v>
      </c>
      <c r="N88">
        <v>1</v>
      </c>
      <c r="O88">
        <v>0</v>
      </c>
      <c r="P88">
        <v>0</v>
      </c>
      <c r="Q88">
        <v>0</v>
      </c>
      <c r="R88">
        <v>1</v>
      </c>
      <c r="S88">
        <v>0</v>
      </c>
      <c r="T88">
        <v>1</v>
      </c>
      <c r="U88">
        <v>29</v>
      </c>
      <c r="V88">
        <v>0</v>
      </c>
      <c r="W88">
        <v>0</v>
      </c>
      <c r="X88">
        <v>0</v>
      </c>
      <c r="Y88">
        <v>1</v>
      </c>
      <c r="Z88">
        <v>2</v>
      </c>
      <c r="AA88">
        <v>1</v>
      </c>
      <c r="AB88">
        <v>0</v>
      </c>
      <c r="AC88">
        <v>0</v>
      </c>
      <c r="AD88">
        <v>0</v>
      </c>
      <c r="AE88">
        <v>258</v>
      </c>
      <c r="AF88">
        <v>1</v>
      </c>
      <c r="AG88">
        <v>0</v>
      </c>
      <c r="AI88">
        <v>0</v>
      </c>
      <c r="AJ88">
        <v>0</v>
      </c>
      <c r="AK88">
        <v>0</v>
      </c>
      <c r="AL88">
        <v>-0.33405565867673498</v>
      </c>
      <c r="AM88">
        <v>0.33405565867673498</v>
      </c>
      <c r="AN88">
        <v>0.33405565867673498</v>
      </c>
      <c r="AO88">
        <v>0.66594434132326397</v>
      </c>
    </row>
    <row r="89" spans="1:41" x14ac:dyDescent="0.35">
      <c r="A89">
        <v>265</v>
      </c>
      <c r="B89">
        <v>3</v>
      </c>
      <c r="C89">
        <v>10</v>
      </c>
      <c r="D89">
        <v>4</v>
      </c>
      <c r="E89">
        <v>1</v>
      </c>
      <c r="F89">
        <v>0</v>
      </c>
      <c r="G89">
        <v>0</v>
      </c>
      <c r="H89">
        <v>0</v>
      </c>
      <c r="I89">
        <v>0</v>
      </c>
      <c r="J89">
        <v>1231</v>
      </c>
      <c r="K89">
        <v>0</v>
      </c>
      <c r="L89">
        <v>4</v>
      </c>
      <c r="M89">
        <v>3</v>
      </c>
      <c r="N89">
        <v>0</v>
      </c>
      <c r="O89">
        <v>1</v>
      </c>
      <c r="P89">
        <v>0</v>
      </c>
      <c r="Q89">
        <v>0</v>
      </c>
      <c r="R89">
        <v>4</v>
      </c>
      <c r="S89">
        <v>1</v>
      </c>
      <c r="T89">
        <v>0</v>
      </c>
      <c r="U89">
        <v>32</v>
      </c>
      <c r="V89">
        <v>0</v>
      </c>
      <c r="W89">
        <v>0</v>
      </c>
      <c r="X89">
        <v>1</v>
      </c>
      <c r="Y89">
        <v>2</v>
      </c>
      <c r="Z89">
        <v>1</v>
      </c>
      <c r="AA89">
        <v>2</v>
      </c>
      <c r="AB89">
        <v>0</v>
      </c>
      <c r="AC89">
        <v>1</v>
      </c>
      <c r="AD89">
        <v>1</v>
      </c>
      <c r="AE89">
        <v>265</v>
      </c>
      <c r="AF89">
        <v>0</v>
      </c>
      <c r="AG89">
        <v>0</v>
      </c>
      <c r="AI89">
        <v>1</v>
      </c>
      <c r="AJ89">
        <v>1</v>
      </c>
      <c r="AK89">
        <v>1</v>
      </c>
      <c r="AL89">
        <v>1.9079592152255499E-2</v>
      </c>
      <c r="AM89">
        <v>-1.9079592152255499E-2</v>
      </c>
      <c r="AN89">
        <v>0.98092040784774404</v>
      </c>
      <c r="AO89">
        <v>1.9079592152255499E-2</v>
      </c>
    </row>
    <row r="90" spans="1:41" x14ac:dyDescent="0.35">
      <c r="A90">
        <v>269</v>
      </c>
      <c r="B90">
        <v>0</v>
      </c>
      <c r="C90">
        <v>14</v>
      </c>
      <c r="D90">
        <v>2</v>
      </c>
      <c r="E90">
        <v>1</v>
      </c>
      <c r="F90">
        <v>0</v>
      </c>
      <c r="G90">
        <v>0</v>
      </c>
      <c r="H90">
        <v>0</v>
      </c>
      <c r="I90">
        <v>0</v>
      </c>
      <c r="J90">
        <v>8978</v>
      </c>
      <c r="K90">
        <v>0</v>
      </c>
      <c r="L90">
        <v>4</v>
      </c>
      <c r="M90">
        <v>1</v>
      </c>
      <c r="N90">
        <v>1</v>
      </c>
      <c r="O90">
        <v>0</v>
      </c>
      <c r="P90">
        <v>0</v>
      </c>
      <c r="Q90">
        <v>0</v>
      </c>
      <c r="R90">
        <v>4</v>
      </c>
      <c r="S90">
        <v>0</v>
      </c>
      <c r="T90">
        <v>0</v>
      </c>
      <c r="U90">
        <v>45</v>
      </c>
      <c r="V90">
        <v>0</v>
      </c>
      <c r="W90">
        <v>0</v>
      </c>
      <c r="X90">
        <v>1</v>
      </c>
      <c r="Y90">
        <v>1</v>
      </c>
      <c r="Z90">
        <v>3</v>
      </c>
      <c r="AA90">
        <v>1</v>
      </c>
      <c r="AB90">
        <v>1</v>
      </c>
      <c r="AC90">
        <v>1</v>
      </c>
      <c r="AD90">
        <v>0</v>
      </c>
      <c r="AE90">
        <v>269</v>
      </c>
      <c r="AF90">
        <v>0</v>
      </c>
      <c r="AG90">
        <v>0</v>
      </c>
      <c r="AI90">
        <v>1</v>
      </c>
      <c r="AJ90">
        <v>1</v>
      </c>
      <c r="AK90">
        <v>0</v>
      </c>
      <c r="AL90">
        <v>-0.69496872520146102</v>
      </c>
      <c r="AM90">
        <v>0.69496872520146102</v>
      </c>
      <c r="AN90">
        <v>0.69496872520146102</v>
      </c>
      <c r="AO90">
        <v>0.30503127479853798</v>
      </c>
    </row>
    <row r="91" spans="1:41" x14ac:dyDescent="0.35">
      <c r="A91">
        <v>271</v>
      </c>
      <c r="B91">
        <v>3</v>
      </c>
      <c r="C91">
        <v>18</v>
      </c>
      <c r="D91">
        <v>2</v>
      </c>
      <c r="E91">
        <v>1</v>
      </c>
      <c r="F91">
        <v>0</v>
      </c>
      <c r="G91">
        <v>0</v>
      </c>
      <c r="H91">
        <v>0</v>
      </c>
      <c r="I91">
        <v>0</v>
      </c>
      <c r="J91">
        <v>2662</v>
      </c>
      <c r="K91">
        <v>4</v>
      </c>
      <c r="L91">
        <v>3</v>
      </c>
      <c r="M91">
        <v>4</v>
      </c>
      <c r="N91">
        <v>0</v>
      </c>
      <c r="O91">
        <v>1</v>
      </c>
      <c r="P91">
        <v>0</v>
      </c>
      <c r="Q91">
        <v>0</v>
      </c>
      <c r="R91">
        <v>3</v>
      </c>
      <c r="S91">
        <v>0</v>
      </c>
      <c r="T91">
        <v>0</v>
      </c>
      <c r="U91">
        <v>32</v>
      </c>
      <c r="V91">
        <v>0</v>
      </c>
      <c r="W91">
        <v>0</v>
      </c>
      <c r="X91">
        <v>1</v>
      </c>
      <c r="Y91">
        <v>1</v>
      </c>
      <c r="Z91">
        <v>2</v>
      </c>
      <c r="AA91">
        <v>1</v>
      </c>
      <c r="AB91">
        <v>0</v>
      </c>
      <c r="AC91">
        <v>1</v>
      </c>
      <c r="AD91">
        <v>1</v>
      </c>
      <c r="AE91">
        <v>271</v>
      </c>
      <c r="AF91">
        <v>0</v>
      </c>
      <c r="AG91">
        <v>0</v>
      </c>
      <c r="AI91">
        <v>1</v>
      </c>
      <c r="AJ91">
        <v>1</v>
      </c>
      <c r="AK91">
        <v>1</v>
      </c>
      <c r="AL91">
        <v>1.7018357313516901E-2</v>
      </c>
      <c r="AM91">
        <v>-1.7018357313516901E-2</v>
      </c>
      <c r="AN91">
        <v>0.98298164268648303</v>
      </c>
      <c r="AO91">
        <v>1.7018357313516901E-2</v>
      </c>
    </row>
    <row r="92" spans="1:41" x14ac:dyDescent="0.35">
      <c r="A92">
        <v>272</v>
      </c>
      <c r="B92">
        <v>3</v>
      </c>
      <c r="C92">
        <v>12</v>
      </c>
      <c r="D92">
        <v>4</v>
      </c>
      <c r="E92">
        <v>0</v>
      </c>
      <c r="F92">
        <v>0</v>
      </c>
      <c r="G92">
        <v>1</v>
      </c>
      <c r="H92">
        <v>0</v>
      </c>
      <c r="I92">
        <v>0</v>
      </c>
      <c r="J92">
        <v>1402</v>
      </c>
      <c r="K92">
        <v>2</v>
      </c>
      <c r="L92">
        <v>3</v>
      </c>
      <c r="M92">
        <v>3</v>
      </c>
      <c r="N92">
        <v>0</v>
      </c>
      <c r="O92">
        <v>0</v>
      </c>
      <c r="P92">
        <v>0</v>
      </c>
      <c r="Q92">
        <v>0</v>
      </c>
      <c r="R92">
        <v>4</v>
      </c>
      <c r="S92">
        <v>0</v>
      </c>
      <c r="T92">
        <v>0</v>
      </c>
      <c r="U92">
        <v>37</v>
      </c>
      <c r="V92">
        <v>0</v>
      </c>
      <c r="W92">
        <v>1</v>
      </c>
      <c r="X92">
        <v>0</v>
      </c>
      <c r="Y92">
        <v>1</v>
      </c>
      <c r="Z92">
        <v>2</v>
      </c>
      <c r="AA92">
        <v>1</v>
      </c>
      <c r="AB92">
        <v>1</v>
      </c>
      <c r="AC92">
        <v>0</v>
      </c>
      <c r="AD92">
        <v>1</v>
      </c>
      <c r="AE92">
        <v>272</v>
      </c>
      <c r="AF92">
        <v>0</v>
      </c>
      <c r="AG92">
        <v>0</v>
      </c>
      <c r="AI92">
        <v>1</v>
      </c>
      <c r="AJ92">
        <v>1</v>
      </c>
      <c r="AK92">
        <v>1</v>
      </c>
      <c r="AL92">
        <v>8.8457800389677099E-2</v>
      </c>
      <c r="AM92">
        <v>-8.8457800389677099E-2</v>
      </c>
      <c r="AN92">
        <v>0.91154219961032201</v>
      </c>
      <c r="AO92">
        <v>8.8457800389677099E-2</v>
      </c>
    </row>
    <row r="93" spans="1:41" x14ac:dyDescent="0.35">
      <c r="A93">
        <v>274</v>
      </c>
      <c r="B93">
        <v>1</v>
      </c>
      <c r="C93">
        <v>48</v>
      </c>
      <c r="D93">
        <v>2</v>
      </c>
      <c r="E93">
        <v>0</v>
      </c>
      <c r="F93">
        <v>0</v>
      </c>
      <c r="G93">
        <v>0</v>
      </c>
      <c r="H93">
        <v>0</v>
      </c>
      <c r="I93">
        <v>0</v>
      </c>
      <c r="J93">
        <v>3060</v>
      </c>
      <c r="K93">
        <v>0</v>
      </c>
      <c r="L93">
        <v>3</v>
      </c>
      <c r="M93">
        <v>4</v>
      </c>
      <c r="N93">
        <v>0</v>
      </c>
      <c r="O93">
        <v>1</v>
      </c>
      <c r="P93">
        <v>0</v>
      </c>
      <c r="Q93">
        <v>0</v>
      </c>
      <c r="R93">
        <v>4</v>
      </c>
      <c r="S93">
        <v>1</v>
      </c>
      <c r="T93">
        <v>0</v>
      </c>
      <c r="U93">
        <v>28</v>
      </c>
      <c r="V93">
        <v>0</v>
      </c>
      <c r="W93">
        <v>0</v>
      </c>
      <c r="X93">
        <v>1</v>
      </c>
      <c r="Y93">
        <v>2</v>
      </c>
      <c r="Z93">
        <v>2</v>
      </c>
      <c r="AA93">
        <v>1</v>
      </c>
      <c r="AB93">
        <v>0</v>
      </c>
      <c r="AC93">
        <v>0</v>
      </c>
      <c r="AD93">
        <v>0</v>
      </c>
      <c r="AE93">
        <v>274</v>
      </c>
      <c r="AF93">
        <v>1</v>
      </c>
      <c r="AG93">
        <v>0</v>
      </c>
      <c r="AI93">
        <v>0</v>
      </c>
      <c r="AJ93">
        <v>0</v>
      </c>
      <c r="AK93">
        <v>0</v>
      </c>
      <c r="AL93">
        <v>-0.496554892475075</v>
      </c>
      <c r="AM93">
        <v>0.496554892475075</v>
      </c>
      <c r="AN93">
        <v>0.496554892475075</v>
      </c>
      <c r="AO93">
        <v>0.503445107524925</v>
      </c>
    </row>
    <row r="94" spans="1:41" x14ac:dyDescent="0.35">
      <c r="A94">
        <v>276</v>
      </c>
      <c r="B94">
        <v>3</v>
      </c>
      <c r="C94">
        <v>9</v>
      </c>
      <c r="D94">
        <v>2</v>
      </c>
      <c r="E94">
        <v>0</v>
      </c>
      <c r="F94">
        <v>0</v>
      </c>
      <c r="G94">
        <v>0</v>
      </c>
      <c r="H94">
        <v>0</v>
      </c>
      <c r="I94">
        <v>0</v>
      </c>
      <c r="J94">
        <v>2697</v>
      </c>
      <c r="K94">
        <v>0</v>
      </c>
      <c r="L94">
        <v>2</v>
      </c>
      <c r="M94">
        <v>1</v>
      </c>
      <c r="N94">
        <v>0</v>
      </c>
      <c r="O94">
        <v>1</v>
      </c>
      <c r="P94">
        <v>0</v>
      </c>
      <c r="Q94">
        <v>0</v>
      </c>
      <c r="R94">
        <v>2</v>
      </c>
      <c r="S94">
        <v>1</v>
      </c>
      <c r="T94">
        <v>0</v>
      </c>
      <c r="U94">
        <v>32</v>
      </c>
      <c r="V94">
        <v>0</v>
      </c>
      <c r="W94">
        <v>0</v>
      </c>
      <c r="X94">
        <v>1</v>
      </c>
      <c r="Y94">
        <v>1</v>
      </c>
      <c r="Z94">
        <v>2</v>
      </c>
      <c r="AA94">
        <v>2</v>
      </c>
      <c r="AB94">
        <v>0</v>
      </c>
      <c r="AC94">
        <v>0</v>
      </c>
      <c r="AD94">
        <v>1</v>
      </c>
      <c r="AE94">
        <v>276</v>
      </c>
      <c r="AF94">
        <v>1</v>
      </c>
      <c r="AG94">
        <v>0</v>
      </c>
      <c r="AI94">
        <v>1</v>
      </c>
      <c r="AJ94">
        <v>1</v>
      </c>
      <c r="AK94">
        <v>1</v>
      </c>
      <c r="AL94">
        <v>3.2384775354126899E-2</v>
      </c>
      <c r="AM94">
        <v>-3.2384775354126899E-2</v>
      </c>
      <c r="AN94">
        <v>0.96761522464587302</v>
      </c>
      <c r="AO94">
        <v>3.2384775354126899E-2</v>
      </c>
    </row>
    <row r="95" spans="1:41" x14ac:dyDescent="0.35">
      <c r="A95">
        <v>278</v>
      </c>
      <c r="B95">
        <v>0</v>
      </c>
      <c r="C95">
        <v>12</v>
      </c>
      <c r="D95">
        <v>2</v>
      </c>
      <c r="E95">
        <v>0</v>
      </c>
      <c r="F95">
        <v>0</v>
      </c>
      <c r="G95">
        <v>1</v>
      </c>
      <c r="H95">
        <v>0</v>
      </c>
      <c r="I95">
        <v>0</v>
      </c>
      <c r="J95">
        <v>1262</v>
      </c>
      <c r="K95">
        <v>4</v>
      </c>
      <c r="L95">
        <v>4</v>
      </c>
      <c r="M95">
        <v>2</v>
      </c>
      <c r="N95">
        <v>1</v>
      </c>
      <c r="O95">
        <v>0</v>
      </c>
      <c r="P95">
        <v>0</v>
      </c>
      <c r="Q95">
        <v>0</v>
      </c>
      <c r="R95">
        <v>4</v>
      </c>
      <c r="S95">
        <v>0</v>
      </c>
      <c r="T95">
        <v>0</v>
      </c>
      <c r="U95">
        <v>49</v>
      </c>
      <c r="V95">
        <v>0</v>
      </c>
      <c r="W95">
        <v>0</v>
      </c>
      <c r="X95">
        <v>1</v>
      </c>
      <c r="Y95">
        <v>1</v>
      </c>
      <c r="Z95">
        <v>1</v>
      </c>
      <c r="AA95">
        <v>1</v>
      </c>
      <c r="AB95">
        <v>1</v>
      </c>
      <c r="AC95">
        <v>0</v>
      </c>
      <c r="AD95">
        <v>1</v>
      </c>
      <c r="AE95">
        <v>278</v>
      </c>
      <c r="AF95">
        <v>0</v>
      </c>
      <c r="AG95">
        <v>0</v>
      </c>
      <c r="AI95">
        <v>1</v>
      </c>
      <c r="AJ95">
        <v>1</v>
      </c>
      <c r="AK95">
        <v>1</v>
      </c>
      <c r="AL95">
        <v>9.8944904749925205E-2</v>
      </c>
      <c r="AM95">
        <v>-9.8944904749925205E-2</v>
      </c>
      <c r="AN95">
        <v>0.90105509525007399</v>
      </c>
      <c r="AO95">
        <v>9.8944904749925205E-2</v>
      </c>
    </row>
    <row r="96" spans="1:41" x14ac:dyDescent="0.35">
      <c r="A96">
        <v>280</v>
      </c>
      <c r="B96">
        <v>3</v>
      </c>
      <c r="C96">
        <v>24</v>
      </c>
      <c r="D96">
        <v>2</v>
      </c>
      <c r="E96">
        <v>0</v>
      </c>
      <c r="F96">
        <v>0</v>
      </c>
      <c r="G96">
        <v>0</v>
      </c>
      <c r="H96">
        <v>0</v>
      </c>
      <c r="I96">
        <v>0</v>
      </c>
      <c r="J96">
        <v>1901</v>
      </c>
      <c r="K96">
        <v>1</v>
      </c>
      <c r="L96">
        <v>2</v>
      </c>
      <c r="M96">
        <v>4</v>
      </c>
      <c r="N96">
        <v>0</v>
      </c>
      <c r="O96">
        <v>1</v>
      </c>
      <c r="P96">
        <v>0</v>
      </c>
      <c r="Q96">
        <v>0</v>
      </c>
      <c r="R96">
        <v>4</v>
      </c>
      <c r="S96">
        <v>0</v>
      </c>
      <c r="T96">
        <v>0</v>
      </c>
      <c r="U96">
        <v>29</v>
      </c>
      <c r="V96">
        <v>0</v>
      </c>
      <c r="W96">
        <v>1</v>
      </c>
      <c r="X96">
        <v>0</v>
      </c>
      <c r="Y96">
        <v>1</v>
      </c>
      <c r="Z96">
        <v>3</v>
      </c>
      <c r="AA96">
        <v>1</v>
      </c>
      <c r="AB96">
        <v>1</v>
      </c>
      <c r="AC96">
        <v>0</v>
      </c>
      <c r="AD96">
        <v>1</v>
      </c>
      <c r="AE96">
        <v>280</v>
      </c>
      <c r="AF96">
        <v>1</v>
      </c>
      <c r="AG96">
        <v>0</v>
      </c>
      <c r="AI96">
        <v>1</v>
      </c>
      <c r="AJ96">
        <v>1</v>
      </c>
      <c r="AK96">
        <v>1</v>
      </c>
      <c r="AL96">
        <v>0.10631692058645401</v>
      </c>
      <c r="AM96">
        <v>-0.10631692058645401</v>
      </c>
      <c r="AN96">
        <v>0.89368307941354497</v>
      </c>
      <c r="AO96">
        <v>0.10631692058645401</v>
      </c>
    </row>
    <row r="97" spans="1:41" x14ac:dyDescent="0.35">
      <c r="A97">
        <v>282</v>
      </c>
      <c r="B97">
        <v>3</v>
      </c>
      <c r="C97">
        <v>12</v>
      </c>
      <c r="D97">
        <v>2</v>
      </c>
      <c r="E97">
        <v>0</v>
      </c>
      <c r="F97">
        <v>0</v>
      </c>
      <c r="G97">
        <v>1</v>
      </c>
      <c r="H97">
        <v>0</v>
      </c>
      <c r="I97">
        <v>0</v>
      </c>
      <c r="J97">
        <v>1574</v>
      </c>
      <c r="K97">
        <v>0</v>
      </c>
      <c r="L97">
        <v>2</v>
      </c>
      <c r="M97">
        <v>4</v>
      </c>
      <c r="N97">
        <v>0</v>
      </c>
      <c r="O97">
        <v>1</v>
      </c>
      <c r="P97">
        <v>0</v>
      </c>
      <c r="Q97">
        <v>0</v>
      </c>
      <c r="R97">
        <v>2</v>
      </c>
      <c r="S97">
        <v>1</v>
      </c>
      <c r="T97">
        <v>0</v>
      </c>
      <c r="U97">
        <v>50</v>
      </c>
      <c r="V97">
        <v>0</v>
      </c>
      <c r="W97">
        <v>0</v>
      </c>
      <c r="X97">
        <v>1</v>
      </c>
      <c r="Y97">
        <v>1</v>
      </c>
      <c r="Z97">
        <v>2</v>
      </c>
      <c r="AA97">
        <v>1</v>
      </c>
      <c r="AB97">
        <v>0</v>
      </c>
      <c r="AC97">
        <v>0</v>
      </c>
      <c r="AD97">
        <v>1</v>
      </c>
      <c r="AE97">
        <v>282</v>
      </c>
      <c r="AF97">
        <v>0</v>
      </c>
      <c r="AG97">
        <v>0</v>
      </c>
      <c r="AI97">
        <v>1</v>
      </c>
      <c r="AJ97">
        <v>1</v>
      </c>
      <c r="AK97">
        <v>1</v>
      </c>
      <c r="AL97">
        <v>7.6663407376781095E-2</v>
      </c>
      <c r="AM97">
        <v>-7.6663407376781095E-2</v>
      </c>
      <c r="AN97">
        <v>0.92333659262321799</v>
      </c>
      <c r="AO97">
        <v>7.6663407376781095E-2</v>
      </c>
    </row>
    <row r="98" spans="1:41" x14ac:dyDescent="0.35">
      <c r="A98">
        <v>283</v>
      </c>
      <c r="B98">
        <v>2</v>
      </c>
      <c r="C98">
        <v>18</v>
      </c>
      <c r="D98">
        <v>1</v>
      </c>
      <c r="E98">
        <v>0</v>
      </c>
      <c r="F98">
        <v>0</v>
      </c>
      <c r="G98">
        <v>0</v>
      </c>
      <c r="H98">
        <v>0</v>
      </c>
      <c r="I98">
        <v>0</v>
      </c>
      <c r="J98">
        <v>1445</v>
      </c>
      <c r="K98">
        <v>4</v>
      </c>
      <c r="L98">
        <v>3</v>
      </c>
      <c r="M98">
        <v>4</v>
      </c>
      <c r="N98">
        <v>0</v>
      </c>
      <c r="O98">
        <v>1</v>
      </c>
      <c r="P98">
        <v>0</v>
      </c>
      <c r="Q98">
        <v>0</v>
      </c>
      <c r="R98">
        <v>4</v>
      </c>
      <c r="S98">
        <v>0</v>
      </c>
      <c r="T98">
        <v>0</v>
      </c>
      <c r="U98">
        <v>49</v>
      </c>
      <c r="V98">
        <v>1</v>
      </c>
      <c r="W98">
        <v>0</v>
      </c>
      <c r="X98">
        <v>1</v>
      </c>
      <c r="Y98">
        <v>1</v>
      </c>
      <c r="Z98">
        <v>1</v>
      </c>
      <c r="AA98">
        <v>1</v>
      </c>
      <c r="AB98">
        <v>0</v>
      </c>
      <c r="AC98">
        <v>0</v>
      </c>
      <c r="AD98">
        <v>1</v>
      </c>
      <c r="AE98">
        <v>283</v>
      </c>
      <c r="AF98">
        <v>1</v>
      </c>
      <c r="AG98">
        <v>0</v>
      </c>
      <c r="AI98">
        <v>1</v>
      </c>
      <c r="AJ98">
        <v>1</v>
      </c>
      <c r="AK98">
        <v>1</v>
      </c>
      <c r="AL98">
        <v>0.22014489522575501</v>
      </c>
      <c r="AM98">
        <v>-0.22014489522575501</v>
      </c>
      <c r="AN98">
        <v>0.77985510477424402</v>
      </c>
      <c r="AO98">
        <v>0.22014489522575501</v>
      </c>
    </row>
    <row r="99" spans="1:41" x14ac:dyDescent="0.35">
      <c r="A99">
        <v>289</v>
      </c>
      <c r="B99">
        <v>1</v>
      </c>
      <c r="C99">
        <v>12</v>
      </c>
      <c r="D99">
        <v>2</v>
      </c>
      <c r="E99">
        <v>0</v>
      </c>
      <c r="F99">
        <v>0</v>
      </c>
      <c r="G99">
        <v>0</v>
      </c>
      <c r="H99">
        <v>0</v>
      </c>
      <c r="I99">
        <v>0</v>
      </c>
      <c r="J99">
        <v>1092</v>
      </c>
      <c r="K99">
        <v>0</v>
      </c>
      <c r="L99">
        <v>2</v>
      </c>
      <c r="M99">
        <v>4</v>
      </c>
      <c r="N99">
        <v>0</v>
      </c>
      <c r="O99">
        <v>0</v>
      </c>
      <c r="P99">
        <v>0</v>
      </c>
      <c r="Q99">
        <v>1</v>
      </c>
      <c r="R99">
        <v>4</v>
      </c>
      <c r="S99">
        <v>1</v>
      </c>
      <c r="T99">
        <v>0</v>
      </c>
      <c r="U99">
        <v>49</v>
      </c>
      <c r="V99">
        <v>0</v>
      </c>
      <c r="W99">
        <v>0</v>
      </c>
      <c r="X99">
        <v>1</v>
      </c>
      <c r="Y99">
        <v>2</v>
      </c>
      <c r="Z99">
        <v>2</v>
      </c>
      <c r="AA99">
        <v>1</v>
      </c>
      <c r="AB99">
        <v>1</v>
      </c>
      <c r="AC99">
        <v>0</v>
      </c>
      <c r="AD99">
        <v>1</v>
      </c>
      <c r="AE99">
        <v>289</v>
      </c>
      <c r="AF99">
        <v>1</v>
      </c>
      <c r="AG99">
        <v>0</v>
      </c>
      <c r="AI99">
        <v>1</v>
      </c>
      <c r="AJ99">
        <v>1</v>
      </c>
      <c r="AK99">
        <v>1</v>
      </c>
      <c r="AL99">
        <v>0.34694458923125998</v>
      </c>
      <c r="AM99">
        <v>-0.34694458923125998</v>
      </c>
      <c r="AN99">
        <v>0.65305541076873896</v>
      </c>
      <c r="AO99">
        <v>0.34694458923125998</v>
      </c>
    </row>
    <row r="100" spans="1:41" x14ac:dyDescent="0.35">
      <c r="A100">
        <v>290</v>
      </c>
      <c r="B100">
        <v>0</v>
      </c>
      <c r="C100">
        <v>24</v>
      </c>
      <c r="D100">
        <v>3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1024</v>
      </c>
      <c r="K100">
        <v>0</v>
      </c>
      <c r="L100">
        <v>1</v>
      </c>
      <c r="M100">
        <v>4</v>
      </c>
      <c r="N100">
        <v>0</v>
      </c>
      <c r="O100">
        <v>0</v>
      </c>
      <c r="P100">
        <v>1</v>
      </c>
      <c r="Q100">
        <v>0</v>
      </c>
      <c r="R100">
        <v>4</v>
      </c>
      <c r="S100">
        <v>1</v>
      </c>
      <c r="T100">
        <v>0</v>
      </c>
      <c r="U100">
        <v>48</v>
      </c>
      <c r="V100">
        <v>1</v>
      </c>
      <c r="W100">
        <v>0</v>
      </c>
      <c r="X100">
        <v>1</v>
      </c>
      <c r="Y100">
        <v>1</v>
      </c>
      <c r="Z100">
        <v>2</v>
      </c>
      <c r="AA100">
        <v>1</v>
      </c>
      <c r="AB100">
        <v>0</v>
      </c>
      <c r="AC100">
        <v>0</v>
      </c>
      <c r="AD100">
        <v>0</v>
      </c>
      <c r="AE100">
        <v>290</v>
      </c>
      <c r="AF100">
        <v>1</v>
      </c>
      <c r="AG100">
        <v>0</v>
      </c>
      <c r="AI100">
        <v>0</v>
      </c>
      <c r="AJ100">
        <v>0</v>
      </c>
      <c r="AK100">
        <v>0</v>
      </c>
      <c r="AL100">
        <v>-0.31017367817512198</v>
      </c>
      <c r="AM100">
        <v>0.31017367817512198</v>
      </c>
      <c r="AN100">
        <v>0.31017367817512198</v>
      </c>
      <c r="AO100">
        <v>0.68982632182487702</v>
      </c>
    </row>
    <row r="101" spans="1:41" x14ac:dyDescent="0.35">
      <c r="A101">
        <v>294</v>
      </c>
      <c r="B101">
        <v>2</v>
      </c>
      <c r="C101">
        <v>42</v>
      </c>
      <c r="D101">
        <v>4</v>
      </c>
      <c r="E101">
        <v>0</v>
      </c>
      <c r="F101">
        <v>1</v>
      </c>
      <c r="G101">
        <v>0</v>
      </c>
      <c r="H101">
        <v>0</v>
      </c>
      <c r="I101">
        <v>0</v>
      </c>
      <c r="J101">
        <v>4796</v>
      </c>
      <c r="K101">
        <v>0</v>
      </c>
      <c r="L101">
        <v>4</v>
      </c>
      <c r="M101">
        <v>4</v>
      </c>
      <c r="N101">
        <v>0</v>
      </c>
      <c r="O101">
        <v>1</v>
      </c>
      <c r="P101">
        <v>0</v>
      </c>
      <c r="Q101">
        <v>0</v>
      </c>
      <c r="R101">
        <v>4</v>
      </c>
      <c r="S101">
        <v>0</v>
      </c>
      <c r="T101">
        <v>1</v>
      </c>
      <c r="U101">
        <v>56</v>
      </c>
      <c r="V101">
        <v>0</v>
      </c>
      <c r="W101">
        <v>0</v>
      </c>
      <c r="X101">
        <v>0</v>
      </c>
      <c r="Y101">
        <v>1</v>
      </c>
      <c r="Z101">
        <v>2</v>
      </c>
      <c r="AA101">
        <v>1</v>
      </c>
      <c r="AB101">
        <v>0</v>
      </c>
      <c r="AC101">
        <v>0</v>
      </c>
      <c r="AD101">
        <v>1</v>
      </c>
      <c r="AE101">
        <v>294</v>
      </c>
      <c r="AF101">
        <v>0</v>
      </c>
      <c r="AG101">
        <v>0</v>
      </c>
      <c r="AI101">
        <v>1</v>
      </c>
      <c r="AJ101">
        <v>1</v>
      </c>
      <c r="AK101">
        <v>1</v>
      </c>
      <c r="AL101">
        <v>0.29991859816618199</v>
      </c>
      <c r="AM101">
        <v>-0.29991859816618199</v>
      </c>
      <c r="AN101">
        <v>0.70008140183381695</v>
      </c>
      <c r="AO101">
        <v>0.29991859816618199</v>
      </c>
    </row>
    <row r="102" spans="1:41" x14ac:dyDescent="0.35">
      <c r="A102">
        <v>307</v>
      </c>
      <c r="B102">
        <v>3</v>
      </c>
      <c r="C102">
        <v>30</v>
      </c>
      <c r="D102">
        <v>2</v>
      </c>
      <c r="E102">
        <v>0</v>
      </c>
      <c r="F102">
        <v>1</v>
      </c>
      <c r="G102">
        <v>0</v>
      </c>
      <c r="H102">
        <v>0</v>
      </c>
      <c r="I102">
        <v>0</v>
      </c>
      <c r="J102">
        <v>4811</v>
      </c>
      <c r="K102">
        <v>4</v>
      </c>
      <c r="L102">
        <v>3</v>
      </c>
      <c r="M102">
        <v>2</v>
      </c>
      <c r="N102">
        <v>0</v>
      </c>
      <c r="O102">
        <v>0</v>
      </c>
      <c r="P102">
        <v>0</v>
      </c>
      <c r="Q102">
        <v>0</v>
      </c>
      <c r="R102">
        <v>4</v>
      </c>
      <c r="S102">
        <v>0</v>
      </c>
      <c r="T102">
        <v>0</v>
      </c>
      <c r="U102">
        <v>24</v>
      </c>
      <c r="V102">
        <v>1</v>
      </c>
      <c r="W102">
        <v>1</v>
      </c>
      <c r="X102">
        <v>0</v>
      </c>
      <c r="Y102">
        <v>1</v>
      </c>
      <c r="Z102">
        <v>1</v>
      </c>
      <c r="AA102">
        <v>1</v>
      </c>
      <c r="AB102">
        <v>0</v>
      </c>
      <c r="AC102">
        <v>0</v>
      </c>
      <c r="AD102">
        <v>1</v>
      </c>
      <c r="AE102">
        <v>307</v>
      </c>
      <c r="AF102">
        <v>0</v>
      </c>
      <c r="AG102">
        <v>0</v>
      </c>
      <c r="AI102">
        <v>1</v>
      </c>
      <c r="AJ102">
        <v>1</v>
      </c>
      <c r="AK102">
        <v>1</v>
      </c>
      <c r="AL102">
        <v>0.108343292705227</v>
      </c>
      <c r="AM102">
        <v>-0.108343292705227</v>
      </c>
      <c r="AN102">
        <v>0.89165670729477198</v>
      </c>
      <c r="AO102">
        <v>0.108343292705227</v>
      </c>
    </row>
    <row r="103" spans="1:41" x14ac:dyDescent="0.35">
      <c r="A103">
        <v>308</v>
      </c>
      <c r="B103">
        <v>0</v>
      </c>
      <c r="C103">
        <v>12</v>
      </c>
      <c r="D103">
        <v>2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727</v>
      </c>
      <c r="K103">
        <v>1</v>
      </c>
      <c r="L103">
        <v>1</v>
      </c>
      <c r="M103">
        <v>4</v>
      </c>
      <c r="N103">
        <v>0</v>
      </c>
      <c r="O103">
        <v>0</v>
      </c>
      <c r="P103">
        <v>1</v>
      </c>
      <c r="Q103">
        <v>0</v>
      </c>
      <c r="R103">
        <v>3</v>
      </c>
      <c r="S103">
        <v>0</v>
      </c>
      <c r="T103">
        <v>1</v>
      </c>
      <c r="U103">
        <v>33</v>
      </c>
      <c r="V103">
        <v>0</v>
      </c>
      <c r="W103">
        <v>0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0</v>
      </c>
      <c r="AD103">
        <v>0</v>
      </c>
      <c r="AE103">
        <v>308</v>
      </c>
      <c r="AF103">
        <v>1</v>
      </c>
      <c r="AG103">
        <v>0</v>
      </c>
      <c r="AI103">
        <v>1</v>
      </c>
      <c r="AJ103">
        <v>1</v>
      </c>
      <c r="AK103">
        <v>0</v>
      </c>
      <c r="AL103">
        <v>-0.70032636617782995</v>
      </c>
      <c r="AM103">
        <v>0.70032636617782995</v>
      </c>
      <c r="AN103">
        <v>0.70032636617782995</v>
      </c>
      <c r="AO103">
        <v>0.29967363382216899</v>
      </c>
    </row>
    <row r="104" spans="1:41" x14ac:dyDescent="0.35">
      <c r="A104">
        <v>311</v>
      </c>
      <c r="B104">
        <v>1</v>
      </c>
      <c r="C104">
        <v>48</v>
      </c>
      <c r="D104">
        <v>2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5381</v>
      </c>
      <c r="K104">
        <v>4</v>
      </c>
      <c r="L104">
        <v>0</v>
      </c>
      <c r="M104">
        <v>3</v>
      </c>
      <c r="N104">
        <v>0</v>
      </c>
      <c r="O104">
        <v>1</v>
      </c>
      <c r="P104">
        <v>0</v>
      </c>
      <c r="Q104">
        <v>0</v>
      </c>
      <c r="R104">
        <v>4</v>
      </c>
      <c r="S104">
        <v>0</v>
      </c>
      <c r="T104">
        <v>1</v>
      </c>
      <c r="U104">
        <v>40</v>
      </c>
      <c r="V104">
        <v>1</v>
      </c>
      <c r="W104">
        <v>0</v>
      </c>
      <c r="X104">
        <v>0</v>
      </c>
      <c r="Y104">
        <v>1</v>
      </c>
      <c r="Z104">
        <v>0</v>
      </c>
      <c r="AA104">
        <v>1</v>
      </c>
      <c r="AB104">
        <v>1</v>
      </c>
      <c r="AC104">
        <v>0</v>
      </c>
      <c r="AD104">
        <v>1</v>
      </c>
      <c r="AE104">
        <v>311</v>
      </c>
      <c r="AF104">
        <v>0</v>
      </c>
      <c r="AG104">
        <v>0</v>
      </c>
      <c r="AI104">
        <v>1</v>
      </c>
      <c r="AJ104">
        <v>1</v>
      </c>
      <c r="AK104">
        <v>1</v>
      </c>
      <c r="AL104">
        <v>0.30110570917386498</v>
      </c>
      <c r="AM104">
        <v>-0.30110570917386498</v>
      </c>
      <c r="AN104">
        <v>0.69889429082613497</v>
      </c>
      <c r="AO104">
        <v>0.30110570917386498</v>
      </c>
    </row>
    <row r="105" spans="1:41" x14ac:dyDescent="0.35">
      <c r="A105">
        <v>314</v>
      </c>
      <c r="B105">
        <v>1</v>
      </c>
      <c r="C105">
        <v>12</v>
      </c>
      <c r="D105">
        <v>2</v>
      </c>
      <c r="E105">
        <v>1</v>
      </c>
      <c r="F105">
        <v>0</v>
      </c>
      <c r="G105">
        <v>0</v>
      </c>
      <c r="H105">
        <v>0</v>
      </c>
      <c r="I105">
        <v>0</v>
      </c>
      <c r="J105">
        <v>685</v>
      </c>
      <c r="K105">
        <v>0</v>
      </c>
      <c r="L105">
        <v>3</v>
      </c>
      <c r="M105">
        <v>2</v>
      </c>
      <c r="N105">
        <v>0</v>
      </c>
      <c r="O105">
        <v>0</v>
      </c>
      <c r="P105">
        <v>1</v>
      </c>
      <c r="Q105">
        <v>0</v>
      </c>
      <c r="R105">
        <v>3</v>
      </c>
      <c r="S105">
        <v>0</v>
      </c>
      <c r="T105">
        <v>0</v>
      </c>
      <c r="U105">
        <v>25</v>
      </c>
      <c r="V105">
        <v>1</v>
      </c>
      <c r="W105">
        <v>0</v>
      </c>
      <c r="X105">
        <v>1</v>
      </c>
      <c r="Y105">
        <v>1</v>
      </c>
      <c r="Z105">
        <v>1</v>
      </c>
      <c r="AA105">
        <v>1</v>
      </c>
      <c r="AB105">
        <v>0</v>
      </c>
      <c r="AC105">
        <v>0</v>
      </c>
      <c r="AD105">
        <v>0</v>
      </c>
      <c r="AE105">
        <v>314</v>
      </c>
      <c r="AF105">
        <v>0</v>
      </c>
      <c r="AG105">
        <v>0</v>
      </c>
      <c r="AI105">
        <v>0</v>
      </c>
      <c r="AJ105">
        <v>0</v>
      </c>
      <c r="AK105">
        <v>0</v>
      </c>
      <c r="AL105">
        <v>-0.48230120212828498</v>
      </c>
      <c r="AM105">
        <v>0.48230120212828498</v>
      </c>
      <c r="AN105">
        <v>0.48230120212828498</v>
      </c>
      <c r="AO105">
        <v>0.51769879787171402</v>
      </c>
    </row>
    <row r="106" spans="1:41" x14ac:dyDescent="0.35">
      <c r="A106">
        <v>327</v>
      </c>
      <c r="B106">
        <v>3</v>
      </c>
      <c r="C106">
        <v>12</v>
      </c>
      <c r="D106">
        <v>4</v>
      </c>
      <c r="E106">
        <v>0</v>
      </c>
      <c r="F106">
        <v>0</v>
      </c>
      <c r="G106">
        <v>1</v>
      </c>
      <c r="H106">
        <v>0</v>
      </c>
      <c r="I106">
        <v>0</v>
      </c>
      <c r="J106">
        <v>5801</v>
      </c>
      <c r="K106">
        <v>4</v>
      </c>
      <c r="L106">
        <v>4</v>
      </c>
      <c r="M106">
        <v>2</v>
      </c>
      <c r="N106">
        <v>0</v>
      </c>
      <c r="O106">
        <v>1</v>
      </c>
      <c r="P106">
        <v>0</v>
      </c>
      <c r="Q106">
        <v>0</v>
      </c>
      <c r="R106">
        <v>4</v>
      </c>
      <c r="S106">
        <v>0</v>
      </c>
      <c r="T106">
        <v>0</v>
      </c>
      <c r="U106">
        <v>49</v>
      </c>
      <c r="V106">
        <v>0</v>
      </c>
      <c r="W106">
        <v>1</v>
      </c>
      <c r="X106">
        <v>0</v>
      </c>
      <c r="Y106">
        <v>1</v>
      </c>
      <c r="Z106">
        <v>2</v>
      </c>
      <c r="AA106">
        <v>1</v>
      </c>
      <c r="AB106">
        <v>1</v>
      </c>
      <c r="AC106">
        <v>0</v>
      </c>
      <c r="AD106">
        <v>1</v>
      </c>
      <c r="AE106">
        <v>327</v>
      </c>
      <c r="AF106">
        <v>0</v>
      </c>
      <c r="AG106">
        <v>0</v>
      </c>
      <c r="AI106">
        <v>1</v>
      </c>
      <c r="AJ106">
        <v>1</v>
      </c>
      <c r="AK106">
        <v>1</v>
      </c>
      <c r="AL106">
        <v>1.9823155938696199E-2</v>
      </c>
      <c r="AM106">
        <v>-1.9823155938696199E-2</v>
      </c>
      <c r="AN106">
        <v>0.98017684406130301</v>
      </c>
      <c r="AO106">
        <v>1.9823155938696199E-2</v>
      </c>
    </row>
    <row r="107" spans="1:41" x14ac:dyDescent="0.35">
      <c r="A107">
        <v>330</v>
      </c>
      <c r="B107">
        <v>1</v>
      </c>
      <c r="C107">
        <v>6</v>
      </c>
      <c r="D107">
        <v>2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1068</v>
      </c>
      <c r="K107">
        <v>0</v>
      </c>
      <c r="L107">
        <v>4</v>
      </c>
      <c r="M107">
        <v>4</v>
      </c>
      <c r="N107">
        <v>0</v>
      </c>
      <c r="O107">
        <v>1</v>
      </c>
      <c r="P107">
        <v>0</v>
      </c>
      <c r="Q107">
        <v>0</v>
      </c>
      <c r="R107">
        <v>4</v>
      </c>
      <c r="S107">
        <v>0</v>
      </c>
      <c r="T107">
        <v>0</v>
      </c>
      <c r="U107">
        <v>28</v>
      </c>
      <c r="V107">
        <v>0</v>
      </c>
      <c r="W107">
        <v>0</v>
      </c>
      <c r="X107">
        <v>1</v>
      </c>
      <c r="Y107">
        <v>1</v>
      </c>
      <c r="Z107">
        <v>2</v>
      </c>
      <c r="AA107">
        <v>2</v>
      </c>
      <c r="AB107">
        <v>0</v>
      </c>
      <c r="AC107">
        <v>0</v>
      </c>
      <c r="AD107">
        <v>1</v>
      </c>
      <c r="AE107">
        <v>330</v>
      </c>
      <c r="AF107">
        <v>1</v>
      </c>
      <c r="AG107">
        <v>0</v>
      </c>
      <c r="AI107">
        <v>1</v>
      </c>
      <c r="AJ107">
        <v>1</v>
      </c>
      <c r="AK107">
        <v>1</v>
      </c>
      <c r="AL107">
        <v>0.22443217062128101</v>
      </c>
      <c r="AM107">
        <v>-0.22443217062128101</v>
      </c>
      <c r="AN107">
        <v>0.77556782937871804</v>
      </c>
      <c r="AO107">
        <v>0.22443217062128101</v>
      </c>
    </row>
    <row r="108" spans="1:41" x14ac:dyDescent="0.35">
      <c r="A108">
        <v>334</v>
      </c>
      <c r="B108">
        <v>3</v>
      </c>
      <c r="C108">
        <v>48</v>
      </c>
      <c r="D108">
        <v>4</v>
      </c>
      <c r="E108">
        <v>0</v>
      </c>
      <c r="F108">
        <v>1</v>
      </c>
      <c r="G108">
        <v>0</v>
      </c>
      <c r="H108">
        <v>0</v>
      </c>
      <c r="I108">
        <v>0</v>
      </c>
      <c r="J108">
        <v>11590</v>
      </c>
      <c r="K108">
        <v>1</v>
      </c>
      <c r="L108">
        <v>2</v>
      </c>
      <c r="M108">
        <v>2</v>
      </c>
      <c r="N108">
        <v>0</v>
      </c>
      <c r="O108">
        <v>0</v>
      </c>
      <c r="P108">
        <v>0</v>
      </c>
      <c r="Q108">
        <v>0</v>
      </c>
      <c r="R108">
        <v>4</v>
      </c>
      <c r="S108">
        <v>0</v>
      </c>
      <c r="T108">
        <v>0</v>
      </c>
      <c r="U108">
        <v>24</v>
      </c>
      <c r="V108">
        <v>1</v>
      </c>
      <c r="W108">
        <v>1</v>
      </c>
      <c r="X108">
        <v>0</v>
      </c>
      <c r="Y108">
        <v>2</v>
      </c>
      <c r="Z108">
        <v>1</v>
      </c>
      <c r="AA108">
        <v>1</v>
      </c>
      <c r="AB108">
        <v>0</v>
      </c>
      <c r="AC108">
        <v>0</v>
      </c>
      <c r="AD108">
        <v>0</v>
      </c>
      <c r="AE108">
        <v>334</v>
      </c>
      <c r="AF108">
        <v>0</v>
      </c>
      <c r="AG108">
        <v>0</v>
      </c>
      <c r="AI108">
        <v>1</v>
      </c>
      <c r="AJ108">
        <v>1</v>
      </c>
      <c r="AK108">
        <v>0</v>
      </c>
      <c r="AL108">
        <v>-0.64933021749457798</v>
      </c>
      <c r="AM108">
        <v>0.64933021749457798</v>
      </c>
      <c r="AN108">
        <v>0.64933021749457798</v>
      </c>
      <c r="AO108">
        <v>0.35066978250542102</v>
      </c>
    </row>
    <row r="109" spans="1:41" x14ac:dyDescent="0.35">
      <c r="A109">
        <v>338</v>
      </c>
      <c r="B109">
        <v>0</v>
      </c>
      <c r="C109">
        <v>15</v>
      </c>
      <c r="D109">
        <v>2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1275</v>
      </c>
      <c r="K109">
        <v>4</v>
      </c>
      <c r="L109">
        <v>2</v>
      </c>
      <c r="M109">
        <v>4</v>
      </c>
      <c r="N109">
        <v>0</v>
      </c>
      <c r="O109">
        <v>0</v>
      </c>
      <c r="P109">
        <v>0</v>
      </c>
      <c r="Q109">
        <v>0</v>
      </c>
      <c r="R109">
        <v>2</v>
      </c>
      <c r="S109">
        <v>0</v>
      </c>
      <c r="T109">
        <v>0</v>
      </c>
      <c r="U109">
        <v>24</v>
      </c>
      <c r="V109">
        <v>0</v>
      </c>
      <c r="W109">
        <v>1</v>
      </c>
      <c r="X109">
        <v>0</v>
      </c>
      <c r="Y109">
        <v>1</v>
      </c>
      <c r="Z109">
        <v>2</v>
      </c>
      <c r="AA109">
        <v>1</v>
      </c>
      <c r="AB109">
        <v>0</v>
      </c>
      <c r="AC109">
        <v>0</v>
      </c>
      <c r="AD109">
        <v>0</v>
      </c>
      <c r="AE109">
        <v>338</v>
      </c>
      <c r="AF109">
        <v>0</v>
      </c>
      <c r="AG109">
        <v>0</v>
      </c>
      <c r="AI109">
        <v>1</v>
      </c>
      <c r="AJ109">
        <v>1</v>
      </c>
      <c r="AK109">
        <v>0</v>
      </c>
      <c r="AL109">
        <v>-0.71827599062908898</v>
      </c>
      <c r="AM109">
        <v>0.71827599062908898</v>
      </c>
      <c r="AN109">
        <v>0.71827599062908898</v>
      </c>
      <c r="AO109">
        <v>0.28172400937091002</v>
      </c>
    </row>
    <row r="110" spans="1:41" x14ac:dyDescent="0.35">
      <c r="A110">
        <v>343</v>
      </c>
      <c r="B110">
        <v>1</v>
      </c>
      <c r="C110">
        <v>18</v>
      </c>
      <c r="D110">
        <v>2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3213</v>
      </c>
      <c r="K110">
        <v>2</v>
      </c>
      <c r="L110">
        <v>1</v>
      </c>
      <c r="M110">
        <v>1</v>
      </c>
      <c r="N110">
        <v>0</v>
      </c>
      <c r="O110">
        <v>0</v>
      </c>
      <c r="P110">
        <v>1</v>
      </c>
      <c r="Q110">
        <v>0</v>
      </c>
      <c r="R110">
        <v>3</v>
      </c>
      <c r="S110">
        <v>1</v>
      </c>
      <c r="T110">
        <v>0</v>
      </c>
      <c r="U110">
        <v>25</v>
      </c>
      <c r="V110">
        <v>0</v>
      </c>
      <c r="W110">
        <v>1</v>
      </c>
      <c r="X110">
        <v>0</v>
      </c>
      <c r="Y110">
        <v>1</v>
      </c>
      <c r="Z110">
        <v>2</v>
      </c>
      <c r="AA110">
        <v>1</v>
      </c>
      <c r="AB110">
        <v>0</v>
      </c>
      <c r="AC110">
        <v>0</v>
      </c>
      <c r="AD110">
        <v>1</v>
      </c>
      <c r="AE110">
        <v>343</v>
      </c>
      <c r="AF110">
        <v>1</v>
      </c>
      <c r="AG110">
        <v>0</v>
      </c>
      <c r="AI110">
        <v>1</v>
      </c>
      <c r="AJ110">
        <v>1</v>
      </c>
      <c r="AK110">
        <v>1</v>
      </c>
      <c r="AL110">
        <v>0.34050044772697402</v>
      </c>
      <c r="AM110">
        <v>-0.34050044772697402</v>
      </c>
      <c r="AN110">
        <v>0.65949955227302504</v>
      </c>
      <c r="AO110">
        <v>0.34050044772697402</v>
      </c>
    </row>
    <row r="111" spans="1:41" x14ac:dyDescent="0.35">
      <c r="A111">
        <v>345</v>
      </c>
      <c r="B111">
        <v>2</v>
      </c>
      <c r="C111">
        <v>10</v>
      </c>
      <c r="D111">
        <v>2</v>
      </c>
      <c r="E111">
        <v>1</v>
      </c>
      <c r="F111">
        <v>0</v>
      </c>
      <c r="G111">
        <v>0</v>
      </c>
      <c r="H111">
        <v>0</v>
      </c>
      <c r="I111">
        <v>0</v>
      </c>
      <c r="J111">
        <v>3949</v>
      </c>
      <c r="K111">
        <v>0</v>
      </c>
      <c r="L111">
        <v>1</v>
      </c>
      <c r="M111">
        <v>1</v>
      </c>
      <c r="N111">
        <v>0</v>
      </c>
      <c r="O111">
        <v>1</v>
      </c>
      <c r="P111">
        <v>0</v>
      </c>
      <c r="Q111">
        <v>1</v>
      </c>
      <c r="R111">
        <v>1</v>
      </c>
      <c r="S111">
        <v>0</v>
      </c>
      <c r="T111">
        <v>0</v>
      </c>
      <c r="U111">
        <v>37</v>
      </c>
      <c r="V111">
        <v>0</v>
      </c>
      <c r="W111">
        <v>0</v>
      </c>
      <c r="X111">
        <v>1</v>
      </c>
      <c r="Y111">
        <v>1</v>
      </c>
      <c r="Z111">
        <v>1</v>
      </c>
      <c r="AA111">
        <v>2</v>
      </c>
      <c r="AB111">
        <v>0</v>
      </c>
      <c r="AC111">
        <v>0</v>
      </c>
      <c r="AD111">
        <v>1</v>
      </c>
      <c r="AE111">
        <v>345</v>
      </c>
      <c r="AF111">
        <v>0</v>
      </c>
      <c r="AG111">
        <v>0</v>
      </c>
      <c r="AI111">
        <v>1</v>
      </c>
      <c r="AJ111">
        <v>1</v>
      </c>
      <c r="AK111">
        <v>1</v>
      </c>
      <c r="AL111">
        <v>0.21526111365363401</v>
      </c>
      <c r="AM111">
        <v>-0.21526111365363401</v>
      </c>
      <c r="AN111">
        <v>0.78473888634636502</v>
      </c>
      <c r="AO111">
        <v>0.21526111365363401</v>
      </c>
    </row>
    <row r="112" spans="1:41" x14ac:dyDescent="0.35">
      <c r="A112">
        <v>351</v>
      </c>
      <c r="B112">
        <v>3</v>
      </c>
      <c r="C112">
        <v>9</v>
      </c>
      <c r="D112">
        <v>2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1236</v>
      </c>
      <c r="K112">
        <v>0</v>
      </c>
      <c r="L112">
        <v>1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4</v>
      </c>
      <c r="S112">
        <v>1</v>
      </c>
      <c r="T112">
        <v>0</v>
      </c>
      <c r="U112">
        <v>23</v>
      </c>
      <c r="V112">
        <v>0</v>
      </c>
      <c r="W112">
        <v>1</v>
      </c>
      <c r="X112">
        <v>0</v>
      </c>
      <c r="Y112">
        <v>1</v>
      </c>
      <c r="Z112">
        <v>2</v>
      </c>
      <c r="AA112">
        <v>1</v>
      </c>
      <c r="AB112">
        <v>1</v>
      </c>
      <c r="AC112">
        <v>0</v>
      </c>
      <c r="AD112">
        <v>1</v>
      </c>
      <c r="AE112">
        <v>351</v>
      </c>
      <c r="AF112">
        <v>0</v>
      </c>
      <c r="AG112">
        <v>0</v>
      </c>
      <c r="AI112">
        <v>1</v>
      </c>
      <c r="AJ112">
        <v>1</v>
      </c>
      <c r="AK112">
        <v>1</v>
      </c>
      <c r="AL112">
        <v>7.2310652248826296E-2</v>
      </c>
      <c r="AM112">
        <v>-7.2310652248826296E-2</v>
      </c>
      <c r="AN112">
        <v>0.92768934775117295</v>
      </c>
      <c r="AO112">
        <v>7.2310652248826296E-2</v>
      </c>
    </row>
    <row r="113" spans="1:41" x14ac:dyDescent="0.35">
      <c r="A113">
        <v>364</v>
      </c>
      <c r="B113">
        <v>3</v>
      </c>
      <c r="C113">
        <v>6</v>
      </c>
      <c r="D113">
        <v>2</v>
      </c>
      <c r="E113">
        <v>0</v>
      </c>
      <c r="F113">
        <v>0</v>
      </c>
      <c r="G113">
        <v>1</v>
      </c>
      <c r="H113">
        <v>0</v>
      </c>
      <c r="I113">
        <v>0</v>
      </c>
      <c r="J113">
        <v>1766</v>
      </c>
      <c r="K113">
        <v>0</v>
      </c>
      <c r="L113">
        <v>2</v>
      </c>
      <c r="M113">
        <v>1</v>
      </c>
      <c r="N113">
        <v>0</v>
      </c>
      <c r="O113">
        <v>0</v>
      </c>
      <c r="P113">
        <v>1</v>
      </c>
      <c r="Q113">
        <v>0</v>
      </c>
      <c r="R113">
        <v>2</v>
      </c>
      <c r="S113">
        <v>0</v>
      </c>
      <c r="T113">
        <v>0</v>
      </c>
      <c r="U113">
        <v>21</v>
      </c>
      <c r="V113">
        <v>0</v>
      </c>
      <c r="W113">
        <v>1</v>
      </c>
      <c r="X113">
        <v>0</v>
      </c>
      <c r="Y113">
        <v>1</v>
      </c>
      <c r="Z113">
        <v>2</v>
      </c>
      <c r="AA113">
        <v>1</v>
      </c>
      <c r="AB113">
        <v>0</v>
      </c>
      <c r="AC113">
        <v>0</v>
      </c>
      <c r="AD113">
        <v>1</v>
      </c>
      <c r="AE113">
        <v>364</v>
      </c>
      <c r="AF113">
        <v>0</v>
      </c>
      <c r="AG113">
        <v>0</v>
      </c>
      <c r="AI113">
        <v>1</v>
      </c>
      <c r="AJ113">
        <v>1</v>
      </c>
      <c r="AK113">
        <v>1</v>
      </c>
      <c r="AL113">
        <v>7.1500786858672102E-2</v>
      </c>
      <c r="AM113">
        <v>-7.1500786858672102E-2</v>
      </c>
      <c r="AN113">
        <v>0.928499213141327</v>
      </c>
      <c r="AO113">
        <v>7.1500786858672102E-2</v>
      </c>
    </row>
    <row r="114" spans="1:41" x14ac:dyDescent="0.35">
      <c r="A114">
        <v>367</v>
      </c>
      <c r="B114">
        <v>3</v>
      </c>
      <c r="C114">
        <v>18</v>
      </c>
      <c r="D114">
        <v>4</v>
      </c>
      <c r="E114">
        <v>0</v>
      </c>
      <c r="F114">
        <v>1</v>
      </c>
      <c r="G114">
        <v>0</v>
      </c>
      <c r="H114">
        <v>0</v>
      </c>
      <c r="I114">
        <v>0</v>
      </c>
      <c r="J114">
        <v>3850</v>
      </c>
      <c r="K114">
        <v>0</v>
      </c>
      <c r="L114">
        <v>3</v>
      </c>
      <c r="M114">
        <v>3</v>
      </c>
      <c r="N114">
        <v>0</v>
      </c>
      <c r="O114">
        <v>1</v>
      </c>
      <c r="P114">
        <v>0</v>
      </c>
      <c r="Q114">
        <v>0</v>
      </c>
      <c r="R114">
        <v>1</v>
      </c>
      <c r="S114">
        <v>0</v>
      </c>
      <c r="T114">
        <v>0</v>
      </c>
      <c r="U114">
        <v>27</v>
      </c>
      <c r="V114">
        <v>0</v>
      </c>
      <c r="W114">
        <v>0</v>
      </c>
      <c r="X114">
        <v>1</v>
      </c>
      <c r="Y114">
        <v>2</v>
      </c>
      <c r="Z114">
        <v>2</v>
      </c>
      <c r="AA114">
        <v>1</v>
      </c>
      <c r="AB114">
        <v>0</v>
      </c>
      <c r="AC114">
        <v>0</v>
      </c>
      <c r="AD114">
        <v>1</v>
      </c>
      <c r="AE114">
        <v>367</v>
      </c>
      <c r="AF114">
        <v>0</v>
      </c>
      <c r="AG114">
        <v>0</v>
      </c>
      <c r="AI114">
        <v>1</v>
      </c>
      <c r="AJ114">
        <v>1</v>
      </c>
      <c r="AK114">
        <v>1</v>
      </c>
      <c r="AL114">
        <v>5.1743106949107102E-2</v>
      </c>
      <c r="AM114">
        <v>-5.1743106949107102E-2</v>
      </c>
      <c r="AN114">
        <v>0.948256893050892</v>
      </c>
      <c r="AO114">
        <v>5.1743106949107102E-2</v>
      </c>
    </row>
    <row r="115" spans="1:41" x14ac:dyDescent="0.35">
      <c r="A115">
        <v>368</v>
      </c>
      <c r="B115">
        <v>0</v>
      </c>
      <c r="C115">
        <v>18</v>
      </c>
      <c r="D115">
        <v>2</v>
      </c>
      <c r="E115">
        <v>0</v>
      </c>
      <c r="F115">
        <v>0</v>
      </c>
      <c r="G115">
        <v>1</v>
      </c>
      <c r="H115">
        <v>0</v>
      </c>
      <c r="I115">
        <v>0</v>
      </c>
      <c r="J115">
        <v>3650</v>
      </c>
      <c r="K115">
        <v>0</v>
      </c>
      <c r="L115">
        <v>1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4</v>
      </c>
      <c r="S115">
        <v>0</v>
      </c>
      <c r="T115">
        <v>0</v>
      </c>
      <c r="U115">
        <v>22</v>
      </c>
      <c r="V115">
        <v>0</v>
      </c>
      <c r="W115">
        <v>1</v>
      </c>
      <c r="X115">
        <v>0</v>
      </c>
      <c r="Y115">
        <v>1</v>
      </c>
      <c r="Z115">
        <v>2</v>
      </c>
      <c r="AA115">
        <v>1</v>
      </c>
      <c r="AB115">
        <v>0</v>
      </c>
      <c r="AC115">
        <v>0</v>
      </c>
      <c r="AD115">
        <v>1</v>
      </c>
      <c r="AE115">
        <v>368</v>
      </c>
      <c r="AF115">
        <v>0</v>
      </c>
      <c r="AG115">
        <v>0</v>
      </c>
      <c r="AI115">
        <v>1</v>
      </c>
      <c r="AJ115">
        <v>1</v>
      </c>
      <c r="AK115">
        <v>1</v>
      </c>
      <c r="AL115">
        <v>0.43796760925242301</v>
      </c>
      <c r="AM115">
        <v>-0.43796760925242301</v>
      </c>
      <c r="AN115">
        <v>0.56203239074757605</v>
      </c>
      <c r="AO115">
        <v>0.43796760925242301</v>
      </c>
    </row>
    <row r="116" spans="1:41" x14ac:dyDescent="0.35">
      <c r="A116">
        <v>369</v>
      </c>
      <c r="B116">
        <v>0</v>
      </c>
      <c r="C116">
        <v>36</v>
      </c>
      <c r="D116">
        <v>2</v>
      </c>
      <c r="E116">
        <v>0</v>
      </c>
      <c r="F116">
        <v>0</v>
      </c>
      <c r="G116">
        <v>1</v>
      </c>
      <c r="H116">
        <v>0</v>
      </c>
      <c r="I116">
        <v>0</v>
      </c>
      <c r="J116">
        <v>3446</v>
      </c>
      <c r="K116">
        <v>0</v>
      </c>
      <c r="L116">
        <v>4</v>
      </c>
      <c r="M116">
        <v>4</v>
      </c>
      <c r="N116">
        <v>0</v>
      </c>
      <c r="O116">
        <v>1</v>
      </c>
      <c r="P116">
        <v>0</v>
      </c>
      <c r="Q116">
        <v>0</v>
      </c>
      <c r="R116">
        <v>2</v>
      </c>
      <c r="S116">
        <v>0</v>
      </c>
      <c r="T116">
        <v>0</v>
      </c>
      <c r="U116">
        <v>42</v>
      </c>
      <c r="V116">
        <v>0</v>
      </c>
      <c r="W116">
        <v>0</v>
      </c>
      <c r="X116">
        <v>1</v>
      </c>
      <c r="Y116">
        <v>1</v>
      </c>
      <c r="Z116">
        <v>2</v>
      </c>
      <c r="AA116">
        <v>2</v>
      </c>
      <c r="AB116">
        <v>0</v>
      </c>
      <c r="AC116">
        <v>0</v>
      </c>
      <c r="AD116">
        <v>0</v>
      </c>
      <c r="AE116">
        <v>369</v>
      </c>
      <c r="AF116">
        <v>0</v>
      </c>
      <c r="AG116">
        <v>0</v>
      </c>
      <c r="AI116">
        <v>0</v>
      </c>
      <c r="AJ116">
        <v>0</v>
      </c>
      <c r="AK116">
        <v>0</v>
      </c>
      <c r="AL116">
        <v>-0.47073822793678399</v>
      </c>
      <c r="AM116">
        <v>0.47073822793678399</v>
      </c>
      <c r="AN116">
        <v>0.47073822793678399</v>
      </c>
      <c r="AO116">
        <v>0.52926177206321501</v>
      </c>
    </row>
    <row r="117" spans="1:41" x14ac:dyDescent="0.35">
      <c r="A117">
        <v>371</v>
      </c>
      <c r="B117">
        <v>3</v>
      </c>
      <c r="C117">
        <v>36</v>
      </c>
      <c r="D117">
        <v>2</v>
      </c>
      <c r="E117">
        <v>1</v>
      </c>
      <c r="F117">
        <v>0</v>
      </c>
      <c r="G117">
        <v>0</v>
      </c>
      <c r="H117">
        <v>0</v>
      </c>
      <c r="I117">
        <v>0</v>
      </c>
      <c r="J117">
        <v>3079</v>
      </c>
      <c r="K117">
        <v>4</v>
      </c>
      <c r="L117">
        <v>2</v>
      </c>
      <c r="M117">
        <v>4</v>
      </c>
      <c r="N117">
        <v>0</v>
      </c>
      <c r="O117">
        <v>1</v>
      </c>
      <c r="P117">
        <v>0</v>
      </c>
      <c r="Q117">
        <v>0</v>
      </c>
      <c r="R117">
        <v>4</v>
      </c>
      <c r="S117">
        <v>1</v>
      </c>
      <c r="T117">
        <v>0</v>
      </c>
      <c r="U117">
        <v>36</v>
      </c>
      <c r="V117">
        <v>0</v>
      </c>
      <c r="W117">
        <v>0</v>
      </c>
      <c r="X117">
        <v>1</v>
      </c>
      <c r="Y117">
        <v>1</v>
      </c>
      <c r="Z117">
        <v>2</v>
      </c>
      <c r="AA117">
        <v>1</v>
      </c>
      <c r="AB117">
        <v>0</v>
      </c>
      <c r="AC117">
        <v>0</v>
      </c>
      <c r="AD117">
        <v>1</v>
      </c>
      <c r="AE117">
        <v>371</v>
      </c>
      <c r="AF117">
        <v>0</v>
      </c>
      <c r="AG117">
        <v>0</v>
      </c>
      <c r="AI117">
        <v>1</v>
      </c>
      <c r="AJ117">
        <v>1</v>
      </c>
      <c r="AK117">
        <v>1</v>
      </c>
      <c r="AL117">
        <v>0.10488150665182901</v>
      </c>
      <c r="AM117">
        <v>-0.10488150665182901</v>
      </c>
      <c r="AN117">
        <v>0.89511849334816995</v>
      </c>
      <c r="AO117">
        <v>0.10488150665182901</v>
      </c>
    </row>
    <row r="118" spans="1:41" x14ac:dyDescent="0.35">
      <c r="A118">
        <v>372</v>
      </c>
      <c r="B118">
        <v>3</v>
      </c>
      <c r="C118">
        <v>18</v>
      </c>
      <c r="D118">
        <v>4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6070</v>
      </c>
      <c r="K118">
        <v>0</v>
      </c>
      <c r="L118">
        <v>4</v>
      </c>
      <c r="M118">
        <v>3</v>
      </c>
      <c r="N118">
        <v>0</v>
      </c>
      <c r="O118">
        <v>1</v>
      </c>
      <c r="P118">
        <v>0</v>
      </c>
      <c r="Q118">
        <v>0</v>
      </c>
      <c r="R118">
        <v>4</v>
      </c>
      <c r="S118">
        <v>0</v>
      </c>
      <c r="T118">
        <v>0</v>
      </c>
      <c r="U118">
        <v>33</v>
      </c>
      <c r="V118">
        <v>0</v>
      </c>
      <c r="W118">
        <v>0</v>
      </c>
      <c r="X118">
        <v>1</v>
      </c>
      <c r="Y118">
        <v>2</v>
      </c>
      <c r="Z118">
        <v>2</v>
      </c>
      <c r="AA118">
        <v>1</v>
      </c>
      <c r="AB118">
        <v>1</v>
      </c>
      <c r="AC118">
        <v>0</v>
      </c>
      <c r="AD118">
        <v>1</v>
      </c>
      <c r="AE118">
        <v>372</v>
      </c>
      <c r="AF118">
        <v>1</v>
      </c>
      <c r="AG118">
        <v>0</v>
      </c>
      <c r="AI118">
        <v>1</v>
      </c>
      <c r="AJ118">
        <v>1</v>
      </c>
      <c r="AK118">
        <v>1</v>
      </c>
      <c r="AL118">
        <v>6.5824343907744498E-2</v>
      </c>
      <c r="AM118">
        <v>-6.5824343907744498E-2</v>
      </c>
      <c r="AN118">
        <v>0.93417565609225495</v>
      </c>
      <c r="AO118">
        <v>6.5824343907744498E-2</v>
      </c>
    </row>
    <row r="119" spans="1:41" x14ac:dyDescent="0.35">
      <c r="A119">
        <v>376</v>
      </c>
      <c r="B119">
        <v>0</v>
      </c>
      <c r="C119">
        <v>48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1</v>
      </c>
      <c r="J119">
        <v>7685</v>
      </c>
      <c r="K119">
        <v>0</v>
      </c>
      <c r="L119">
        <v>3</v>
      </c>
      <c r="M119">
        <v>2</v>
      </c>
      <c r="N119">
        <v>0</v>
      </c>
      <c r="O119">
        <v>0</v>
      </c>
      <c r="P119">
        <v>0</v>
      </c>
      <c r="Q119">
        <v>1</v>
      </c>
      <c r="R119">
        <v>4</v>
      </c>
      <c r="S119">
        <v>0</v>
      </c>
      <c r="T119">
        <v>0</v>
      </c>
      <c r="U119">
        <v>37</v>
      </c>
      <c r="V119">
        <v>0</v>
      </c>
      <c r="W119">
        <v>1</v>
      </c>
      <c r="X119">
        <v>0</v>
      </c>
      <c r="Y119">
        <v>1</v>
      </c>
      <c r="Z119">
        <v>2</v>
      </c>
      <c r="AA119">
        <v>1</v>
      </c>
      <c r="AB119">
        <v>0</v>
      </c>
      <c r="AC119">
        <v>0</v>
      </c>
      <c r="AD119">
        <v>0</v>
      </c>
      <c r="AE119">
        <v>376</v>
      </c>
      <c r="AF119">
        <v>0</v>
      </c>
      <c r="AG119">
        <v>0</v>
      </c>
      <c r="AI119">
        <v>0</v>
      </c>
      <c r="AJ119">
        <v>0</v>
      </c>
      <c r="AK119">
        <v>0</v>
      </c>
      <c r="AL119">
        <v>-0.107398771291338</v>
      </c>
      <c r="AM119">
        <v>0.107398771291338</v>
      </c>
      <c r="AN119">
        <v>0.107398771291338</v>
      </c>
      <c r="AO119">
        <v>0.89260122870866099</v>
      </c>
    </row>
    <row r="120" spans="1:41" x14ac:dyDescent="0.35">
      <c r="A120">
        <v>396</v>
      </c>
      <c r="B120">
        <v>1</v>
      </c>
      <c r="C120">
        <v>39</v>
      </c>
      <c r="D120">
        <v>3</v>
      </c>
      <c r="E120">
        <v>0</v>
      </c>
      <c r="F120">
        <v>0</v>
      </c>
      <c r="G120">
        <v>0</v>
      </c>
      <c r="H120">
        <v>1</v>
      </c>
      <c r="I120">
        <v>0</v>
      </c>
      <c r="J120">
        <v>11760</v>
      </c>
      <c r="K120">
        <v>1</v>
      </c>
      <c r="L120">
        <v>3</v>
      </c>
      <c r="M120">
        <v>2</v>
      </c>
      <c r="N120">
        <v>0</v>
      </c>
      <c r="O120">
        <v>1</v>
      </c>
      <c r="P120">
        <v>0</v>
      </c>
      <c r="Q120">
        <v>0</v>
      </c>
      <c r="R120">
        <v>3</v>
      </c>
      <c r="S120">
        <v>0</v>
      </c>
      <c r="T120">
        <v>1</v>
      </c>
      <c r="U120">
        <v>32</v>
      </c>
      <c r="V120">
        <v>0</v>
      </c>
      <c r="W120">
        <v>1</v>
      </c>
      <c r="X120">
        <v>0</v>
      </c>
      <c r="Y120">
        <v>1</v>
      </c>
      <c r="Z120">
        <v>2</v>
      </c>
      <c r="AA120">
        <v>1</v>
      </c>
      <c r="AB120">
        <v>1</v>
      </c>
      <c r="AC120">
        <v>0</v>
      </c>
      <c r="AD120">
        <v>1</v>
      </c>
      <c r="AE120">
        <v>396</v>
      </c>
      <c r="AF120">
        <v>0</v>
      </c>
      <c r="AG120">
        <v>0</v>
      </c>
      <c r="AI120">
        <v>0</v>
      </c>
      <c r="AJ120">
        <v>0</v>
      </c>
      <c r="AK120">
        <v>1</v>
      </c>
      <c r="AL120">
        <v>0.82938753226657902</v>
      </c>
      <c r="AM120">
        <v>-0.82938753226657902</v>
      </c>
      <c r="AN120">
        <v>0.17061246773342001</v>
      </c>
      <c r="AO120">
        <v>0.82938753226657902</v>
      </c>
    </row>
    <row r="121" spans="1:41" x14ac:dyDescent="0.35">
      <c r="A121">
        <v>397</v>
      </c>
      <c r="B121">
        <v>0</v>
      </c>
      <c r="C121">
        <v>12</v>
      </c>
      <c r="D121">
        <v>2</v>
      </c>
      <c r="E121">
        <v>0</v>
      </c>
      <c r="F121">
        <v>0</v>
      </c>
      <c r="G121">
        <v>1</v>
      </c>
      <c r="H121">
        <v>0</v>
      </c>
      <c r="I121">
        <v>0</v>
      </c>
      <c r="J121">
        <v>2578</v>
      </c>
      <c r="K121">
        <v>0</v>
      </c>
      <c r="L121">
        <v>0</v>
      </c>
      <c r="M121">
        <v>3</v>
      </c>
      <c r="N121">
        <v>0</v>
      </c>
      <c r="O121">
        <v>0</v>
      </c>
      <c r="P121">
        <v>0</v>
      </c>
      <c r="Q121">
        <v>0</v>
      </c>
      <c r="R121">
        <v>4</v>
      </c>
      <c r="S121">
        <v>0</v>
      </c>
      <c r="T121">
        <v>1</v>
      </c>
      <c r="U121">
        <v>55</v>
      </c>
      <c r="V121">
        <v>0</v>
      </c>
      <c r="W121">
        <v>0</v>
      </c>
      <c r="X121">
        <v>0</v>
      </c>
      <c r="Y121">
        <v>1</v>
      </c>
      <c r="Z121">
        <v>3</v>
      </c>
      <c r="AA121">
        <v>1</v>
      </c>
      <c r="AB121">
        <v>0</v>
      </c>
      <c r="AC121">
        <v>0</v>
      </c>
      <c r="AD121">
        <v>1</v>
      </c>
      <c r="AE121">
        <v>397</v>
      </c>
      <c r="AF121">
        <v>0</v>
      </c>
      <c r="AG121">
        <v>0</v>
      </c>
      <c r="AI121">
        <v>1</v>
      </c>
      <c r="AJ121">
        <v>1</v>
      </c>
      <c r="AK121">
        <v>1</v>
      </c>
      <c r="AL121">
        <v>0.39381353236382499</v>
      </c>
      <c r="AM121">
        <v>-0.39381353236382499</v>
      </c>
      <c r="AN121">
        <v>0.60618646763617401</v>
      </c>
      <c r="AO121">
        <v>0.39381353236382499</v>
      </c>
    </row>
    <row r="122" spans="1:41" x14ac:dyDescent="0.35">
      <c r="A122">
        <v>398</v>
      </c>
      <c r="B122">
        <v>0</v>
      </c>
      <c r="C122">
        <v>36</v>
      </c>
      <c r="D122">
        <v>4</v>
      </c>
      <c r="E122">
        <v>0</v>
      </c>
      <c r="F122">
        <v>0</v>
      </c>
      <c r="G122">
        <v>1</v>
      </c>
      <c r="H122">
        <v>0</v>
      </c>
      <c r="I122">
        <v>0</v>
      </c>
      <c r="J122">
        <v>2348</v>
      </c>
      <c r="K122">
        <v>0</v>
      </c>
      <c r="L122">
        <v>2</v>
      </c>
      <c r="M122">
        <v>3</v>
      </c>
      <c r="N122">
        <v>0</v>
      </c>
      <c r="O122">
        <v>0</v>
      </c>
      <c r="P122">
        <v>1</v>
      </c>
      <c r="Q122">
        <v>0</v>
      </c>
      <c r="R122">
        <v>2</v>
      </c>
      <c r="S122">
        <v>0</v>
      </c>
      <c r="T122">
        <v>0</v>
      </c>
      <c r="U122">
        <v>46</v>
      </c>
      <c r="V122">
        <v>0</v>
      </c>
      <c r="W122">
        <v>0</v>
      </c>
      <c r="X122">
        <v>1</v>
      </c>
      <c r="Y122">
        <v>2</v>
      </c>
      <c r="Z122">
        <v>2</v>
      </c>
      <c r="AA122">
        <v>1</v>
      </c>
      <c r="AB122">
        <v>1</v>
      </c>
      <c r="AC122">
        <v>0</v>
      </c>
      <c r="AD122">
        <v>1</v>
      </c>
      <c r="AE122">
        <v>398</v>
      </c>
      <c r="AF122">
        <v>0</v>
      </c>
      <c r="AG122">
        <v>0</v>
      </c>
      <c r="AI122">
        <v>1</v>
      </c>
      <c r="AJ122">
        <v>1</v>
      </c>
      <c r="AK122">
        <v>1</v>
      </c>
      <c r="AL122">
        <v>0.40635247066428798</v>
      </c>
      <c r="AM122">
        <v>-0.40635247066428798</v>
      </c>
      <c r="AN122">
        <v>0.59364752933571097</v>
      </c>
      <c r="AO122">
        <v>0.40635247066428798</v>
      </c>
    </row>
    <row r="123" spans="1:41" x14ac:dyDescent="0.35">
      <c r="A123">
        <v>399</v>
      </c>
      <c r="B123">
        <v>1</v>
      </c>
      <c r="C123">
        <v>12</v>
      </c>
      <c r="D123">
        <v>2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1223</v>
      </c>
      <c r="K123">
        <v>0</v>
      </c>
      <c r="L123">
        <v>4</v>
      </c>
      <c r="M123">
        <v>1</v>
      </c>
      <c r="N123">
        <v>1</v>
      </c>
      <c r="O123">
        <v>0</v>
      </c>
      <c r="P123">
        <v>0</v>
      </c>
      <c r="Q123">
        <v>0</v>
      </c>
      <c r="R123">
        <v>1</v>
      </c>
      <c r="S123">
        <v>1</v>
      </c>
      <c r="T123">
        <v>0</v>
      </c>
      <c r="U123">
        <v>46</v>
      </c>
      <c r="V123">
        <v>0</v>
      </c>
      <c r="W123">
        <v>1</v>
      </c>
      <c r="X123">
        <v>0</v>
      </c>
      <c r="Y123">
        <v>2</v>
      </c>
      <c r="Z123">
        <v>2</v>
      </c>
      <c r="AA123">
        <v>1</v>
      </c>
      <c r="AB123">
        <v>0</v>
      </c>
      <c r="AC123">
        <v>0</v>
      </c>
      <c r="AD123">
        <v>0</v>
      </c>
      <c r="AE123">
        <v>399</v>
      </c>
      <c r="AF123">
        <v>0</v>
      </c>
      <c r="AG123">
        <v>0</v>
      </c>
      <c r="AI123">
        <v>1</v>
      </c>
      <c r="AJ123">
        <v>1</v>
      </c>
      <c r="AK123">
        <v>0</v>
      </c>
      <c r="AL123">
        <v>-0.53409003098839802</v>
      </c>
      <c r="AM123">
        <v>0.53409003098839802</v>
      </c>
      <c r="AN123">
        <v>0.53409003098839802</v>
      </c>
      <c r="AO123">
        <v>0.46590996901160098</v>
      </c>
    </row>
    <row r="124" spans="1:41" x14ac:dyDescent="0.35">
      <c r="A124">
        <v>400</v>
      </c>
      <c r="B124">
        <v>3</v>
      </c>
      <c r="C124">
        <v>24</v>
      </c>
      <c r="D124">
        <v>4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1516</v>
      </c>
      <c r="K124">
        <v>3</v>
      </c>
      <c r="L124">
        <v>2</v>
      </c>
      <c r="M124">
        <v>4</v>
      </c>
      <c r="N124">
        <v>0</v>
      </c>
      <c r="O124">
        <v>0</v>
      </c>
      <c r="P124">
        <v>0</v>
      </c>
      <c r="Q124">
        <v>0</v>
      </c>
      <c r="R124">
        <v>1</v>
      </c>
      <c r="S124">
        <v>1</v>
      </c>
      <c r="T124">
        <v>0</v>
      </c>
      <c r="U124">
        <v>43</v>
      </c>
      <c r="V124">
        <v>0</v>
      </c>
      <c r="W124">
        <v>0</v>
      </c>
      <c r="X124">
        <v>1</v>
      </c>
      <c r="Y124">
        <v>2</v>
      </c>
      <c r="Z124">
        <v>1</v>
      </c>
      <c r="AA124">
        <v>1</v>
      </c>
      <c r="AB124">
        <v>0</v>
      </c>
      <c r="AC124">
        <v>0</v>
      </c>
      <c r="AD124">
        <v>1</v>
      </c>
      <c r="AE124">
        <v>400</v>
      </c>
      <c r="AF124">
        <v>1</v>
      </c>
      <c r="AG124">
        <v>0</v>
      </c>
      <c r="AI124">
        <v>1</v>
      </c>
      <c r="AJ124">
        <v>1</v>
      </c>
      <c r="AK124">
        <v>1</v>
      </c>
      <c r="AL124">
        <v>3.2310467466623499E-2</v>
      </c>
      <c r="AM124">
        <v>-3.2310467466623499E-2</v>
      </c>
      <c r="AN124">
        <v>0.96768953253337597</v>
      </c>
      <c r="AO124">
        <v>3.2310467466623499E-2</v>
      </c>
    </row>
    <row r="125" spans="1:41" x14ac:dyDescent="0.35">
      <c r="A125">
        <v>401</v>
      </c>
      <c r="B125">
        <v>3</v>
      </c>
      <c r="C125">
        <v>18</v>
      </c>
      <c r="D125">
        <v>2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1473</v>
      </c>
      <c r="K125">
        <v>0</v>
      </c>
      <c r="L125">
        <v>1</v>
      </c>
      <c r="M125">
        <v>3</v>
      </c>
      <c r="N125">
        <v>0</v>
      </c>
      <c r="O125">
        <v>0</v>
      </c>
      <c r="P125">
        <v>1</v>
      </c>
      <c r="Q125">
        <v>0</v>
      </c>
      <c r="R125">
        <v>4</v>
      </c>
      <c r="S125">
        <v>1</v>
      </c>
      <c r="T125">
        <v>0</v>
      </c>
      <c r="U125">
        <v>39</v>
      </c>
      <c r="V125">
        <v>0</v>
      </c>
      <c r="W125">
        <v>0</v>
      </c>
      <c r="X125">
        <v>1</v>
      </c>
      <c r="Y125">
        <v>1</v>
      </c>
      <c r="Z125">
        <v>2</v>
      </c>
      <c r="AA125">
        <v>1</v>
      </c>
      <c r="AB125">
        <v>1</v>
      </c>
      <c r="AC125">
        <v>0</v>
      </c>
      <c r="AD125">
        <v>1</v>
      </c>
      <c r="AE125">
        <v>401</v>
      </c>
      <c r="AF125">
        <v>1</v>
      </c>
      <c r="AG125">
        <v>0</v>
      </c>
      <c r="AI125">
        <v>1</v>
      </c>
      <c r="AJ125">
        <v>1</v>
      </c>
      <c r="AK125">
        <v>1</v>
      </c>
      <c r="AL125">
        <v>9.8232735682790298E-2</v>
      </c>
      <c r="AM125">
        <v>-9.8232735682790298E-2</v>
      </c>
      <c r="AN125">
        <v>0.90176726431720899</v>
      </c>
      <c r="AO125">
        <v>9.8232735682790298E-2</v>
      </c>
    </row>
    <row r="126" spans="1:41" x14ac:dyDescent="0.35">
      <c r="A126">
        <v>407</v>
      </c>
      <c r="B126">
        <v>3</v>
      </c>
      <c r="C126">
        <v>24</v>
      </c>
      <c r="D126">
        <v>4</v>
      </c>
      <c r="E126">
        <v>0</v>
      </c>
      <c r="F126">
        <v>1</v>
      </c>
      <c r="G126">
        <v>0</v>
      </c>
      <c r="H126">
        <v>0</v>
      </c>
      <c r="I126">
        <v>0</v>
      </c>
      <c r="J126">
        <v>2197</v>
      </c>
      <c r="K126">
        <v>4</v>
      </c>
      <c r="L126">
        <v>3</v>
      </c>
      <c r="M126">
        <v>4</v>
      </c>
      <c r="N126">
        <v>0</v>
      </c>
      <c r="O126">
        <v>1</v>
      </c>
      <c r="P126">
        <v>0</v>
      </c>
      <c r="Q126">
        <v>0</v>
      </c>
      <c r="R126">
        <v>4</v>
      </c>
      <c r="S126">
        <v>0</v>
      </c>
      <c r="T126">
        <v>0</v>
      </c>
      <c r="U126">
        <v>43</v>
      </c>
      <c r="V126">
        <v>0</v>
      </c>
      <c r="W126">
        <v>0</v>
      </c>
      <c r="X126">
        <v>1</v>
      </c>
      <c r="Y126">
        <v>2</v>
      </c>
      <c r="Z126">
        <v>2</v>
      </c>
      <c r="AA126">
        <v>2</v>
      </c>
      <c r="AB126">
        <v>1</v>
      </c>
      <c r="AC126">
        <v>0</v>
      </c>
      <c r="AD126">
        <v>1</v>
      </c>
      <c r="AE126">
        <v>407</v>
      </c>
      <c r="AF126">
        <v>0</v>
      </c>
      <c r="AG126">
        <v>0</v>
      </c>
      <c r="AI126">
        <v>1</v>
      </c>
      <c r="AJ126">
        <v>1</v>
      </c>
      <c r="AK126">
        <v>1</v>
      </c>
      <c r="AL126">
        <v>1.9164610594990701E-2</v>
      </c>
      <c r="AM126">
        <v>-1.9164610594990701E-2</v>
      </c>
      <c r="AN126">
        <v>0.98083538940500903</v>
      </c>
      <c r="AO126">
        <v>1.9164610594990701E-2</v>
      </c>
    </row>
    <row r="127" spans="1:41" x14ac:dyDescent="0.35">
      <c r="A127">
        <v>409</v>
      </c>
      <c r="B127">
        <v>3</v>
      </c>
      <c r="C127">
        <v>24</v>
      </c>
      <c r="D127">
        <v>2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3235</v>
      </c>
      <c r="K127">
        <v>2</v>
      </c>
      <c r="L127">
        <v>4</v>
      </c>
      <c r="M127">
        <v>3</v>
      </c>
      <c r="N127">
        <v>1</v>
      </c>
      <c r="O127">
        <v>0</v>
      </c>
      <c r="P127">
        <v>0</v>
      </c>
      <c r="Q127">
        <v>0</v>
      </c>
      <c r="R127">
        <v>2</v>
      </c>
      <c r="S127">
        <v>0</v>
      </c>
      <c r="T127">
        <v>0</v>
      </c>
      <c r="U127">
        <v>26</v>
      </c>
      <c r="V127">
        <v>0</v>
      </c>
      <c r="W127">
        <v>0</v>
      </c>
      <c r="X127">
        <v>1</v>
      </c>
      <c r="Y127">
        <v>1</v>
      </c>
      <c r="Z127">
        <v>3</v>
      </c>
      <c r="AA127">
        <v>1</v>
      </c>
      <c r="AB127">
        <v>1</v>
      </c>
      <c r="AC127">
        <v>0</v>
      </c>
      <c r="AD127">
        <v>1</v>
      </c>
      <c r="AE127">
        <v>409</v>
      </c>
      <c r="AF127">
        <v>1</v>
      </c>
      <c r="AG127">
        <v>0</v>
      </c>
      <c r="AI127">
        <v>1</v>
      </c>
      <c r="AJ127">
        <v>1</v>
      </c>
      <c r="AK127">
        <v>1</v>
      </c>
      <c r="AL127">
        <v>0.13268207146862299</v>
      </c>
      <c r="AM127">
        <v>-0.13268207146862299</v>
      </c>
      <c r="AN127">
        <v>0.86731792853137601</v>
      </c>
      <c r="AO127">
        <v>0.13268207146862299</v>
      </c>
    </row>
    <row r="128" spans="1:41" x14ac:dyDescent="0.35">
      <c r="A128">
        <v>411</v>
      </c>
      <c r="B128">
        <v>1</v>
      </c>
      <c r="C128">
        <v>24</v>
      </c>
      <c r="D128">
        <v>2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1967</v>
      </c>
      <c r="K128">
        <v>0</v>
      </c>
      <c r="L128">
        <v>4</v>
      </c>
      <c r="M128">
        <v>4</v>
      </c>
      <c r="N128">
        <v>0</v>
      </c>
      <c r="O128">
        <v>0</v>
      </c>
      <c r="P128">
        <v>0</v>
      </c>
      <c r="Q128">
        <v>0</v>
      </c>
      <c r="R128">
        <v>4</v>
      </c>
      <c r="S128">
        <v>0</v>
      </c>
      <c r="T128">
        <v>0</v>
      </c>
      <c r="U128">
        <v>20</v>
      </c>
      <c r="V128">
        <v>0</v>
      </c>
      <c r="W128">
        <v>0</v>
      </c>
      <c r="X128">
        <v>1</v>
      </c>
      <c r="Y128">
        <v>1</v>
      </c>
      <c r="Z128">
        <v>2</v>
      </c>
      <c r="AA128">
        <v>1</v>
      </c>
      <c r="AB128">
        <v>1</v>
      </c>
      <c r="AC128">
        <v>0</v>
      </c>
      <c r="AD128">
        <v>1</v>
      </c>
      <c r="AE128">
        <v>411</v>
      </c>
      <c r="AF128">
        <v>1</v>
      </c>
      <c r="AG128">
        <v>0</v>
      </c>
      <c r="AI128">
        <v>1</v>
      </c>
      <c r="AJ128">
        <v>1</v>
      </c>
      <c r="AK128">
        <v>1</v>
      </c>
      <c r="AL128">
        <v>0.440521832770432</v>
      </c>
      <c r="AM128">
        <v>-0.440521832770432</v>
      </c>
      <c r="AN128">
        <v>0.559478167229567</v>
      </c>
      <c r="AO128">
        <v>0.440521832770432</v>
      </c>
    </row>
    <row r="129" spans="1:41" x14ac:dyDescent="0.35">
      <c r="A129">
        <v>415</v>
      </c>
      <c r="B129">
        <v>0</v>
      </c>
      <c r="C129">
        <v>24</v>
      </c>
      <c r="D129">
        <v>2</v>
      </c>
      <c r="E129">
        <v>1</v>
      </c>
      <c r="F129">
        <v>0</v>
      </c>
      <c r="G129">
        <v>0</v>
      </c>
      <c r="H129">
        <v>0</v>
      </c>
      <c r="I129">
        <v>0</v>
      </c>
      <c r="J129">
        <v>1381</v>
      </c>
      <c r="K129">
        <v>4</v>
      </c>
      <c r="L129">
        <v>2</v>
      </c>
      <c r="M129">
        <v>4</v>
      </c>
      <c r="N129">
        <v>0</v>
      </c>
      <c r="O129">
        <v>0</v>
      </c>
      <c r="P129">
        <v>0</v>
      </c>
      <c r="Q129">
        <v>0</v>
      </c>
      <c r="R129">
        <v>2</v>
      </c>
      <c r="S129">
        <v>0</v>
      </c>
      <c r="T129">
        <v>0</v>
      </c>
      <c r="U129">
        <v>35</v>
      </c>
      <c r="V129">
        <v>0</v>
      </c>
      <c r="W129">
        <v>0</v>
      </c>
      <c r="X129">
        <v>1</v>
      </c>
      <c r="Y129">
        <v>1</v>
      </c>
      <c r="Z129">
        <v>2</v>
      </c>
      <c r="AA129">
        <v>1</v>
      </c>
      <c r="AB129">
        <v>0</v>
      </c>
      <c r="AC129">
        <v>0</v>
      </c>
      <c r="AD129">
        <v>0</v>
      </c>
      <c r="AE129">
        <v>415</v>
      </c>
      <c r="AF129">
        <v>0</v>
      </c>
      <c r="AG129">
        <v>0</v>
      </c>
      <c r="AI129">
        <v>1</v>
      </c>
      <c r="AJ129">
        <v>1</v>
      </c>
      <c r="AK129">
        <v>0</v>
      </c>
      <c r="AL129">
        <v>-0.59125152446990503</v>
      </c>
      <c r="AM129">
        <v>0.59125152446990503</v>
      </c>
      <c r="AN129">
        <v>0.59125152446990503</v>
      </c>
      <c r="AO129">
        <v>0.40874847553009402</v>
      </c>
    </row>
    <row r="130" spans="1:41" x14ac:dyDescent="0.35">
      <c r="A130">
        <v>417</v>
      </c>
      <c r="B130">
        <v>0</v>
      </c>
      <c r="C130">
        <v>12</v>
      </c>
      <c r="D130">
        <v>2</v>
      </c>
      <c r="E130">
        <v>1</v>
      </c>
      <c r="F130">
        <v>0</v>
      </c>
      <c r="G130">
        <v>0</v>
      </c>
      <c r="H130">
        <v>0</v>
      </c>
      <c r="I130">
        <v>0</v>
      </c>
      <c r="J130">
        <v>2579</v>
      </c>
      <c r="K130">
        <v>0</v>
      </c>
      <c r="L130">
        <v>1</v>
      </c>
      <c r="M130">
        <v>4</v>
      </c>
      <c r="N130">
        <v>0</v>
      </c>
      <c r="O130">
        <v>1</v>
      </c>
      <c r="P130">
        <v>0</v>
      </c>
      <c r="Q130">
        <v>0</v>
      </c>
      <c r="R130">
        <v>1</v>
      </c>
      <c r="S130">
        <v>1</v>
      </c>
      <c r="T130">
        <v>0</v>
      </c>
      <c r="U130">
        <v>33</v>
      </c>
      <c r="V130">
        <v>0</v>
      </c>
      <c r="W130">
        <v>0</v>
      </c>
      <c r="X130">
        <v>1</v>
      </c>
      <c r="Y130">
        <v>1</v>
      </c>
      <c r="Z130">
        <v>1</v>
      </c>
      <c r="AA130">
        <v>2</v>
      </c>
      <c r="AB130">
        <v>0</v>
      </c>
      <c r="AC130">
        <v>0</v>
      </c>
      <c r="AD130">
        <v>0</v>
      </c>
      <c r="AE130">
        <v>417</v>
      </c>
      <c r="AF130">
        <v>0</v>
      </c>
      <c r="AG130">
        <v>0</v>
      </c>
      <c r="AI130">
        <v>0</v>
      </c>
      <c r="AJ130">
        <v>0</v>
      </c>
      <c r="AK130">
        <v>0</v>
      </c>
      <c r="AL130">
        <v>-0.420119927288501</v>
      </c>
      <c r="AM130">
        <v>0.420119927288501</v>
      </c>
      <c r="AN130">
        <v>0.420119927288501</v>
      </c>
      <c r="AO130">
        <v>0.579880072711498</v>
      </c>
    </row>
    <row r="131" spans="1:41" x14ac:dyDescent="0.35">
      <c r="A131">
        <v>418</v>
      </c>
      <c r="B131">
        <v>0</v>
      </c>
      <c r="C131">
        <v>18</v>
      </c>
      <c r="D131">
        <v>3</v>
      </c>
      <c r="E131">
        <v>0</v>
      </c>
      <c r="F131">
        <v>0</v>
      </c>
      <c r="G131">
        <v>0</v>
      </c>
      <c r="H131">
        <v>1</v>
      </c>
      <c r="I131">
        <v>0</v>
      </c>
      <c r="J131">
        <v>8471</v>
      </c>
      <c r="K131">
        <v>4</v>
      </c>
      <c r="L131">
        <v>2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2</v>
      </c>
      <c r="S131">
        <v>0</v>
      </c>
      <c r="T131">
        <v>0</v>
      </c>
      <c r="U131">
        <v>23</v>
      </c>
      <c r="V131">
        <v>0</v>
      </c>
      <c r="W131">
        <v>1</v>
      </c>
      <c r="X131">
        <v>0</v>
      </c>
      <c r="Y131">
        <v>2</v>
      </c>
      <c r="Z131">
        <v>2</v>
      </c>
      <c r="AA131">
        <v>1</v>
      </c>
      <c r="AB131">
        <v>1</v>
      </c>
      <c r="AC131">
        <v>0</v>
      </c>
      <c r="AD131">
        <v>1</v>
      </c>
      <c r="AE131">
        <v>418</v>
      </c>
      <c r="AF131">
        <v>0</v>
      </c>
      <c r="AG131">
        <v>0</v>
      </c>
      <c r="AI131">
        <v>0</v>
      </c>
      <c r="AJ131">
        <v>0</v>
      </c>
      <c r="AK131">
        <v>1</v>
      </c>
      <c r="AL131">
        <v>0.59873380343332006</v>
      </c>
      <c r="AM131">
        <v>-0.59873380343332006</v>
      </c>
      <c r="AN131">
        <v>0.401266196566679</v>
      </c>
      <c r="AO131">
        <v>0.59873380343332006</v>
      </c>
    </row>
    <row r="132" spans="1:41" x14ac:dyDescent="0.35">
      <c r="A132">
        <v>427</v>
      </c>
      <c r="B132">
        <v>3</v>
      </c>
      <c r="C132">
        <v>28</v>
      </c>
      <c r="D132">
        <v>4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2743</v>
      </c>
      <c r="K132">
        <v>0</v>
      </c>
      <c r="L132">
        <v>4</v>
      </c>
      <c r="M132">
        <v>4</v>
      </c>
      <c r="N132">
        <v>0</v>
      </c>
      <c r="O132">
        <v>1</v>
      </c>
      <c r="P132">
        <v>0</v>
      </c>
      <c r="Q132">
        <v>0</v>
      </c>
      <c r="R132">
        <v>2</v>
      </c>
      <c r="S132">
        <v>0</v>
      </c>
      <c r="T132">
        <v>0</v>
      </c>
      <c r="U132">
        <v>29</v>
      </c>
      <c r="V132">
        <v>0</v>
      </c>
      <c r="W132">
        <v>0</v>
      </c>
      <c r="X132">
        <v>1</v>
      </c>
      <c r="Y132">
        <v>2</v>
      </c>
      <c r="Z132">
        <v>2</v>
      </c>
      <c r="AA132">
        <v>1</v>
      </c>
      <c r="AB132">
        <v>0</v>
      </c>
      <c r="AC132">
        <v>0</v>
      </c>
      <c r="AD132">
        <v>1</v>
      </c>
      <c r="AE132">
        <v>427</v>
      </c>
      <c r="AF132">
        <v>1</v>
      </c>
      <c r="AG132">
        <v>0</v>
      </c>
      <c r="AI132">
        <v>1</v>
      </c>
      <c r="AJ132">
        <v>1</v>
      </c>
      <c r="AK132">
        <v>1</v>
      </c>
      <c r="AL132">
        <v>7.79640550828197E-2</v>
      </c>
      <c r="AM132">
        <v>-7.79640550828197E-2</v>
      </c>
      <c r="AN132">
        <v>0.92203594491717999</v>
      </c>
      <c r="AO132">
        <v>7.79640550828197E-2</v>
      </c>
    </row>
    <row r="133" spans="1:41" x14ac:dyDescent="0.35">
      <c r="A133">
        <v>428</v>
      </c>
      <c r="B133">
        <v>3</v>
      </c>
      <c r="C133">
        <v>18</v>
      </c>
      <c r="D133">
        <v>4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1149</v>
      </c>
      <c r="K133">
        <v>3</v>
      </c>
      <c r="L133">
        <v>2</v>
      </c>
      <c r="M133">
        <v>4</v>
      </c>
      <c r="N133">
        <v>0</v>
      </c>
      <c r="O133">
        <v>1</v>
      </c>
      <c r="P133">
        <v>0</v>
      </c>
      <c r="Q133">
        <v>0</v>
      </c>
      <c r="R133">
        <v>3</v>
      </c>
      <c r="S133">
        <v>1</v>
      </c>
      <c r="T133">
        <v>0</v>
      </c>
      <c r="U133">
        <v>46</v>
      </c>
      <c r="V133">
        <v>0</v>
      </c>
      <c r="W133">
        <v>0</v>
      </c>
      <c r="X133">
        <v>1</v>
      </c>
      <c r="Y133">
        <v>2</v>
      </c>
      <c r="Z133">
        <v>2</v>
      </c>
      <c r="AA133">
        <v>1</v>
      </c>
      <c r="AB133">
        <v>0</v>
      </c>
      <c r="AC133">
        <v>0</v>
      </c>
      <c r="AD133">
        <v>1</v>
      </c>
      <c r="AE133">
        <v>428</v>
      </c>
      <c r="AF133">
        <v>1</v>
      </c>
      <c r="AG133">
        <v>0</v>
      </c>
      <c r="AI133">
        <v>1</v>
      </c>
      <c r="AJ133">
        <v>1</v>
      </c>
      <c r="AK133">
        <v>1</v>
      </c>
      <c r="AL133">
        <v>1.71822704478692E-2</v>
      </c>
      <c r="AM133">
        <v>-1.71822704478692E-2</v>
      </c>
      <c r="AN133">
        <v>0.98281772955212998</v>
      </c>
      <c r="AO133">
        <v>1.71822704478692E-2</v>
      </c>
    </row>
    <row r="134" spans="1:41" x14ac:dyDescent="0.35">
      <c r="A134">
        <v>433</v>
      </c>
      <c r="B134">
        <v>0</v>
      </c>
      <c r="C134">
        <v>6</v>
      </c>
      <c r="D134">
        <v>4</v>
      </c>
      <c r="E134">
        <v>0</v>
      </c>
      <c r="F134">
        <v>0</v>
      </c>
      <c r="G134">
        <v>1</v>
      </c>
      <c r="H134">
        <v>0</v>
      </c>
      <c r="I134">
        <v>0</v>
      </c>
      <c r="J134">
        <v>1872</v>
      </c>
      <c r="K134">
        <v>0</v>
      </c>
      <c r="L134">
        <v>0</v>
      </c>
      <c r="M134">
        <v>4</v>
      </c>
      <c r="N134">
        <v>0</v>
      </c>
      <c r="O134">
        <v>1</v>
      </c>
      <c r="P134">
        <v>0</v>
      </c>
      <c r="Q134">
        <v>0</v>
      </c>
      <c r="R134">
        <v>4</v>
      </c>
      <c r="S134">
        <v>0</v>
      </c>
      <c r="T134">
        <v>1</v>
      </c>
      <c r="U134">
        <v>36</v>
      </c>
      <c r="V134">
        <v>0</v>
      </c>
      <c r="W134">
        <v>0</v>
      </c>
      <c r="X134">
        <v>0</v>
      </c>
      <c r="Y134">
        <v>3</v>
      </c>
      <c r="Z134">
        <v>3</v>
      </c>
      <c r="AA134">
        <v>1</v>
      </c>
      <c r="AB134">
        <v>1</v>
      </c>
      <c r="AC134">
        <v>0</v>
      </c>
      <c r="AD134">
        <v>1</v>
      </c>
      <c r="AE134">
        <v>433</v>
      </c>
      <c r="AF134">
        <v>0</v>
      </c>
      <c r="AG134">
        <v>0</v>
      </c>
      <c r="AI134">
        <v>1</v>
      </c>
      <c r="AJ134">
        <v>1</v>
      </c>
      <c r="AK134">
        <v>1</v>
      </c>
      <c r="AL134">
        <v>0.21375514740604401</v>
      </c>
      <c r="AM134">
        <v>-0.21375514740604401</v>
      </c>
      <c r="AN134">
        <v>0.78624485259395505</v>
      </c>
      <c r="AO134">
        <v>0.21375514740604401</v>
      </c>
    </row>
    <row r="135" spans="1:41" x14ac:dyDescent="0.35">
      <c r="A135">
        <v>435</v>
      </c>
      <c r="B135">
        <v>0</v>
      </c>
      <c r="C135">
        <v>9</v>
      </c>
      <c r="D135">
        <v>2</v>
      </c>
      <c r="E135">
        <v>0</v>
      </c>
      <c r="F135">
        <v>0</v>
      </c>
      <c r="G135">
        <v>1</v>
      </c>
      <c r="H135">
        <v>0</v>
      </c>
      <c r="I135">
        <v>0</v>
      </c>
      <c r="J135">
        <v>2136</v>
      </c>
      <c r="K135">
        <v>0</v>
      </c>
      <c r="L135">
        <v>2</v>
      </c>
      <c r="M135">
        <v>3</v>
      </c>
      <c r="N135">
        <v>0</v>
      </c>
      <c r="O135">
        <v>1</v>
      </c>
      <c r="P135">
        <v>0</v>
      </c>
      <c r="Q135">
        <v>0</v>
      </c>
      <c r="R135">
        <v>2</v>
      </c>
      <c r="S135">
        <v>1</v>
      </c>
      <c r="T135">
        <v>0</v>
      </c>
      <c r="U135">
        <v>25</v>
      </c>
      <c r="V135">
        <v>0</v>
      </c>
      <c r="W135">
        <v>0</v>
      </c>
      <c r="X135">
        <v>1</v>
      </c>
      <c r="Y135">
        <v>1</v>
      </c>
      <c r="Z135">
        <v>2</v>
      </c>
      <c r="AA135">
        <v>1</v>
      </c>
      <c r="AB135">
        <v>0</v>
      </c>
      <c r="AC135">
        <v>0</v>
      </c>
      <c r="AD135">
        <v>1</v>
      </c>
      <c r="AE135">
        <v>435</v>
      </c>
      <c r="AF135">
        <v>0</v>
      </c>
      <c r="AG135">
        <v>0</v>
      </c>
      <c r="AI135">
        <v>1</v>
      </c>
      <c r="AJ135">
        <v>1</v>
      </c>
      <c r="AK135">
        <v>1</v>
      </c>
      <c r="AL135">
        <v>0.26623657269124201</v>
      </c>
      <c r="AM135">
        <v>-0.26623657269124201</v>
      </c>
      <c r="AN135">
        <v>0.73376342730875699</v>
      </c>
      <c r="AO135">
        <v>0.26623657269124201</v>
      </c>
    </row>
    <row r="136" spans="1:41" x14ac:dyDescent="0.35">
      <c r="A136">
        <v>436</v>
      </c>
      <c r="B136">
        <v>1</v>
      </c>
      <c r="C136">
        <v>12</v>
      </c>
      <c r="D136">
        <v>2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1484</v>
      </c>
      <c r="K136">
        <v>4</v>
      </c>
      <c r="L136">
        <v>2</v>
      </c>
      <c r="M136">
        <v>2</v>
      </c>
      <c r="N136">
        <v>0</v>
      </c>
      <c r="O136">
        <v>0</v>
      </c>
      <c r="P136">
        <v>1</v>
      </c>
      <c r="Q136">
        <v>0</v>
      </c>
      <c r="R136">
        <v>1</v>
      </c>
      <c r="S136">
        <v>1</v>
      </c>
      <c r="T136">
        <v>0</v>
      </c>
      <c r="U136">
        <v>25</v>
      </c>
      <c r="V136">
        <v>0</v>
      </c>
      <c r="W136">
        <v>0</v>
      </c>
      <c r="X136">
        <v>1</v>
      </c>
      <c r="Y136">
        <v>1</v>
      </c>
      <c r="Z136">
        <v>2</v>
      </c>
      <c r="AA136">
        <v>1</v>
      </c>
      <c r="AB136">
        <v>1</v>
      </c>
      <c r="AC136">
        <v>0</v>
      </c>
      <c r="AD136">
        <v>0</v>
      </c>
      <c r="AE136">
        <v>436</v>
      </c>
      <c r="AF136">
        <v>1</v>
      </c>
      <c r="AG136">
        <v>0</v>
      </c>
      <c r="AI136">
        <v>1</v>
      </c>
      <c r="AJ136">
        <v>1</v>
      </c>
      <c r="AK136">
        <v>0</v>
      </c>
      <c r="AL136">
        <v>-0.92656413583052499</v>
      </c>
      <c r="AM136">
        <v>0.92656413583052499</v>
      </c>
      <c r="AN136">
        <v>0.92656413583052499</v>
      </c>
      <c r="AO136">
        <v>7.3435864169474493E-2</v>
      </c>
    </row>
    <row r="137" spans="1:41" x14ac:dyDescent="0.35">
      <c r="A137">
        <v>439</v>
      </c>
      <c r="B137">
        <v>0</v>
      </c>
      <c r="C137">
        <v>42</v>
      </c>
      <c r="D137">
        <v>4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3394</v>
      </c>
      <c r="K137">
        <v>0</v>
      </c>
      <c r="L137">
        <v>0</v>
      </c>
      <c r="M137">
        <v>4</v>
      </c>
      <c r="N137">
        <v>0</v>
      </c>
      <c r="O137">
        <v>1</v>
      </c>
      <c r="P137">
        <v>0</v>
      </c>
      <c r="Q137">
        <v>0</v>
      </c>
      <c r="R137">
        <v>4</v>
      </c>
      <c r="S137">
        <v>0</v>
      </c>
      <c r="T137">
        <v>0</v>
      </c>
      <c r="U137">
        <v>65</v>
      </c>
      <c r="V137">
        <v>0</v>
      </c>
      <c r="W137">
        <v>0</v>
      </c>
      <c r="X137">
        <v>1</v>
      </c>
      <c r="Y137">
        <v>2</v>
      </c>
      <c r="Z137">
        <v>0</v>
      </c>
      <c r="AA137">
        <v>1</v>
      </c>
      <c r="AB137">
        <v>0</v>
      </c>
      <c r="AC137">
        <v>0</v>
      </c>
      <c r="AD137">
        <v>1</v>
      </c>
      <c r="AE137">
        <v>439</v>
      </c>
      <c r="AF137">
        <v>0</v>
      </c>
      <c r="AG137">
        <v>1</v>
      </c>
      <c r="AI137">
        <v>1</v>
      </c>
      <c r="AJ137">
        <v>1</v>
      </c>
      <c r="AK137">
        <v>1</v>
      </c>
      <c r="AL137">
        <v>0.43804417804784102</v>
      </c>
      <c r="AM137">
        <v>-0.43804417804784102</v>
      </c>
      <c r="AN137">
        <v>0.56195582195215799</v>
      </c>
      <c r="AO137">
        <v>0.43804417804784102</v>
      </c>
    </row>
    <row r="138" spans="1:41" x14ac:dyDescent="0.35">
      <c r="A138">
        <v>442</v>
      </c>
      <c r="B138">
        <v>0</v>
      </c>
      <c r="C138">
        <v>12</v>
      </c>
      <c r="D138">
        <v>2</v>
      </c>
      <c r="E138">
        <v>0</v>
      </c>
      <c r="F138">
        <v>0</v>
      </c>
      <c r="G138">
        <v>1</v>
      </c>
      <c r="H138">
        <v>0</v>
      </c>
      <c r="I138">
        <v>0</v>
      </c>
      <c r="J138">
        <v>1620</v>
      </c>
      <c r="K138">
        <v>0</v>
      </c>
      <c r="L138">
        <v>2</v>
      </c>
      <c r="M138">
        <v>2</v>
      </c>
      <c r="N138">
        <v>0</v>
      </c>
      <c r="O138">
        <v>0</v>
      </c>
      <c r="P138">
        <v>0</v>
      </c>
      <c r="Q138">
        <v>0</v>
      </c>
      <c r="R138">
        <v>3</v>
      </c>
      <c r="S138">
        <v>0</v>
      </c>
      <c r="T138">
        <v>0</v>
      </c>
      <c r="U138">
        <v>30</v>
      </c>
      <c r="V138">
        <v>0</v>
      </c>
      <c r="W138">
        <v>0</v>
      </c>
      <c r="X138">
        <v>1</v>
      </c>
      <c r="Y138">
        <v>1</v>
      </c>
      <c r="Z138">
        <v>2</v>
      </c>
      <c r="AA138">
        <v>1</v>
      </c>
      <c r="AB138">
        <v>0</v>
      </c>
      <c r="AC138">
        <v>0</v>
      </c>
      <c r="AD138">
        <v>1</v>
      </c>
      <c r="AE138">
        <v>442</v>
      </c>
      <c r="AF138">
        <v>0</v>
      </c>
      <c r="AG138">
        <v>1</v>
      </c>
      <c r="AI138">
        <v>1</v>
      </c>
      <c r="AJ138">
        <v>1</v>
      </c>
      <c r="AK138">
        <v>1</v>
      </c>
      <c r="AL138">
        <v>0.29666857274353597</v>
      </c>
      <c r="AM138">
        <v>-0.29666857274353597</v>
      </c>
      <c r="AN138">
        <v>0.70333142725646303</v>
      </c>
      <c r="AO138">
        <v>0.29666857274353597</v>
      </c>
    </row>
    <row r="139" spans="1:41" x14ac:dyDescent="0.35">
      <c r="A139">
        <v>445</v>
      </c>
      <c r="B139">
        <v>1</v>
      </c>
      <c r="C139">
        <v>48</v>
      </c>
      <c r="D139">
        <v>4</v>
      </c>
      <c r="E139">
        <v>0</v>
      </c>
      <c r="F139">
        <v>0</v>
      </c>
      <c r="G139">
        <v>1</v>
      </c>
      <c r="H139">
        <v>0</v>
      </c>
      <c r="I139">
        <v>0</v>
      </c>
      <c r="J139">
        <v>5096</v>
      </c>
      <c r="K139">
        <v>0</v>
      </c>
      <c r="L139">
        <v>2</v>
      </c>
      <c r="M139">
        <v>2</v>
      </c>
      <c r="N139">
        <v>0</v>
      </c>
      <c r="O139">
        <v>0</v>
      </c>
      <c r="P139">
        <v>0</v>
      </c>
      <c r="Q139">
        <v>0</v>
      </c>
      <c r="R139">
        <v>3</v>
      </c>
      <c r="S139">
        <v>0</v>
      </c>
      <c r="T139">
        <v>0</v>
      </c>
      <c r="U139">
        <v>30</v>
      </c>
      <c r="V139">
        <v>0</v>
      </c>
      <c r="W139">
        <v>0</v>
      </c>
      <c r="X139">
        <v>1</v>
      </c>
      <c r="Y139">
        <v>1</v>
      </c>
      <c r="Z139">
        <v>3</v>
      </c>
      <c r="AA139">
        <v>1</v>
      </c>
      <c r="AB139">
        <v>1</v>
      </c>
      <c r="AC139">
        <v>0</v>
      </c>
      <c r="AD139">
        <v>0</v>
      </c>
      <c r="AE139">
        <v>445</v>
      </c>
      <c r="AF139">
        <v>0</v>
      </c>
      <c r="AG139">
        <v>0</v>
      </c>
      <c r="AI139">
        <v>1</v>
      </c>
      <c r="AJ139">
        <v>1</v>
      </c>
      <c r="AK139">
        <v>0</v>
      </c>
      <c r="AL139">
        <v>-0.60900342304695299</v>
      </c>
      <c r="AM139">
        <v>0.60900342304695299</v>
      </c>
      <c r="AN139">
        <v>0.60900342304695299</v>
      </c>
      <c r="AO139">
        <v>0.39099657695304602</v>
      </c>
    </row>
    <row r="140" spans="1:41" x14ac:dyDescent="0.35">
      <c r="A140">
        <v>451</v>
      </c>
      <c r="B140">
        <v>3</v>
      </c>
      <c r="C140">
        <v>36</v>
      </c>
      <c r="D140">
        <v>4</v>
      </c>
      <c r="E140">
        <v>0</v>
      </c>
      <c r="F140">
        <v>1</v>
      </c>
      <c r="G140">
        <v>0</v>
      </c>
      <c r="H140">
        <v>0</v>
      </c>
      <c r="I140">
        <v>0</v>
      </c>
      <c r="J140">
        <v>11054</v>
      </c>
      <c r="K140">
        <v>4</v>
      </c>
      <c r="L140">
        <v>2</v>
      </c>
      <c r="M140">
        <v>4</v>
      </c>
      <c r="N140">
        <v>0</v>
      </c>
      <c r="O140">
        <v>1</v>
      </c>
      <c r="P140">
        <v>0</v>
      </c>
      <c r="Q140">
        <v>0</v>
      </c>
      <c r="R140">
        <v>2</v>
      </c>
      <c r="S140">
        <v>0</v>
      </c>
      <c r="T140">
        <v>0</v>
      </c>
      <c r="U140">
        <v>30</v>
      </c>
      <c r="V140">
        <v>0</v>
      </c>
      <c r="W140">
        <v>0</v>
      </c>
      <c r="X140">
        <v>1</v>
      </c>
      <c r="Y140">
        <v>1</v>
      </c>
      <c r="Z140">
        <v>3</v>
      </c>
      <c r="AA140">
        <v>1</v>
      </c>
      <c r="AB140">
        <v>1</v>
      </c>
      <c r="AC140">
        <v>0</v>
      </c>
      <c r="AD140">
        <v>1</v>
      </c>
      <c r="AE140">
        <v>451</v>
      </c>
      <c r="AF140">
        <v>0</v>
      </c>
      <c r="AG140">
        <v>0</v>
      </c>
      <c r="AI140">
        <v>1</v>
      </c>
      <c r="AJ140">
        <v>1</v>
      </c>
      <c r="AK140">
        <v>1</v>
      </c>
      <c r="AL140">
        <v>6.7693947091827703E-2</v>
      </c>
      <c r="AM140">
        <v>-6.7693947091827703E-2</v>
      </c>
      <c r="AN140">
        <v>0.93230605290817203</v>
      </c>
      <c r="AO140">
        <v>6.7693947091827703E-2</v>
      </c>
    </row>
    <row r="141" spans="1:41" x14ac:dyDescent="0.35">
      <c r="A141">
        <v>457</v>
      </c>
      <c r="B141">
        <v>0</v>
      </c>
      <c r="C141">
        <v>11</v>
      </c>
      <c r="D141">
        <v>4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3905</v>
      </c>
      <c r="K141">
        <v>0</v>
      </c>
      <c r="L141">
        <v>2</v>
      </c>
      <c r="M141">
        <v>2</v>
      </c>
      <c r="N141">
        <v>0</v>
      </c>
      <c r="O141">
        <v>1</v>
      </c>
      <c r="P141">
        <v>0</v>
      </c>
      <c r="Q141">
        <v>0</v>
      </c>
      <c r="R141">
        <v>2</v>
      </c>
      <c r="S141">
        <v>1</v>
      </c>
      <c r="T141">
        <v>0</v>
      </c>
      <c r="U141">
        <v>36</v>
      </c>
      <c r="V141">
        <v>0</v>
      </c>
      <c r="W141">
        <v>1</v>
      </c>
      <c r="X141">
        <v>0</v>
      </c>
      <c r="Y141">
        <v>2</v>
      </c>
      <c r="Z141">
        <v>2</v>
      </c>
      <c r="AA141">
        <v>2</v>
      </c>
      <c r="AB141">
        <v>0</v>
      </c>
      <c r="AC141">
        <v>0</v>
      </c>
      <c r="AD141">
        <v>1</v>
      </c>
      <c r="AE141">
        <v>457</v>
      </c>
      <c r="AF141">
        <v>0</v>
      </c>
      <c r="AG141">
        <v>0</v>
      </c>
      <c r="AI141">
        <v>1</v>
      </c>
      <c r="AJ141">
        <v>1</v>
      </c>
      <c r="AK141">
        <v>1</v>
      </c>
      <c r="AL141">
        <v>0.46407590191145198</v>
      </c>
      <c r="AM141">
        <v>-0.46407590191145198</v>
      </c>
      <c r="AN141">
        <v>0.53592409808854802</v>
      </c>
      <c r="AO141">
        <v>0.46407590191145198</v>
      </c>
    </row>
    <row r="142" spans="1:41" x14ac:dyDescent="0.35">
      <c r="A142">
        <v>459</v>
      </c>
      <c r="B142">
        <v>0</v>
      </c>
      <c r="C142">
        <v>6</v>
      </c>
      <c r="D142">
        <v>2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343</v>
      </c>
      <c r="K142">
        <v>0</v>
      </c>
      <c r="L142">
        <v>1</v>
      </c>
      <c r="M142">
        <v>4</v>
      </c>
      <c r="N142">
        <v>0</v>
      </c>
      <c r="O142">
        <v>0</v>
      </c>
      <c r="P142">
        <v>0</v>
      </c>
      <c r="Q142">
        <v>0</v>
      </c>
      <c r="R142">
        <v>1</v>
      </c>
      <c r="S142">
        <v>1</v>
      </c>
      <c r="T142">
        <v>0</v>
      </c>
      <c r="U142">
        <v>27</v>
      </c>
      <c r="V142">
        <v>0</v>
      </c>
      <c r="W142">
        <v>0</v>
      </c>
      <c r="X142">
        <v>1</v>
      </c>
      <c r="Y142">
        <v>1</v>
      </c>
      <c r="Z142">
        <v>2</v>
      </c>
      <c r="AA142">
        <v>1</v>
      </c>
      <c r="AB142">
        <v>0</v>
      </c>
      <c r="AC142">
        <v>0</v>
      </c>
      <c r="AD142">
        <v>1</v>
      </c>
      <c r="AE142">
        <v>459</v>
      </c>
      <c r="AF142">
        <v>0</v>
      </c>
      <c r="AG142">
        <v>0</v>
      </c>
      <c r="AI142">
        <v>1</v>
      </c>
      <c r="AJ142">
        <v>1</v>
      </c>
      <c r="AK142">
        <v>1</v>
      </c>
      <c r="AL142">
        <v>0.37438219039099602</v>
      </c>
      <c r="AM142">
        <v>-0.37438219039099602</v>
      </c>
      <c r="AN142">
        <v>0.62561780960900304</v>
      </c>
      <c r="AO142">
        <v>0.37438219039099602</v>
      </c>
    </row>
    <row r="143" spans="1:41" x14ac:dyDescent="0.35">
      <c r="A143">
        <v>461</v>
      </c>
      <c r="B143">
        <v>0</v>
      </c>
      <c r="C143">
        <v>36</v>
      </c>
      <c r="D143">
        <v>2</v>
      </c>
      <c r="E143">
        <v>0</v>
      </c>
      <c r="F143">
        <v>0</v>
      </c>
      <c r="G143">
        <v>1</v>
      </c>
      <c r="H143">
        <v>0</v>
      </c>
      <c r="I143">
        <v>0</v>
      </c>
      <c r="J143">
        <v>3620</v>
      </c>
      <c r="K143">
        <v>0</v>
      </c>
      <c r="L143">
        <v>2</v>
      </c>
      <c r="M143">
        <v>1</v>
      </c>
      <c r="N143">
        <v>0</v>
      </c>
      <c r="O143">
        <v>1</v>
      </c>
      <c r="P143">
        <v>0</v>
      </c>
      <c r="Q143">
        <v>1</v>
      </c>
      <c r="R143">
        <v>2</v>
      </c>
      <c r="S143">
        <v>0</v>
      </c>
      <c r="T143">
        <v>0</v>
      </c>
      <c r="U143">
        <v>37</v>
      </c>
      <c r="V143">
        <v>0</v>
      </c>
      <c r="W143">
        <v>0</v>
      </c>
      <c r="X143">
        <v>1</v>
      </c>
      <c r="Y143">
        <v>1</v>
      </c>
      <c r="Z143">
        <v>2</v>
      </c>
      <c r="AA143">
        <v>2</v>
      </c>
      <c r="AB143">
        <v>0</v>
      </c>
      <c r="AC143">
        <v>0</v>
      </c>
      <c r="AD143">
        <v>1</v>
      </c>
      <c r="AE143">
        <v>461</v>
      </c>
      <c r="AF143">
        <v>0</v>
      </c>
      <c r="AG143">
        <v>0</v>
      </c>
      <c r="AI143">
        <v>1</v>
      </c>
      <c r="AJ143">
        <v>1</v>
      </c>
      <c r="AK143">
        <v>1</v>
      </c>
      <c r="AL143">
        <v>0.304171187985253</v>
      </c>
      <c r="AM143">
        <v>-0.304171187985253</v>
      </c>
      <c r="AN143">
        <v>0.695828812014746</v>
      </c>
      <c r="AO143">
        <v>0.304171187985253</v>
      </c>
    </row>
    <row r="144" spans="1:41" x14ac:dyDescent="0.35">
      <c r="A144">
        <v>466</v>
      </c>
      <c r="B144">
        <v>0</v>
      </c>
      <c r="C144">
        <v>24</v>
      </c>
      <c r="D144">
        <v>2</v>
      </c>
      <c r="E144">
        <v>0</v>
      </c>
      <c r="F144">
        <v>1</v>
      </c>
      <c r="G144">
        <v>0</v>
      </c>
      <c r="H144">
        <v>0</v>
      </c>
      <c r="I144">
        <v>0</v>
      </c>
      <c r="J144">
        <v>2924</v>
      </c>
      <c r="K144">
        <v>0</v>
      </c>
      <c r="L144">
        <v>2</v>
      </c>
      <c r="M144">
        <v>3</v>
      </c>
      <c r="N144">
        <v>0</v>
      </c>
      <c r="O144">
        <v>1</v>
      </c>
      <c r="P144">
        <v>0</v>
      </c>
      <c r="Q144">
        <v>1</v>
      </c>
      <c r="R144">
        <v>4</v>
      </c>
      <c r="S144">
        <v>0</v>
      </c>
      <c r="T144">
        <v>1</v>
      </c>
      <c r="U144">
        <v>63</v>
      </c>
      <c r="V144">
        <v>1</v>
      </c>
      <c r="W144">
        <v>0</v>
      </c>
      <c r="X144">
        <v>1</v>
      </c>
      <c r="Y144">
        <v>1</v>
      </c>
      <c r="Z144">
        <v>2</v>
      </c>
      <c r="AA144">
        <v>2</v>
      </c>
      <c r="AB144">
        <v>1</v>
      </c>
      <c r="AC144">
        <v>0</v>
      </c>
      <c r="AD144">
        <v>1</v>
      </c>
      <c r="AE144">
        <v>466</v>
      </c>
      <c r="AF144">
        <v>0</v>
      </c>
      <c r="AG144">
        <v>0</v>
      </c>
      <c r="AI144">
        <v>1</v>
      </c>
      <c r="AJ144">
        <v>1</v>
      </c>
      <c r="AK144">
        <v>1</v>
      </c>
      <c r="AL144">
        <v>0.486461759117926</v>
      </c>
      <c r="AM144">
        <v>-0.486461759117926</v>
      </c>
      <c r="AN144">
        <v>0.513538240882073</v>
      </c>
      <c r="AO144">
        <v>0.486461759117926</v>
      </c>
    </row>
    <row r="145" spans="1:41" x14ac:dyDescent="0.35">
      <c r="A145">
        <v>468</v>
      </c>
      <c r="B145">
        <v>3</v>
      </c>
      <c r="C145">
        <v>48</v>
      </c>
      <c r="D145">
        <v>3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7238</v>
      </c>
      <c r="K145">
        <v>4</v>
      </c>
      <c r="L145">
        <v>4</v>
      </c>
      <c r="M145">
        <v>3</v>
      </c>
      <c r="N145">
        <v>0</v>
      </c>
      <c r="O145">
        <v>1</v>
      </c>
      <c r="P145">
        <v>0</v>
      </c>
      <c r="Q145">
        <v>0</v>
      </c>
      <c r="R145">
        <v>3</v>
      </c>
      <c r="S145">
        <v>0</v>
      </c>
      <c r="T145">
        <v>0</v>
      </c>
      <c r="U145">
        <v>32</v>
      </c>
      <c r="V145">
        <v>1</v>
      </c>
      <c r="W145">
        <v>0</v>
      </c>
      <c r="X145">
        <v>1</v>
      </c>
      <c r="Y145">
        <v>2</v>
      </c>
      <c r="Z145">
        <v>2</v>
      </c>
      <c r="AA145">
        <v>2</v>
      </c>
      <c r="AB145">
        <v>0</v>
      </c>
      <c r="AC145">
        <v>0</v>
      </c>
      <c r="AD145">
        <v>1</v>
      </c>
      <c r="AE145">
        <v>468</v>
      </c>
      <c r="AF145">
        <v>1</v>
      </c>
      <c r="AG145">
        <v>0</v>
      </c>
      <c r="AI145">
        <v>1</v>
      </c>
      <c r="AJ145">
        <v>1</v>
      </c>
      <c r="AK145">
        <v>1</v>
      </c>
      <c r="AL145">
        <v>0.14318813685882401</v>
      </c>
      <c r="AM145">
        <v>-0.14318813685882401</v>
      </c>
      <c r="AN145">
        <v>0.85681186314117497</v>
      </c>
      <c r="AO145">
        <v>0.14318813685882401</v>
      </c>
    </row>
    <row r="146" spans="1:41" x14ac:dyDescent="0.35">
      <c r="A146">
        <v>469</v>
      </c>
      <c r="B146">
        <v>3</v>
      </c>
      <c r="C146">
        <v>33</v>
      </c>
      <c r="D146">
        <v>3</v>
      </c>
      <c r="E146">
        <v>0</v>
      </c>
      <c r="F146">
        <v>0</v>
      </c>
      <c r="G146">
        <v>0</v>
      </c>
      <c r="H146">
        <v>0</v>
      </c>
      <c r="I146">
        <v>1</v>
      </c>
      <c r="J146">
        <v>2764</v>
      </c>
      <c r="K146">
        <v>0</v>
      </c>
      <c r="L146">
        <v>2</v>
      </c>
      <c r="M146">
        <v>2</v>
      </c>
      <c r="N146">
        <v>0</v>
      </c>
      <c r="O146">
        <v>0</v>
      </c>
      <c r="P146">
        <v>0</v>
      </c>
      <c r="Q146">
        <v>0</v>
      </c>
      <c r="R146">
        <v>2</v>
      </c>
      <c r="S146">
        <v>0</v>
      </c>
      <c r="T146">
        <v>0</v>
      </c>
      <c r="U146">
        <v>26</v>
      </c>
      <c r="V146">
        <v>0</v>
      </c>
      <c r="W146">
        <v>0</v>
      </c>
      <c r="X146">
        <v>1</v>
      </c>
      <c r="Y146">
        <v>2</v>
      </c>
      <c r="Z146">
        <v>2</v>
      </c>
      <c r="AA146">
        <v>1</v>
      </c>
      <c r="AB146">
        <v>1</v>
      </c>
      <c r="AC146">
        <v>0</v>
      </c>
      <c r="AD146">
        <v>1</v>
      </c>
      <c r="AE146">
        <v>469</v>
      </c>
      <c r="AF146">
        <v>0</v>
      </c>
      <c r="AG146">
        <v>0</v>
      </c>
      <c r="AI146">
        <v>1</v>
      </c>
      <c r="AJ146">
        <v>1</v>
      </c>
      <c r="AK146">
        <v>1</v>
      </c>
      <c r="AL146">
        <v>0.15036036093802799</v>
      </c>
      <c r="AM146">
        <v>-0.15036036093802799</v>
      </c>
      <c r="AN146">
        <v>0.84963963906197104</v>
      </c>
      <c r="AO146">
        <v>0.15036036093802799</v>
      </c>
    </row>
    <row r="147" spans="1:41" x14ac:dyDescent="0.35">
      <c r="A147">
        <v>470</v>
      </c>
      <c r="B147">
        <v>3</v>
      </c>
      <c r="C147">
        <v>24</v>
      </c>
      <c r="D147">
        <v>3</v>
      </c>
      <c r="E147">
        <v>0</v>
      </c>
      <c r="F147">
        <v>1</v>
      </c>
      <c r="G147">
        <v>0</v>
      </c>
      <c r="H147">
        <v>0</v>
      </c>
      <c r="I147">
        <v>0</v>
      </c>
      <c r="J147">
        <v>4679</v>
      </c>
      <c r="K147">
        <v>0</v>
      </c>
      <c r="L147">
        <v>3</v>
      </c>
      <c r="M147">
        <v>3</v>
      </c>
      <c r="N147">
        <v>0</v>
      </c>
      <c r="O147">
        <v>1</v>
      </c>
      <c r="P147">
        <v>0</v>
      </c>
      <c r="Q147">
        <v>0</v>
      </c>
      <c r="R147">
        <v>3</v>
      </c>
      <c r="S147">
        <v>0</v>
      </c>
      <c r="T147">
        <v>0</v>
      </c>
      <c r="U147">
        <v>35</v>
      </c>
      <c r="V147">
        <v>0</v>
      </c>
      <c r="W147">
        <v>0</v>
      </c>
      <c r="X147">
        <v>1</v>
      </c>
      <c r="Y147">
        <v>2</v>
      </c>
      <c r="Z147">
        <v>1</v>
      </c>
      <c r="AA147">
        <v>1</v>
      </c>
      <c r="AB147">
        <v>1</v>
      </c>
      <c r="AC147">
        <v>0</v>
      </c>
      <c r="AD147">
        <v>1</v>
      </c>
      <c r="AE147">
        <v>470</v>
      </c>
      <c r="AF147">
        <v>0</v>
      </c>
      <c r="AG147">
        <v>0</v>
      </c>
      <c r="AI147">
        <v>1</v>
      </c>
      <c r="AJ147">
        <v>1</v>
      </c>
      <c r="AK147">
        <v>1</v>
      </c>
      <c r="AL147">
        <v>0.13381994867534999</v>
      </c>
      <c r="AM147">
        <v>-0.13381994867534999</v>
      </c>
      <c r="AN147">
        <v>0.86618005132464904</v>
      </c>
      <c r="AO147">
        <v>0.13381994867534999</v>
      </c>
    </row>
    <row r="148" spans="1:41" x14ac:dyDescent="0.35">
      <c r="A148">
        <v>475</v>
      </c>
      <c r="B148">
        <v>1</v>
      </c>
      <c r="C148">
        <v>18</v>
      </c>
      <c r="D148">
        <v>4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1245</v>
      </c>
      <c r="K148">
        <v>0</v>
      </c>
      <c r="L148">
        <v>2</v>
      </c>
      <c r="M148">
        <v>4</v>
      </c>
      <c r="N148">
        <v>0</v>
      </c>
      <c r="O148">
        <v>0</v>
      </c>
      <c r="P148">
        <v>1</v>
      </c>
      <c r="Q148">
        <v>0</v>
      </c>
      <c r="R148">
        <v>2</v>
      </c>
      <c r="S148">
        <v>0</v>
      </c>
      <c r="T148">
        <v>0</v>
      </c>
      <c r="U148">
        <v>33</v>
      </c>
      <c r="V148">
        <v>0</v>
      </c>
      <c r="W148">
        <v>0</v>
      </c>
      <c r="X148">
        <v>1</v>
      </c>
      <c r="Y148">
        <v>1</v>
      </c>
      <c r="Z148">
        <v>2</v>
      </c>
      <c r="AA148">
        <v>1</v>
      </c>
      <c r="AB148">
        <v>0</v>
      </c>
      <c r="AC148">
        <v>0</v>
      </c>
      <c r="AD148">
        <v>0</v>
      </c>
      <c r="AE148">
        <v>475</v>
      </c>
      <c r="AF148">
        <v>1</v>
      </c>
      <c r="AG148">
        <v>0</v>
      </c>
      <c r="AI148">
        <v>1</v>
      </c>
      <c r="AJ148">
        <v>1</v>
      </c>
      <c r="AK148">
        <v>0</v>
      </c>
      <c r="AL148">
        <v>-0.72614941796914401</v>
      </c>
      <c r="AM148">
        <v>0.72614941796914401</v>
      </c>
      <c r="AN148">
        <v>0.72614941796914401</v>
      </c>
      <c r="AO148">
        <v>0.27385058203085499</v>
      </c>
    </row>
    <row r="149" spans="1:41" x14ac:dyDescent="0.35">
      <c r="A149">
        <v>478</v>
      </c>
      <c r="B149">
        <v>2</v>
      </c>
      <c r="C149">
        <v>24</v>
      </c>
      <c r="D149">
        <v>2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5152</v>
      </c>
      <c r="K149">
        <v>0</v>
      </c>
      <c r="L149">
        <v>3</v>
      </c>
      <c r="M149">
        <v>4</v>
      </c>
      <c r="N149">
        <v>0</v>
      </c>
      <c r="O149">
        <v>1</v>
      </c>
      <c r="P149">
        <v>0</v>
      </c>
      <c r="Q149">
        <v>0</v>
      </c>
      <c r="R149">
        <v>2</v>
      </c>
      <c r="S149">
        <v>0</v>
      </c>
      <c r="T149">
        <v>0</v>
      </c>
      <c r="U149">
        <v>25</v>
      </c>
      <c r="V149">
        <v>1</v>
      </c>
      <c r="W149">
        <v>0</v>
      </c>
      <c r="X149">
        <v>1</v>
      </c>
      <c r="Y149">
        <v>1</v>
      </c>
      <c r="Z149">
        <v>2</v>
      </c>
      <c r="AA149">
        <v>1</v>
      </c>
      <c r="AB149">
        <v>0</v>
      </c>
      <c r="AC149">
        <v>0</v>
      </c>
      <c r="AD149">
        <v>1</v>
      </c>
      <c r="AE149">
        <v>478</v>
      </c>
      <c r="AF149">
        <v>1</v>
      </c>
      <c r="AG149">
        <v>0</v>
      </c>
      <c r="AI149">
        <v>1</v>
      </c>
      <c r="AJ149">
        <v>1</v>
      </c>
      <c r="AK149">
        <v>1</v>
      </c>
      <c r="AL149">
        <v>0.44126070729366201</v>
      </c>
      <c r="AM149">
        <v>-0.44126070729366201</v>
      </c>
      <c r="AN149">
        <v>0.55873929270633704</v>
      </c>
      <c r="AO149">
        <v>0.44126070729366201</v>
      </c>
    </row>
    <row r="150" spans="1:41" x14ac:dyDescent="0.35">
      <c r="A150">
        <v>480</v>
      </c>
      <c r="B150">
        <v>0</v>
      </c>
      <c r="C150">
        <v>15</v>
      </c>
      <c r="D150">
        <v>4</v>
      </c>
      <c r="E150">
        <v>0</v>
      </c>
      <c r="F150">
        <v>0</v>
      </c>
      <c r="G150">
        <v>1</v>
      </c>
      <c r="H150">
        <v>0</v>
      </c>
      <c r="I150">
        <v>0</v>
      </c>
      <c r="J150">
        <v>1478</v>
      </c>
      <c r="K150">
        <v>0</v>
      </c>
      <c r="L150">
        <v>4</v>
      </c>
      <c r="M150">
        <v>4</v>
      </c>
      <c r="N150">
        <v>0</v>
      </c>
      <c r="O150">
        <v>1</v>
      </c>
      <c r="P150">
        <v>0</v>
      </c>
      <c r="Q150">
        <v>0</v>
      </c>
      <c r="R150">
        <v>4</v>
      </c>
      <c r="S150">
        <v>0</v>
      </c>
      <c r="T150">
        <v>0</v>
      </c>
      <c r="U150">
        <v>44</v>
      </c>
      <c r="V150">
        <v>0</v>
      </c>
      <c r="W150">
        <v>0</v>
      </c>
      <c r="X150">
        <v>1</v>
      </c>
      <c r="Y150">
        <v>2</v>
      </c>
      <c r="Z150">
        <v>2</v>
      </c>
      <c r="AA150">
        <v>2</v>
      </c>
      <c r="AB150">
        <v>1</v>
      </c>
      <c r="AC150">
        <v>0</v>
      </c>
      <c r="AD150">
        <v>1</v>
      </c>
      <c r="AE150">
        <v>480</v>
      </c>
      <c r="AF150">
        <v>0</v>
      </c>
      <c r="AG150">
        <v>0</v>
      </c>
      <c r="AI150">
        <v>1</v>
      </c>
      <c r="AJ150">
        <v>1</v>
      </c>
      <c r="AK150">
        <v>1</v>
      </c>
      <c r="AL150">
        <v>0.244475597480003</v>
      </c>
      <c r="AM150">
        <v>-0.244475597480003</v>
      </c>
      <c r="AN150">
        <v>0.75552440251999597</v>
      </c>
      <c r="AO150">
        <v>0.244475597480003</v>
      </c>
    </row>
    <row r="151" spans="1:41" x14ac:dyDescent="0.35">
      <c r="A151">
        <v>483</v>
      </c>
      <c r="B151">
        <v>0</v>
      </c>
      <c r="C151">
        <v>30</v>
      </c>
      <c r="D151">
        <v>2</v>
      </c>
      <c r="E151">
        <v>0</v>
      </c>
      <c r="F151">
        <v>0</v>
      </c>
      <c r="G151">
        <v>1</v>
      </c>
      <c r="H151">
        <v>0</v>
      </c>
      <c r="I151">
        <v>0</v>
      </c>
      <c r="J151">
        <v>3622</v>
      </c>
      <c r="K151">
        <v>3</v>
      </c>
      <c r="L151">
        <v>4</v>
      </c>
      <c r="M151">
        <v>4</v>
      </c>
      <c r="N151">
        <v>0</v>
      </c>
      <c r="O151">
        <v>0</v>
      </c>
      <c r="P151">
        <v>0</v>
      </c>
      <c r="Q151">
        <v>0</v>
      </c>
      <c r="R151">
        <v>4</v>
      </c>
      <c r="S151">
        <v>0</v>
      </c>
      <c r="T151">
        <v>0</v>
      </c>
      <c r="U151">
        <v>57</v>
      </c>
      <c r="V151">
        <v>0</v>
      </c>
      <c r="W151">
        <v>1</v>
      </c>
      <c r="X151">
        <v>0</v>
      </c>
      <c r="Y151">
        <v>2</v>
      </c>
      <c r="Z151">
        <v>2</v>
      </c>
      <c r="AA151">
        <v>1</v>
      </c>
      <c r="AB151">
        <v>1</v>
      </c>
      <c r="AC151">
        <v>0</v>
      </c>
      <c r="AD151">
        <v>1</v>
      </c>
      <c r="AE151">
        <v>483</v>
      </c>
      <c r="AF151">
        <v>0</v>
      </c>
      <c r="AG151">
        <v>0</v>
      </c>
      <c r="AI151">
        <v>1</v>
      </c>
      <c r="AJ151">
        <v>1</v>
      </c>
      <c r="AK151">
        <v>1</v>
      </c>
      <c r="AL151">
        <v>0.46407262728742499</v>
      </c>
      <c r="AM151">
        <v>-0.46407262728742499</v>
      </c>
      <c r="AN151">
        <v>0.53592737271257396</v>
      </c>
      <c r="AO151">
        <v>0.46407262728742499</v>
      </c>
    </row>
    <row r="152" spans="1:41" x14ac:dyDescent="0.35">
      <c r="A152">
        <v>486</v>
      </c>
      <c r="B152">
        <v>1</v>
      </c>
      <c r="C152">
        <v>6</v>
      </c>
      <c r="D152">
        <v>3</v>
      </c>
      <c r="E152">
        <v>1</v>
      </c>
      <c r="F152">
        <v>0</v>
      </c>
      <c r="G152">
        <v>0</v>
      </c>
      <c r="H152">
        <v>0</v>
      </c>
      <c r="I152">
        <v>0</v>
      </c>
      <c r="J152">
        <v>1209</v>
      </c>
      <c r="K152">
        <v>0</v>
      </c>
      <c r="L152">
        <v>0</v>
      </c>
      <c r="M152">
        <v>4</v>
      </c>
      <c r="N152">
        <v>0</v>
      </c>
      <c r="O152">
        <v>1</v>
      </c>
      <c r="P152">
        <v>0</v>
      </c>
      <c r="Q152">
        <v>0</v>
      </c>
      <c r="R152">
        <v>4</v>
      </c>
      <c r="S152">
        <v>0</v>
      </c>
      <c r="T152">
        <v>0</v>
      </c>
      <c r="U152">
        <v>47</v>
      </c>
      <c r="V152">
        <v>0</v>
      </c>
      <c r="W152">
        <v>0</v>
      </c>
      <c r="X152">
        <v>1</v>
      </c>
      <c r="Y152">
        <v>1</v>
      </c>
      <c r="Z152">
        <v>3</v>
      </c>
      <c r="AA152">
        <v>1</v>
      </c>
      <c r="AB152">
        <v>1</v>
      </c>
      <c r="AC152">
        <v>0</v>
      </c>
      <c r="AD152">
        <v>0</v>
      </c>
      <c r="AE152">
        <v>486</v>
      </c>
      <c r="AF152">
        <v>0</v>
      </c>
      <c r="AG152">
        <v>0</v>
      </c>
      <c r="AI152">
        <v>1</v>
      </c>
      <c r="AJ152">
        <v>1</v>
      </c>
      <c r="AK152">
        <v>0</v>
      </c>
      <c r="AL152">
        <v>-0.51029391882405695</v>
      </c>
      <c r="AM152">
        <v>0.51029391882405695</v>
      </c>
      <c r="AN152">
        <v>0.51029391882405695</v>
      </c>
      <c r="AO152">
        <v>0.489706081175942</v>
      </c>
    </row>
    <row r="153" spans="1:41" x14ac:dyDescent="0.35">
      <c r="A153">
        <v>489</v>
      </c>
      <c r="B153">
        <v>3</v>
      </c>
      <c r="C153">
        <v>10</v>
      </c>
      <c r="D153">
        <v>2</v>
      </c>
      <c r="E153">
        <v>1</v>
      </c>
      <c r="F153">
        <v>0</v>
      </c>
      <c r="G153">
        <v>0</v>
      </c>
      <c r="H153">
        <v>0</v>
      </c>
      <c r="I153">
        <v>0</v>
      </c>
      <c r="J153">
        <v>1418</v>
      </c>
      <c r="K153">
        <v>1</v>
      </c>
      <c r="L153">
        <v>2</v>
      </c>
      <c r="M153">
        <v>3</v>
      </c>
      <c r="N153">
        <v>0</v>
      </c>
      <c r="O153">
        <v>1</v>
      </c>
      <c r="P153">
        <v>0</v>
      </c>
      <c r="Q153">
        <v>0</v>
      </c>
      <c r="R153">
        <v>2</v>
      </c>
      <c r="S153">
        <v>1</v>
      </c>
      <c r="T153">
        <v>0</v>
      </c>
      <c r="U153">
        <v>35</v>
      </c>
      <c r="V153">
        <v>0</v>
      </c>
      <c r="W153">
        <v>1</v>
      </c>
      <c r="X153">
        <v>0</v>
      </c>
      <c r="Y153">
        <v>1</v>
      </c>
      <c r="Z153">
        <v>1</v>
      </c>
      <c r="AA153">
        <v>1</v>
      </c>
      <c r="AB153">
        <v>0</v>
      </c>
      <c r="AC153">
        <v>1</v>
      </c>
      <c r="AD153">
        <v>1</v>
      </c>
      <c r="AE153">
        <v>489</v>
      </c>
      <c r="AF153">
        <v>0</v>
      </c>
      <c r="AG153">
        <v>0</v>
      </c>
      <c r="AI153">
        <v>1</v>
      </c>
      <c r="AJ153">
        <v>1</v>
      </c>
      <c r="AK153">
        <v>1</v>
      </c>
      <c r="AL153">
        <v>3.2850092381986801E-2</v>
      </c>
      <c r="AM153">
        <v>-3.2850092381986801E-2</v>
      </c>
      <c r="AN153">
        <v>0.96714990761801301</v>
      </c>
      <c r="AO153">
        <v>3.2850092381986801E-2</v>
      </c>
    </row>
    <row r="154" spans="1:41" x14ac:dyDescent="0.35">
      <c r="A154">
        <v>492</v>
      </c>
      <c r="B154">
        <v>1</v>
      </c>
      <c r="C154">
        <v>27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1</v>
      </c>
      <c r="J154">
        <v>8318</v>
      </c>
      <c r="K154">
        <v>0</v>
      </c>
      <c r="L154">
        <v>4</v>
      </c>
      <c r="M154">
        <v>2</v>
      </c>
      <c r="N154">
        <v>0</v>
      </c>
      <c r="O154">
        <v>0</v>
      </c>
      <c r="P154">
        <v>0</v>
      </c>
      <c r="Q154">
        <v>0</v>
      </c>
      <c r="R154">
        <v>4</v>
      </c>
      <c r="S154">
        <v>0</v>
      </c>
      <c r="T154">
        <v>1</v>
      </c>
      <c r="U154">
        <v>42</v>
      </c>
      <c r="V154">
        <v>0</v>
      </c>
      <c r="W154">
        <v>0</v>
      </c>
      <c r="X154">
        <v>0</v>
      </c>
      <c r="Y154">
        <v>2</v>
      </c>
      <c r="Z154">
        <v>3</v>
      </c>
      <c r="AA154">
        <v>1</v>
      </c>
      <c r="AB154">
        <v>1</v>
      </c>
      <c r="AC154">
        <v>0</v>
      </c>
      <c r="AD154">
        <v>0</v>
      </c>
      <c r="AE154">
        <v>492</v>
      </c>
      <c r="AF154">
        <v>0</v>
      </c>
      <c r="AG154">
        <v>0</v>
      </c>
      <c r="AI154">
        <v>0</v>
      </c>
      <c r="AJ154">
        <v>0</v>
      </c>
      <c r="AK154">
        <v>0</v>
      </c>
      <c r="AL154">
        <v>-0.30339098488862398</v>
      </c>
      <c r="AM154">
        <v>0.30339098488862398</v>
      </c>
      <c r="AN154">
        <v>0.30339098488862398</v>
      </c>
      <c r="AO154">
        <v>0.69660901511137496</v>
      </c>
    </row>
    <row r="155" spans="1:41" x14ac:dyDescent="0.35">
      <c r="A155">
        <v>493</v>
      </c>
      <c r="B155">
        <v>3</v>
      </c>
      <c r="C155">
        <v>6</v>
      </c>
      <c r="D155">
        <v>4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1237</v>
      </c>
      <c r="K155">
        <v>1</v>
      </c>
      <c r="L155">
        <v>2</v>
      </c>
      <c r="M155">
        <v>1</v>
      </c>
      <c r="N155">
        <v>0</v>
      </c>
      <c r="O155">
        <v>0</v>
      </c>
      <c r="P155">
        <v>0</v>
      </c>
      <c r="Q155">
        <v>0</v>
      </c>
      <c r="R155">
        <v>1</v>
      </c>
      <c r="S155">
        <v>0</v>
      </c>
      <c r="T155">
        <v>0</v>
      </c>
      <c r="U155">
        <v>27</v>
      </c>
      <c r="V155">
        <v>0</v>
      </c>
      <c r="W155">
        <v>0</v>
      </c>
      <c r="X155">
        <v>1</v>
      </c>
      <c r="Y155">
        <v>2</v>
      </c>
      <c r="Z155">
        <v>2</v>
      </c>
      <c r="AA155">
        <v>1</v>
      </c>
      <c r="AB155">
        <v>0</v>
      </c>
      <c r="AC155">
        <v>0</v>
      </c>
      <c r="AD155">
        <v>1</v>
      </c>
      <c r="AE155">
        <v>493</v>
      </c>
      <c r="AF155">
        <v>1</v>
      </c>
      <c r="AG155">
        <v>0</v>
      </c>
      <c r="AI155">
        <v>1</v>
      </c>
      <c r="AJ155">
        <v>1</v>
      </c>
      <c r="AK155">
        <v>1</v>
      </c>
      <c r="AL155">
        <v>1.4591320542424799E-2</v>
      </c>
      <c r="AM155">
        <v>-1.4591320542424799E-2</v>
      </c>
      <c r="AN155">
        <v>0.98540867945757504</v>
      </c>
      <c r="AO155">
        <v>1.4591320542424799E-2</v>
      </c>
    </row>
    <row r="156" spans="1:41" x14ac:dyDescent="0.35">
      <c r="A156">
        <v>494</v>
      </c>
      <c r="B156">
        <v>1</v>
      </c>
      <c r="C156">
        <v>6</v>
      </c>
      <c r="D156">
        <v>2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368</v>
      </c>
      <c r="K156">
        <v>4</v>
      </c>
      <c r="L156">
        <v>4</v>
      </c>
      <c r="M156">
        <v>4</v>
      </c>
      <c r="N156">
        <v>0</v>
      </c>
      <c r="O156">
        <v>1</v>
      </c>
      <c r="P156">
        <v>0</v>
      </c>
      <c r="Q156">
        <v>0</v>
      </c>
      <c r="R156">
        <v>4</v>
      </c>
      <c r="S156">
        <v>0</v>
      </c>
      <c r="T156">
        <v>0</v>
      </c>
      <c r="U156">
        <v>38</v>
      </c>
      <c r="V156">
        <v>0</v>
      </c>
      <c r="W156">
        <v>0</v>
      </c>
      <c r="X156">
        <v>1</v>
      </c>
      <c r="Y156">
        <v>1</v>
      </c>
      <c r="Z156">
        <v>2</v>
      </c>
      <c r="AA156">
        <v>1</v>
      </c>
      <c r="AB156">
        <v>0</v>
      </c>
      <c r="AC156">
        <v>0</v>
      </c>
      <c r="AD156">
        <v>1</v>
      </c>
      <c r="AE156">
        <v>494</v>
      </c>
      <c r="AF156">
        <v>1</v>
      </c>
      <c r="AG156">
        <v>0</v>
      </c>
      <c r="AI156">
        <v>1</v>
      </c>
      <c r="AJ156">
        <v>1</v>
      </c>
      <c r="AK156">
        <v>1</v>
      </c>
      <c r="AL156">
        <v>6.7534227966544E-2</v>
      </c>
      <c r="AM156">
        <v>-6.7534227966544E-2</v>
      </c>
      <c r="AN156">
        <v>0.93246577203345504</v>
      </c>
      <c r="AO156">
        <v>6.7534227966544E-2</v>
      </c>
    </row>
    <row r="157" spans="1:41" x14ac:dyDescent="0.35">
      <c r="A157">
        <v>500</v>
      </c>
      <c r="B157">
        <v>2</v>
      </c>
      <c r="C157">
        <v>6</v>
      </c>
      <c r="D157">
        <v>4</v>
      </c>
      <c r="E157">
        <v>1</v>
      </c>
      <c r="F157">
        <v>0</v>
      </c>
      <c r="G157">
        <v>0</v>
      </c>
      <c r="H157">
        <v>0</v>
      </c>
      <c r="I157">
        <v>0</v>
      </c>
      <c r="J157">
        <v>1323</v>
      </c>
      <c r="K157">
        <v>1</v>
      </c>
      <c r="L157">
        <v>4</v>
      </c>
      <c r="M157">
        <v>2</v>
      </c>
      <c r="N157">
        <v>1</v>
      </c>
      <c r="O157">
        <v>0</v>
      </c>
      <c r="P157">
        <v>0</v>
      </c>
      <c r="Q157">
        <v>0</v>
      </c>
      <c r="R157">
        <v>4</v>
      </c>
      <c r="S157">
        <v>0</v>
      </c>
      <c r="T157">
        <v>0</v>
      </c>
      <c r="U157">
        <v>28</v>
      </c>
      <c r="V157">
        <v>0</v>
      </c>
      <c r="W157">
        <v>0</v>
      </c>
      <c r="X157">
        <v>1</v>
      </c>
      <c r="Y157">
        <v>2</v>
      </c>
      <c r="Z157">
        <v>2</v>
      </c>
      <c r="AA157">
        <v>2</v>
      </c>
      <c r="AB157">
        <v>1</v>
      </c>
      <c r="AC157">
        <v>0</v>
      </c>
      <c r="AD157">
        <v>1</v>
      </c>
      <c r="AE157">
        <v>500</v>
      </c>
      <c r="AF157">
        <v>0</v>
      </c>
      <c r="AG157">
        <v>0</v>
      </c>
      <c r="AI157">
        <v>1</v>
      </c>
      <c r="AJ157">
        <v>1</v>
      </c>
      <c r="AK157">
        <v>1</v>
      </c>
      <c r="AL157">
        <v>0.124982009695949</v>
      </c>
      <c r="AM157">
        <v>-0.124982009695949</v>
      </c>
      <c r="AN157">
        <v>0.87501799030405003</v>
      </c>
      <c r="AO157">
        <v>0.124982009695949</v>
      </c>
    </row>
    <row r="158" spans="1:41" x14ac:dyDescent="0.35">
      <c r="A158">
        <v>501</v>
      </c>
      <c r="B158">
        <v>0</v>
      </c>
      <c r="C158">
        <v>24</v>
      </c>
      <c r="D158">
        <v>2</v>
      </c>
      <c r="E158">
        <v>1</v>
      </c>
      <c r="F158">
        <v>0</v>
      </c>
      <c r="G158">
        <v>0</v>
      </c>
      <c r="H158">
        <v>0</v>
      </c>
      <c r="I158">
        <v>0</v>
      </c>
      <c r="J158">
        <v>3123</v>
      </c>
      <c r="K158">
        <v>0</v>
      </c>
      <c r="L158">
        <v>1</v>
      </c>
      <c r="M158">
        <v>4</v>
      </c>
      <c r="N158">
        <v>0</v>
      </c>
      <c r="O158">
        <v>0</v>
      </c>
      <c r="P158">
        <v>0</v>
      </c>
      <c r="Q158">
        <v>0</v>
      </c>
      <c r="R158">
        <v>1</v>
      </c>
      <c r="S158">
        <v>0</v>
      </c>
      <c r="T158">
        <v>0</v>
      </c>
      <c r="U158">
        <v>27</v>
      </c>
      <c r="V158">
        <v>0</v>
      </c>
      <c r="W158">
        <v>0</v>
      </c>
      <c r="X158">
        <v>1</v>
      </c>
      <c r="Y158">
        <v>1</v>
      </c>
      <c r="Z158">
        <v>2</v>
      </c>
      <c r="AA158">
        <v>1</v>
      </c>
      <c r="AB158">
        <v>0</v>
      </c>
      <c r="AC158">
        <v>0</v>
      </c>
      <c r="AD158">
        <v>0</v>
      </c>
      <c r="AE158">
        <v>501</v>
      </c>
      <c r="AF158">
        <v>0</v>
      </c>
      <c r="AG158">
        <v>0</v>
      </c>
      <c r="AI158">
        <v>0</v>
      </c>
      <c r="AJ158">
        <v>0</v>
      </c>
      <c r="AK158">
        <v>0</v>
      </c>
      <c r="AL158">
        <v>-0.243049418604843</v>
      </c>
      <c r="AM158">
        <v>0.243049418604843</v>
      </c>
      <c r="AN158">
        <v>0.243049418604843</v>
      </c>
      <c r="AO158">
        <v>0.75695058139515603</v>
      </c>
    </row>
    <row r="159" spans="1:41" x14ac:dyDescent="0.35">
      <c r="A159">
        <v>502</v>
      </c>
      <c r="B159">
        <v>0</v>
      </c>
      <c r="C159">
        <v>36</v>
      </c>
      <c r="D159">
        <v>2</v>
      </c>
      <c r="E159">
        <v>0</v>
      </c>
      <c r="F159">
        <v>1</v>
      </c>
      <c r="G159">
        <v>0</v>
      </c>
      <c r="H159">
        <v>0</v>
      </c>
      <c r="I159">
        <v>0</v>
      </c>
      <c r="J159">
        <v>5493</v>
      </c>
      <c r="K159">
        <v>0</v>
      </c>
      <c r="L159">
        <v>4</v>
      </c>
      <c r="M159">
        <v>2</v>
      </c>
      <c r="N159">
        <v>0</v>
      </c>
      <c r="O159">
        <v>1</v>
      </c>
      <c r="P159">
        <v>0</v>
      </c>
      <c r="Q159">
        <v>0</v>
      </c>
      <c r="R159">
        <v>4</v>
      </c>
      <c r="S159">
        <v>0</v>
      </c>
      <c r="T159">
        <v>1</v>
      </c>
      <c r="U159">
        <v>42</v>
      </c>
      <c r="V159">
        <v>0</v>
      </c>
      <c r="W159">
        <v>0</v>
      </c>
      <c r="X159">
        <v>0</v>
      </c>
      <c r="Y159">
        <v>1</v>
      </c>
      <c r="Z159">
        <v>2</v>
      </c>
      <c r="AA159">
        <v>2</v>
      </c>
      <c r="AB159">
        <v>0</v>
      </c>
      <c r="AC159">
        <v>0</v>
      </c>
      <c r="AD159">
        <v>1</v>
      </c>
      <c r="AE159">
        <v>502</v>
      </c>
      <c r="AF159">
        <v>0</v>
      </c>
      <c r="AG159">
        <v>0</v>
      </c>
      <c r="AI159">
        <v>1</v>
      </c>
      <c r="AJ159">
        <v>1</v>
      </c>
      <c r="AK159">
        <v>1</v>
      </c>
      <c r="AL159">
        <v>0.42794576562880299</v>
      </c>
      <c r="AM159">
        <v>-0.42794576562880299</v>
      </c>
      <c r="AN159">
        <v>0.57205423437119596</v>
      </c>
      <c r="AO159">
        <v>0.42794576562880299</v>
      </c>
    </row>
    <row r="160" spans="1:41" x14ac:dyDescent="0.35">
      <c r="A160">
        <v>506</v>
      </c>
      <c r="B160">
        <v>3</v>
      </c>
      <c r="C160">
        <v>10</v>
      </c>
      <c r="D160">
        <v>2</v>
      </c>
      <c r="E160">
        <v>1</v>
      </c>
      <c r="F160">
        <v>0</v>
      </c>
      <c r="G160">
        <v>0</v>
      </c>
      <c r="H160">
        <v>0</v>
      </c>
      <c r="I160">
        <v>0</v>
      </c>
      <c r="J160">
        <v>1309</v>
      </c>
      <c r="K160">
        <v>4</v>
      </c>
      <c r="L160">
        <v>2</v>
      </c>
      <c r="M160">
        <v>4</v>
      </c>
      <c r="N160">
        <v>0</v>
      </c>
      <c r="O160">
        <v>1</v>
      </c>
      <c r="P160">
        <v>0</v>
      </c>
      <c r="Q160">
        <v>1</v>
      </c>
      <c r="R160">
        <v>4</v>
      </c>
      <c r="S160">
        <v>0</v>
      </c>
      <c r="T160">
        <v>0</v>
      </c>
      <c r="U160">
        <v>27</v>
      </c>
      <c r="V160">
        <v>0</v>
      </c>
      <c r="W160">
        <v>0</v>
      </c>
      <c r="X160">
        <v>1</v>
      </c>
      <c r="Y160">
        <v>1</v>
      </c>
      <c r="Z160">
        <v>1</v>
      </c>
      <c r="AA160">
        <v>1</v>
      </c>
      <c r="AB160">
        <v>0</v>
      </c>
      <c r="AC160">
        <v>0</v>
      </c>
      <c r="AD160">
        <v>0</v>
      </c>
      <c r="AE160">
        <v>506</v>
      </c>
      <c r="AF160">
        <v>0</v>
      </c>
      <c r="AG160">
        <v>0</v>
      </c>
      <c r="AI160">
        <v>1</v>
      </c>
      <c r="AJ160">
        <v>1</v>
      </c>
      <c r="AK160">
        <v>0</v>
      </c>
      <c r="AL160">
        <v>-0.95175951999205199</v>
      </c>
      <c r="AM160">
        <v>0.95175951999205199</v>
      </c>
      <c r="AN160">
        <v>0.95175951999205199</v>
      </c>
      <c r="AO160">
        <v>4.8240480007947499E-2</v>
      </c>
    </row>
    <row r="161" spans="1:41" x14ac:dyDescent="0.35">
      <c r="A161">
        <v>508</v>
      </c>
      <c r="B161">
        <v>1</v>
      </c>
      <c r="C161">
        <v>15</v>
      </c>
      <c r="D161">
        <v>1</v>
      </c>
      <c r="E161">
        <v>1</v>
      </c>
      <c r="F161">
        <v>0</v>
      </c>
      <c r="G161">
        <v>0</v>
      </c>
      <c r="H161">
        <v>0</v>
      </c>
      <c r="I161">
        <v>0</v>
      </c>
      <c r="J161">
        <v>6850</v>
      </c>
      <c r="K161">
        <v>1</v>
      </c>
      <c r="L161">
        <v>0</v>
      </c>
      <c r="M161">
        <v>1</v>
      </c>
      <c r="N161">
        <v>0</v>
      </c>
      <c r="O161">
        <v>1</v>
      </c>
      <c r="P161">
        <v>0</v>
      </c>
      <c r="Q161">
        <v>0</v>
      </c>
      <c r="R161">
        <v>2</v>
      </c>
      <c r="S161">
        <v>0</v>
      </c>
      <c r="T161">
        <v>0</v>
      </c>
      <c r="U161">
        <v>34</v>
      </c>
      <c r="V161">
        <v>0</v>
      </c>
      <c r="W161">
        <v>0</v>
      </c>
      <c r="X161">
        <v>1</v>
      </c>
      <c r="Y161">
        <v>1</v>
      </c>
      <c r="Z161">
        <v>3</v>
      </c>
      <c r="AA161">
        <v>2</v>
      </c>
      <c r="AB161">
        <v>1</v>
      </c>
      <c r="AC161">
        <v>0</v>
      </c>
      <c r="AD161">
        <v>0</v>
      </c>
      <c r="AE161">
        <v>508</v>
      </c>
      <c r="AF161">
        <v>0</v>
      </c>
      <c r="AG161">
        <v>0</v>
      </c>
      <c r="AI161">
        <v>1</v>
      </c>
      <c r="AJ161">
        <v>1</v>
      </c>
      <c r="AK161">
        <v>0</v>
      </c>
      <c r="AL161">
        <v>-0.52646922888217595</v>
      </c>
      <c r="AM161">
        <v>0.52646922888217595</v>
      </c>
      <c r="AN161">
        <v>0.52646922888217595</v>
      </c>
      <c r="AO161">
        <v>0.47353077111782299</v>
      </c>
    </row>
    <row r="162" spans="1:41" x14ac:dyDescent="0.35">
      <c r="A162">
        <v>509</v>
      </c>
      <c r="B162">
        <v>3</v>
      </c>
      <c r="C162">
        <v>24</v>
      </c>
      <c r="D162">
        <v>2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1413</v>
      </c>
      <c r="K162">
        <v>0</v>
      </c>
      <c r="L162">
        <v>2</v>
      </c>
      <c r="M162">
        <v>4</v>
      </c>
      <c r="N162">
        <v>0</v>
      </c>
      <c r="O162">
        <v>0</v>
      </c>
      <c r="P162">
        <v>1</v>
      </c>
      <c r="Q162">
        <v>0</v>
      </c>
      <c r="R162">
        <v>2</v>
      </c>
      <c r="S162">
        <v>0</v>
      </c>
      <c r="T162">
        <v>0</v>
      </c>
      <c r="U162">
        <v>28</v>
      </c>
      <c r="V162">
        <v>0</v>
      </c>
      <c r="W162">
        <v>0</v>
      </c>
      <c r="X162">
        <v>1</v>
      </c>
      <c r="Y162">
        <v>1</v>
      </c>
      <c r="Z162">
        <v>2</v>
      </c>
      <c r="AA162">
        <v>1</v>
      </c>
      <c r="AB162">
        <v>0</v>
      </c>
      <c r="AC162">
        <v>0</v>
      </c>
      <c r="AD162">
        <v>1</v>
      </c>
      <c r="AE162">
        <v>509</v>
      </c>
      <c r="AF162">
        <v>1</v>
      </c>
      <c r="AG162">
        <v>0</v>
      </c>
      <c r="AI162">
        <v>1</v>
      </c>
      <c r="AJ162">
        <v>1</v>
      </c>
      <c r="AK162">
        <v>1</v>
      </c>
      <c r="AL162">
        <v>0.147291214272217</v>
      </c>
      <c r="AM162">
        <v>-0.147291214272217</v>
      </c>
      <c r="AN162">
        <v>0.85270878572778197</v>
      </c>
      <c r="AO162">
        <v>0.147291214272217</v>
      </c>
    </row>
    <row r="163" spans="1:41" x14ac:dyDescent="0.35">
      <c r="A163">
        <v>514</v>
      </c>
      <c r="B163">
        <v>1</v>
      </c>
      <c r="C163">
        <v>12</v>
      </c>
      <c r="D163">
        <v>3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585</v>
      </c>
      <c r="K163">
        <v>0</v>
      </c>
      <c r="L163">
        <v>2</v>
      </c>
      <c r="M163">
        <v>4</v>
      </c>
      <c r="N163">
        <v>0</v>
      </c>
      <c r="O163">
        <v>0</v>
      </c>
      <c r="P163">
        <v>1</v>
      </c>
      <c r="Q163">
        <v>0</v>
      </c>
      <c r="R163">
        <v>4</v>
      </c>
      <c r="S163">
        <v>1</v>
      </c>
      <c r="T163">
        <v>0</v>
      </c>
      <c r="U163">
        <v>20</v>
      </c>
      <c r="V163">
        <v>0</v>
      </c>
      <c r="W163">
        <v>1</v>
      </c>
      <c r="X163">
        <v>0</v>
      </c>
      <c r="Y163">
        <v>2</v>
      </c>
      <c r="Z163">
        <v>2</v>
      </c>
      <c r="AA163">
        <v>1</v>
      </c>
      <c r="AB163">
        <v>0</v>
      </c>
      <c r="AC163">
        <v>0</v>
      </c>
      <c r="AD163">
        <v>1</v>
      </c>
      <c r="AE163">
        <v>514</v>
      </c>
      <c r="AF163">
        <v>1</v>
      </c>
      <c r="AG163">
        <v>1</v>
      </c>
      <c r="AI163">
        <v>0</v>
      </c>
      <c r="AJ163">
        <v>0</v>
      </c>
      <c r="AK163">
        <v>1</v>
      </c>
      <c r="AL163">
        <v>0.53908400083049401</v>
      </c>
      <c r="AM163">
        <v>-0.53908400083049401</v>
      </c>
      <c r="AN163">
        <v>0.46091599916950499</v>
      </c>
      <c r="AO163">
        <v>0.53908400083049401</v>
      </c>
    </row>
    <row r="164" spans="1:41" x14ac:dyDescent="0.35">
      <c r="A164">
        <v>517</v>
      </c>
      <c r="B164">
        <v>0</v>
      </c>
      <c r="C164">
        <v>6</v>
      </c>
      <c r="D164">
        <v>4</v>
      </c>
      <c r="E164">
        <v>1</v>
      </c>
      <c r="F164">
        <v>0</v>
      </c>
      <c r="G164">
        <v>0</v>
      </c>
      <c r="H164">
        <v>0</v>
      </c>
      <c r="I164">
        <v>0</v>
      </c>
      <c r="J164">
        <v>1361</v>
      </c>
      <c r="K164">
        <v>0</v>
      </c>
      <c r="L164">
        <v>1</v>
      </c>
      <c r="M164">
        <v>2</v>
      </c>
      <c r="N164">
        <v>0</v>
      </c>
      <c r="O164">
        <v>1</v>
      </c>
      <c r="P164">
        <v>0</v>
      </c>
      <c r="Q164">
        <v>0</v>
      </c>
      <c r="R164">
        <v>4</v>
      </c>
      <c r="S164">
        <v>1</v>
      </c>
      <c r="T164">
        <v>0</v>
      </c>
      <c r="U164">
        <v>40</v>
      </c>
      <c r="V164">
        <v>0</v>
      </c>
      <c r="W164">
        <v>0</v>
      </c>
      <c r="X164">
        <v>1</v>
      </c>
      <c r="Y164">
        <v>1</v>
      </c>
      <c r="Z164">
        <v>1</v>
      </c>
      <c r="AA164">
        <v>2</v>
      </c>
      <c r="AB164">
        <v>0</v>
      </c>
      <c r="AC164">
        <v>1</v>
      </c>
      <c r="AD164">
        <v>1</v>
      </c>
      <c r="AE164">
        <v>517</v>
      </c>
      <c r="AF164">
        <v>0</v>
      </c>
      <c r="AG164">
        <v>0</v>
      </c>
      <c r="AI164">
        <v>1</v>
      </c>
      <c r="AJ164">
        <v>1</v>
      </c>
      <c r="AK164">
        <v>1</v>
      </c>
      <c r="AL164">
        <v>7.3152379753739602E-2</v>
      </c>
      <c r="AM164">
        <v>-7.3152379753739602E-2</v>
      </c>
      <c r="AN164">
        <v>0.92684762024626</v>
      </c>
      <c r="AO164">
        <v>7.3152379753739602E-2</v>
      </c>
    </row>
    <row r="165" spans="1:41" x14ac:dyDescent="0.35">
      <c r="A165">
        <v>521</v>
      </c>
      <c r="B165">
        <v>3</v>
      </c>
      <c r="C165">
        <v>24</v>
      </c>
      <c r="D165">
        <v>4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5507</v>
      </c>
      <c r="K165">
        <v>0</v>
      </c>
      <c r="L165">
        <v>4</v>
      </c>
      <c r="M165">
        <v>3</v>
      </c>
      <c r="N165">
        <v>0</v>
      </c>
      <c r="O165">
        <v>1</v>
      </c>
      <c r="P165">
        <v>0</v>
      </c>
      <c r="Q165">
        <v>0</v>
      </c>
      <c r="R165">
        <v>4</v>
      </c>
      <c r="S165">
        <v>0</v>
      </c>
      <c r="T165">
        <v>1</v>
      </c>
      <c r="U165">
        <v>44</v>
      </c>
      <c r="V165">
        <v>0</v>
      </c>
      <c r="W165">
        <v>0</v>
      </c>
      <c r="X165">
        <v>0</v>
      </c>
      <c r="Y165">
        <v>2</v>
      </c>
      <c r="Z165">
        <v>2</v>
      </c>
      <c r="AA165">
        <v>1</v>
      </c>
      <c r="AB165">
        <v>0</v>
      </c>
      <c r="AC165">
        <v>0</v>
      </c>
      <c r="AD165">
        <v>1</v>
      </c>
      <c r="AE165">
        <v>521</v>
      </c>
      <c r="AF165">
        <v>0</v>
      </c>
      <c r="AG165">
        <v>0</v>
      </c>
      <c r="AI165">
        <v>1</v>
      </c>
      <c r="AJ165">
        <v>1</v>
      </c>
      <c r="AK165">
        <v>1</v>
      </c>
      <c r="AL165">
        <v>7.1017204384808894E-2</v>
      </c>
      <c r="AM165">
        <v>-7.1017204384808894E-2</v>
      </c>
      <c r="AN165">
        <v>0.92898279561519104</v>
      </c>
      <c r="AO165">
        <v>7.1017204384808894E-2</v>
      </c>
    </row>
    <row r="166" spans="1:41" x14ac:dyDescent="0.35">
      <c r="A166">
        <v>522</v>
      </c>
      <c r="B166">
        <v>0</v>
      </c>
      <c r="C166">
        <v>18</v>
      </c>
      <c r="D166">
        <v>2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3190</v>
      </c>
      <c r="K166">
        <v>0</v>
      </c>
      <c r="L166">
        <v>2</v>
      </c>
      <c r="M166">
        <v>2</v>
      </c>
      <c r="N166">
        <v>0</v>
      </c>
      <c r="O166">
        <v>0</v>
      </c>
      <c r="P166">
        <v>0</v>
      </c>
      <c r="Q166">
        <v>0</v>
      </c>
      <c r="R166">
        <v>2</v>
      </c>
      <c r="S166">
        <v>1</v>
      </c>
      <c r="T166">
        <v>0</v>
      </c>
      <c r="U166">
        <v>24</v>
      </c>
      <c r="V166">
        <v>0</v>
      </c>
      <c r="W166">
        <v>0</v>
      </c>
      <c r="X166">
        <v>1</v>
      </c>
      <c r="Y166">
        <v>1</v>
      </c>
      <c r="Z166">
        <v>2</v>
      </c>
      <c r="AA166">
        <v>1</v>
      </c>
      <c r="AB166">
        <v>0</v>
      </c>
      <c r="AC166">
        <v>0</v>
      </c>
      <c r="AD166">
        <v>0</v>
      </c>
      <c r="AE166">
        <v>522</v>
      </c>
      <c r="AF166">
        <v>1</v>
      </c>
      <c r="AG166">
        <v>0</v>
      </c>
      <c r="AI166">
        <v>1</v>
      </c>
      <c r="AJ166">
        <v>1</v>
      </c>
      <c r="AK166">
        <v>0</v>
      </c>
      <c r="AL166">
        <v>-0.63089668999316495</v>
      </c>
      <c r="AM166">
        <v>0.63089668999316495</v>
      </c>
      <c r="AN166">
        <v>0.63089668999316495</v>
      </c>
      <c r="AO166">
        <v>0.36910331000683499</v>
      </c>
    </row>
    <row r="167" spans="1:41" x14ac:dyDescent="0.35">
      <c r="A167">
        <v>532</v>
      </c>
      <c r="B167">
        <v>1</v>
      </c>
      <c r="C167">
        <v>15</v>
      </c>
      <c r="D167">
        <v>2</v>
      </c>
      <c r="E167">
        <v>1</v>
      </c>
      <c r="F167">
        <v>0</v>
      </c>
      <c r="G167">
        <v>0</v>
      </c>
      <c r="H167">
        <v>0</v>
      </c>
      <c r="I167">
        <v>0</v>
      </c>
      <c r="J167">
        <v>2631</v>
      </c>
      <c r="K167">
        <v>1</v>
      </c>
      <c r="L167">
        <v>2</v>
      </c>
      <c r="M167">
        <v>2</v>
      </c>
      <c r="N167">
        <v>0</v>
      </c>
      <c r="O167">
        <v>0</v>
      </c>
      <c r="P167">
        <v>0</v>
      </c>
      <c r="Q167">
        <v>0</v>
      </c>
      <c r="R167">
        <v>4</v>
      </c>
      <c r="S167">
        <v>0</v>
      </c>
      <c r="T167">
        <v>0</v>
      </c>
      <c r="U167">
        <v>28</v>
      </c>
      <c r="V167">
        <v>0</v>
      </c>
      <c r="W167">
        <v>1</v>
      </c>
      <c r="X167">
        <v>0</v>
      </c>
      <c r="Y167">
        <v>2</v>
      </c>
      <c r="Z167">
        <v>2</v>
      </c>
      <c r="AA167">
        <v>1</v>
      </c>
      <c r="AB167">
        <v>1</v>
      </c>
      <c r="AC167">
        <v>0</v>
      </c>
      <c r="AD167">
        <v>0</v>
      </c>
      <c r="AE167">
        <v>532</v>
      </c>
      <c r="AF167">
        <v>0</v>
      </c>
      <c r="AG167">
        <v>0</v>
      </c>
      <c r="AI167">
        <v>1</v>
      </c>
      <c r="AJ167">
        <v>1</v>
      </c>
      <c r="AK167">
        <v>0</v>
      </c>
      <c r="AL167">
        <v>-0.52638302791644198</v>
      </c>
      <c r="AM167">
        <v>0.52638302791644198</v>
      </c>
      <c r="AN167">
        <v>0.52638302791644198</v>
      </c>
      <c r="AO167">
        <v>0.47361697208355702</v>
      </c>
    </row>
    <row r="168" spans="1:41" x14ac:dyDescent="0.35">
      <c r="A168">
        <v>536</v>
      </c>
      <c r="B168">
        <v>2</v>
      </c>
      <c r="C168">
        <v>21</v>
      </c>
      <c r="D168">
        <v>4</v>
      </c>
      <c r="E168">
        <v>0</v>
      </c>
      <c r="F168">
        <v>0</v>
      </c>
      <c r="G168">
        <v>0</v>
      </c>
      <c r="H168">
        <v>1</v>
      </c>
      <c r="I168">
        <v>0</v>
      </c>
      <c r="J168">
        <v>2319</v>
      </c>
      <c r="K168">
        <v>0</v>
      </c>
      <c r="L168">
        <v>1</v>
      </c>
      <c r="M168">
        <v>2</v>
      </c>
      <c r="N168">
        <v>1</v>
      </c>
      <c r="O168">
        <v>0</v>
      </c>
      <c r="P168">
        <v>0</v>
      </c>
      <c r="Q168">
        <v>0</v>
      </c>
      <c r="R168">
        <v>1</v>
      </c>
      <c r="S168">
        <v>0</v>
      </c>
      <c r="T168">
        <v>0</v>
      </c>
      <c r="U168">
        <v>33</v>
      </c>
      <c r="V168">
        <v>0</v>
      </c>
      <c r="W168">
        <v>1</v>
      </c>
      <c r="X168">
        <v>0</v>
      </c>
      <c r="Y168">
        <v>1</v>
      </c>
      <c r="Z168">
        <v>2</v>
      </c>
      <c r="AA168">
        <v>1</v>
      </c>
      <c r="AB168">
        <v>0</v>
      </c>
      <c r="AC168">
        <v>0</v>
      </c>
      <c r="AD168">
        <v>0</v>
      </c>
      <c r="AE168">
        <v>536</v>
      </c>
      <c r="AF168">
        <v>0</v>
      </c>
      <c r="AG168">
        <v>0</v>
      </c>
      <c r="AI168">
        <v>1</v>
      </c>
      <c r="AJ168">
        <v>1</v>
      </c>
      <c r="AK168">
        <v>0</v>
      </c>
      <c r="AL168">
        <v>-0.54188567731396298</v>
      </c>
      <c r="AM168">
        <v>0.54188567731396298</v>
      </c>
      <c r="AN168">
        <v>0.54188567731396298</v>
      </c>
      <c r="AO168">
        <v>0.45811432268603602</v>
      </c>
    </row>
    <row r="169" spans="1:41" x14ac:dyDescent="0.35">
      <c r="A169">
        <v>538</v>
      </c>
      <c r="B169">
        <v>1</v>
      </c>
      <c r="C169">
        <v>18</v>
      </c>
      <c r="D169">
        <v>4</v>
      </c>
      <c r="E169">
        <v>0</v>
      </c>
      <c r="F169">
        <v>0</v>
      </c>
      <c r="G169">
        <v>1</v>
      </c>
      <c r="H169">
        <v>0</v>
      </c>
      <c r="I169">
        <v>0</v>
      </c>
      <c r="J169">
        <v>3612</v>
      </c>
      <c r="K169">
        <v>0</v>
      </c>
      <c r="L169">
        <v>4</v>
      </c>
      <c r="M169">
        <v>3</v>
      </c>
      <c r="N169">
        <v>0</v>
      </c>
      <c r="O169">
        <v>0</v>
      </c>
      <c r="P169">
        <v>0</v>
      </c>
      <c r="Q169">
        <v>0</v>
      </c>
      <c r="R169">
        <v>4</v>
      </c>
      <c r="S169">
        <v>0</v>
      </c>
      <c r="T169">
        <v>0</v>
      </c>
      <c r="U169">
        <v>37</v>
      </c>
      <c r="V169">
        <v>0</v>
      </c>
      <c r="W169">
        <v>0</v>
      </c>
      <c r="X169">
        <v>1</v>
      </c>
      <c r="Y169">
        <v>1</v>
      </c>
      <c r="Z169">
        <v>2</v>
      </c>
      <c r="AA169">
        <v>1</v>
      </c>
      <c r="AB169">
        <v>1</v>
      </c>
      <c r="AC169">
        <v>0</v>
      </c>
      <c r="AD169">
        <v>1</v>
      </c>
      <c r="AE169">
        <v>538</v>
      </c>
      <c r="AF169">
        <v>0</v>
      </c>
      <c r="AG169">
        <v>0</v>
      </c>
      <c r="AI169">
        <v>1</v>
      </c>
      <c r="AJ169">
        <v>1</v>
      </c>
      <c r="AK169">
        <v>1</v>
      </c>
      <c r="AL169">
        <v>0.26421743187508401</v>
      </c>
      <c r="AM169">
        <v>-0.26421743187508401</v>
      </c>
      <c r="AN169">
        <v>0.73578256812491505</v>
      </c>
      <c r="AO169">
        <v>0.26421743187508401</v>
      </c>
    </row>
    <row r="170" spans="1:41" x14ac:dyDescent="0.35">
      <c r="A170">
        <v>539</v>
      </c>
      <c r="B170">
        <v>0</v>
      </c>
      <c r="C170">
        <v>48</v>
      </c>
      <c r="D170">
        <v>2</v>
      </c>
      <c r="E170">
        <v>1</v>
      </c>
      <c r="F170">
        <v>0</v>
      </c>
      <c r="G170">
        <v>0</v>
      </c>
      <c r="H170">
        <v>0</v>
      </c>
      <c r="I170">
        <v>0</v>
      </c>
      <c r="J170">
        <v>7763</v>
      </c>
      <c r="K170">
        <v>0</v>
      </c>
      <c r="L170">
        <v>4</v>
      </c>
      <c r="M170">
        <v>4</v>
      </c>
      <c r="N170">
        <v>0</v>
      </c>
      <c r="O170">
        <v>1</v>
      </c>
      <c r="P170">
        <v>0</v>
      </c>
      <c r="Q170">
        <v>0</v>
      </c>
      <c r="R170">
        <v>4</v>
      </c>
      <c r="S170">
        <v>0</v>
      </c>
      <c r="T170">
        <v>1</v>
      </c>
      <c r="U170">
        <v>42</v>
      </c>
      <c r="V170">
        <v>1</v>
      </c>
      <c r="W170">
        <v>0</v>
      </c>
      <c r="X170">
        <v>0</v>
      </c>
      <c r="Y170">
        <v>1</v>
      </c>
      <c r="Z170">
        <v>3</v>
      </c>
      <c r="AA170">
        <v>1</v>
      </c>
      <c r="AB170">
        <v>0</v>
      </c>
      <c r="AC170">
        <v>0</v>
      </c>
      <c r="AD170">
        <v>0</v>
      </c>
      <c r="AE170">
        <v>539</v>
      </c>
      <c r="AF170">
        <v>0</v>
      </c>
      <c r="AG170">
        <v>0</v>
      </c>
      <c r="AI170">
        <v>0</v>
      </c>
      <c r="AJ170">
        <v>0</v>
      </c>
      <c r="AK170">
        <v>0</v>
      </c>
      <c r="AL170">
        <v>-9.1092478751878495E-2</v>
      </c>
      <c r="AM170">
        <v>9.1092478751878495E-2</v>
      </c>
      <c r="AN170">
        <v>9.1092478751878495E-2</v>
      </c>
      <c r="AO170">
        <v>0.90890752124812102</v>
      </c>
    </row>
    <row r="171" spans="1:41" x14ac:dyDescent="0.35">
      <c r="A171">
        <v>542</v>
      </c>
      <c r="B171">
        <v>3</v>
      </c>
      <c r="C171">
        <v>24</v>
      </c>
      <c r="D171">
        <v>3</v>
      </c>
      <c r="E171">
        <v>1</v>
      </c>
      <c r="F171">
        <v>0</v>
      </c>
      <c r="G171">
        <v>0</v>
      </c>
      <c r="H171">
        <v>0</v>
      </c>
      <c r="I171">
        <v>0</v>
      </c>
      <c r="J171">
        <v>2032</v>
      </c>
      <c r="K171">
        <v>0</v>
      </c>
      <c r="L171">
        <v>4</v>
      </c>
      <c r="M171">
        <v>4</v>
      </c>
      <c r="N171">
        <v>0</v>
      </c>
      <c r="O171">
        <v>1</v>
      </c>
      <c r="P171">
        <v>0</v>
      </c>
      <c r="Q171">
        <v>0</v>
      </c>
      <c r="R171">
        <v>4</v>
      </c>
      <c r="S171">
        <v>0</v>
      </c>
      <c r="T171">
        <v>1</v>
      </c>
      <c r="U171">
        <v>60</v>
      </c>
      <c r="V171">
        <v>0</v>
      </c>
      <c r="W171">
        <v>0</v>
      </c>
      <c r="X171">
        <v>0</v>
      </c>
      <c r="Y171">
        <v>2</v>
      </c>
      <c r="Z171">
        <v>2</v>
      </c>
      <c r="AA171">
        <v>1</v>
      </c>
      <c r="AB171">
        <v>1</v>
      </c>
      <c r="AC171">
        <v>0</v>
      </c>
      <c r="AD171">
        <v>1</v>
      </c>
      <c r="AE171">
        <v>542</v>
      </c>
      <c r="AF171">
        <v>0</v>
      </c>
      <c r="AG171">
        <v>0</v>
      </c>
      <c r="AI171">
        <v>1</v>
      </c>
      <c r="AJ171">
        <v>1</v>
      </c>
      <c r="AK171">
        <v>1</v>
      </c>
      <c r="AL171">
        <v>0.27677071898120997</v>
      </c>
      <c r="AM171">
        <v>-0.27677071898120997</v>
      </c>
      <c r="AN171">
        <v>0.72322928101878903</v>
      </c>
      <c r="AO171">
        <v>0.27677071898120997</v>
      </c>
    </row>
    <row r="172" spans="1:41" x14ac:dyDescent="0.35">
      <c r="A172">
        <v>543</v>
      </c>
      <c r="B172">
        <v>0</v>
      </c>
      <c r="C172">
        <v>30</v>
      </c>
      <c r="D172">
        <v>2</v>
      </c>
      <c r="E172">
        <v>0</v>
      </c>
      <c r="F172">
        <v>0</v>
      </c>
      <c r="G172">
        <v>1</v>
      </c>
      <c r="H172">
        <v>0</v>
      </c>
      <c r="I172">
        <v>0</v>
      </c>
      <c r="J172">
        <v>6350</v>
      </c>
      <c r="K172">
        <v>4</v>
      </c>
      <c r="L172">
        <v>4</v>
      </c>
      <c r="M172">
        <v>4</v>
      </c>
      <c r="N172">
        <v>0</v>
      </c>
      <c r="O172">
        <v>1</v>
      </c>
      <c r="P172">
        <v>0</v>
      </c>
      <c r="Q172">
        <v>0</v>
      </c>
      <c r="R172">
        <v>4</v>
      </c>
      <c r="S172">
        <v>0</v>
      </c>
      <c r="T172">
        <v>0</v>
      </c>
      <c r="U172">
        <v>31</v>
      </c>
      <c r="V172">
        <v>0</v>
      </c>
      <c r="W172">
        <v>0</v>
      </c>
      <c r="X172">
        <v>1</v>
      </c>
      <c r="Y172">
        <v>1</v>
      </c>
      <c r="Z172">
        <v>2</v>
      </c>
      <c r="AA172">
        <v>1</v>
      </c>
      <c r="AB172">
        <v>0</v>
      </c>
      <c r="AC172">
        <v>0</v>
      </c>
      <c r="AD172">
        <v>0</v>
      </c>
      <c r="AE172">
        <v>543</v>
      </c>
      <c r="AF172">
        <v>0</v>
      </c>
      <c r="AG172">
        <v>0</v>
      </c>
      <c r="AI172">
        <v>1</v>
      </c>
      <c r="AJ172">
        <v>1</v>
      </c>
      <c r="AK172">
        <v>0</v>
      </c>
      <c r="AL172">
        <v>-0.73091979985084898</v>
      </c>
      <c r="AM172">
        <v>0.73091979985084898</v>
      </c>
      <c r="AN172">
        <v>0.73091979985084898</v>
      </c>
      <c r="AO172">
        <v>0.26908020014915002</v>
      </c>
    </row>
    <row r="173" spans="1:41" x14ac:dyDescent="0.35">
      <c r="A173">
        <v>547</v>
      </c>
      <c r="B173">
        <v>3</v>
      </c>
      <c r="C173">
        <v>24</v>
      </c>
      <c r="D173">
        <v>4</v>
      </c>
      <c r="E173">
        <v>1</v>
      </c>
      <c r="F173">
        <v>0</v>
      </c>
      <c r="G173">
        <v>0</v>
      </c>
      <c r="H173">
        <v>0</v>
      </c>
      <c r="I173">
        <v>0</v>
      </c>
      <c r="J173">
        <v>2022</v>
      </c>
      <c r="K173">
        <v>0</v>
      </c>
      <c r="L173">
        <v>2</v>
      </c>
      <c r="M173">
        <v>4</v>
      </c>
      <c r="N173">
        <v>0</v>
      </c>
      <c r="O173">
        <v>0</v>
      </c>
      <c r="P173">
        <v>0</v>
      </c>
      <c r="Q173">
        <v>0</v>
      </c>
      <c r="R173">
        <v>4</v>
      </c>
      <c r="S173">
        <v>0</v>
      </c>
      <c r="T173">
        <v>0</v>
      </c>
      <c r="U173">
        <v>37</v>
      </c>
      <c r="V173">
        <v>0</v>
      </c>
      <c r="W173">
        <v>0</v>
      </c>
      <c r="X173">
        <v>1</v>
      </c>
      <c r="Y173">
        <v>1</v>
      </c>
      <c r="Z173">
        <v>2</v>
      </c>
      <c r="AA173">
        <v>1</v>
      </c>
      <c r="AB173">
        <v>1</v>
      </c>
      <c r="AC173">
        <v>0</v>
      </c>
      <c r="AD173">
        <v>1</v>
      </c>
      <c r="AE173">
        <v>547</v>
      </c>
      <c r="AF173">
        <v>0</v>
      </c>
      <c r="AG173">
        <v>0</v>
      </c>
      <c r="AI173">
        <v>1</v>
      </c>
      <c r="AJ173">
        <v>1</v>
      </c>
      <c r="AK173">
        <v>1</v>
      </c>
      <c r="AL173">
        <v>0.213795872495189</v>
      </c>
      <c r="AM173">
        <v>-0.213795872495189</v>
      </c>
      <c r="AN173">
        <v>0.78620412750480995</v>
      </c>
      <c r="AO173">
        <v>0.213795872495189</v>
      </c>
    </row>
    <row r="174" spans="1:41" x14ac:dyDescent="0.35">
      <c r="A174">
        <v>551</v>
      </c>
      <c r="B174">
        <v>3</v>
      </c>
      <c r="C174">
        <v>12</v>
      </c>
      <c r="D174">
        <v>4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996</v>
      </c>
      <c r="K174">
        <v>4</v>
      </c>
      <c r="L174">
        <v>3</v>
      </c>
      <c r="M174">
        <v>4</v>
      </c>
      <c r="N174">
        <v>0</v>
      </c>
      <c r="O174">
        <v>0</v>
      </c>
      <c r="P174">
        <v>0</v>
      </c>
      <c r="Q174">
        <v>0</v>
      </c>
      <c r="R174">
        <v>4</v>
      </c>
      <c r="S174">
        <v>1</v>
      </c>
      <c r="T174">
        <v>0</v>
      </c>
      <c r="U174">
        <v>23</v>
      </c>
      <c r="V174">
        <v>0</v>
      </c>
      <c r="W174">
        <v>0</v>
      </c>
      <c r="X174">
        <v>1</v>
      </c>
      <c r="Y174">
        <v>2</v>
      </c>
      <c r="Z174">
        <v>2</v>
      </c>
      <c r="AA174">
        <v>1</v>
      </c>
      <c r="AB174">
        <v>0</v>
      </c>
      <c r="AC174">
        <v>0</v>
      </c>
      <c r="AD174">
        <v>1</v>
      </c>
      <c r="AE174">
        <v>551</v>
      </c>
      <c r="AF174">
        <v>0</v>
      </c>
      <c r="AG174">
        <v>0</v>
      </c>
      <c r="AI174">
        <v>1</v>
      </c>
      <c r="AJ174">
        <v>1</v>
      </c>
      <c r="AK174">
        <v>1</v>
      </c>
      <c r="AL174">
        <v>1.96869460820734E-2</v>
      </c>
      <c r="AM174">
        <v>-1.96869460820734E-2</v>
      </c>
      <c r="AN174">
        <v>0.980313053917926</v>
      </c>
      <c r="AO174">
        <v>1.96869460820734E-2</v>
      </c>
    </row>
    <row r="175" spans="1:41" x14ac:dyDescent="0.35">
      <c r="A175">
        <v>554</v>
      </c>
      <c r="B175">
        <v>1</v>
      </c>
      <c r="C175">
        <v>12</v>
      </c>
      <c r="D175">
        <v>4</v>
      </c>
      <c r="E175">
        <v>1</v>
      </c>
      <c r="F175">
        <v>0</v>
      </c>
      <c r="G175">
        <v>0</v>
      </c>
      <c r="H175">
        <v>0</v>
      </c>
      <c r="I175">
        <v>0</v>
      </c>
      <c r="J175">
        <v>1995</v>
      </c>
      <c r="K175">
        <v>1</v>
      </c>
      <c r="L175">
        <v>1</v>
      </c>
      <c r="M175">
        <v>4</v>
      </c>
      <c r="N175">
        <v>0</v>
      </c>
      <c r="O175">
        <v>1</v>
      </c>
      <c r="P175">
        <v>0</v>
      </c>
      <c r="Q175">
        <v>0</v>
      </c>
      <c r="R175">
        <v>1</v>
      </c>
      <c r="S175">
        <v>0</v>
      </c>
      <c r="T175">
        <v>0</v>
      </c>
      <c r="U175">
        <v>27</v>
      </c>
      <c r="V175">
        <v>0</v>
      </c>
      <c r="W175">
        <v>0</v>
      </c>
      <c r="X175">
        <v>1</v>
      </c>
      <c r="Y175">
        <v>1</v>
      </c>
      <c r="Z175">
        <v>2</v>
      </c>
      <c r="AA175">
        <v>1</v>
      </c>
      <c r="AB175">
        <v>0</v>
      </c>
      <c r="AC175">
        <v>0</v>
      </c>
      <c r="AD175">
        <v>1</v>
      </c>
      <c r="AE175">
        <v>554</v>
      </c>
      <c r="AF175">
        <v>0</v>
      </c>
      <c r="AG175">
        <v>0</v>
      </c>
      <c r="AI175">
        <v>1</v>
      </c>
      <c r="AJ175">
        <v>1</v>
      </c>
      <c r="AK175">
        <v>1</v>
      </c>
      <c r="AL175">
        <v>0.24430859304751401</v>
      </c>
      <c r="AM175">
        <v>-0.24430859304751401</v>
      </c>
      <c r="AN175">
        <v>0.75569140695248505</v>
      </c>
      <c r="AO175">
        <v>0.24430859304751401</v>
      </c>
    </row>
    <row r="176" spans="1:41" x14ac:dyDescent="0.35">
      <c r="A176">
        <v>556</v>
      </c>
      <c r="B176">
        <v>1</v>
      </c>
      <c r="C176">
        <v>12</v>
      </c>
      <c r="D176">
        <v>2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1331</v>
      </c>
      <c r="K176">
        <v>0</v>
      </c>
      <c r="L176">
        <v>1</v>
      </c>
      <c r="M176">
        <v>2</v>
      </c>
      <c r="N176">
        <v>0</v>
      </c>
      <c r="O176">
        <v>1</v>
      </c>
      <c r="P176">
        <v>0</v>
      </c>
      <c r="Q176">
        <v>0</v>
      </c>
      <c r="R176">
        <v>1</v>
      </c>
      <c r="S176">
        <v>0</v>
      </c>
      <c r="T176">
        <v>0</v>
      </c>
      <c r="U176">
        <v>22</v>
      </c>
      <c r="V176">
        <v>1</v>
      </c>
      <c r="W176">
        <v>0</v>
      </c>
      <c r="X176">
        <v>1</v>
      </c>
      <c r="Y176">
        <v>1</v>
      </c>
      <c r="Z176">
        <v>2</v>
      </c>
      <c r="AA176">
        <v>1</v>
      </c>
      <c r="AB176">
        <v>0</v>
      </c>
      <c r="AC176">
        <v>0</v>
      </c>
      <c r="AD176">
        <v>0</v>
      </c>
      <c r="AE176">
        <v>556</v>
      </c>
      <c r="AF176">
        <v>1</v>
      </c>
      <c r="AG176">
        <v>0</v>
      </c>
      <c r="AI176">
        <v>1</v>
      </c>
      <c r="AJ176">
        <v>1</v>
      </c>
      <c r="AK176">
        <v>0</v>
      </c>
      <c r="AL176">
        <v>-0.76914963747741305</v>
      </c>
      <c r="AM176">
        <v>0.76914963747741305</v>
      </c>
      <c r="AN176">
        <v>0.76914963747741305</v>
      </c>
      <c r="AO176">
        <v>0.23085036252258601</v>
      </c>
    </row>
    <row r="177" spans="1:41" x14ac:dyDescent="0.35">
      <c r="A177">
        <v>559</v>
      </c>
      <c r="B177">
        <v>0</v>
      </c>
      <c r="C177">
        <v>24</v>
      </c>
      <c r="D177">
        <v>1</v>
      </c>
      <c r="E177">
        <v>0</v>
      </c>
      <c r="F177">
        <v>0</v>
      </c>
      <c r="G177">
        <v>1</v>
      </c>
      <c r="H177">
        <v>0</v>
      </c>
      <c r="I177">
        <v>0</v>
      </c>
      <c r="J177">
        <v>3552</v>
      </c>
      <c r="K177">
        <v>0</v>
      </c>
      <c r="L177">
        <v>3</v>
      </c>
      <c r="M177">
        <v>3</v>
      </c>
      <c r="N177">
        <v>0</v>
      </c>
      <c r="O177">
        <v>1</v>
      </c>
      <c r="P177">
        <v>0</v>
      </c>
      <c r="Q177">
        <v>0</v>
      </c>
      <c r="R177">
        <v>4</v>
      </c>
      <c r="S177">
        <v>0</v>
      </c>
      <c r="T177">
        <v>0</v>
      </c>
      <c r="U177">
        <v>27</v>
      </c>
      <c r="V177">
        <v>1</v>
      </c>
      <c r="W177">
        <v>0</v>
      </c>
      <c r="X177">
        <v>1</v>
      </c>
      <c r="Y177">
        <v>1</v>
      </c>
      <c r="Z177">
        <v>2</v>
      </c>
      <c r="AA177">
        <v>1</v>
      </c>
      <c r="AB177">
        <v>0</v>
      </c>
      <c r="AC177">
        <v>0</v>
      </c>
      <c r="AD177">
        <v>0</v>
      </c>
      <c r="AE177">
        <v>559</v>
      </c>
      <c r="AF177">
        <v>0</v>
      </c>
      <c r="AG177">
        <v>0</v>
      </c>
      <c r="AI177">
        <v>0</v>
      </c>
      <c r="AJ177">
        <v>0</v>
      </c>
      <c r="AK177">
        <v>0</v>
      </c>
      <c r="AL177">
        <v>-0.29583910215137799</v>
      </c>
      <c r="AM177">
        <v>0.29583910215137799</v>
      </c>
      <c r="AN177">
        <v>0.29583910215137799</v>
      </c>
      <c r="AO177">
        <v>0.70416089784862101</v>
      </c>
    </row>
    <row r="178" spans="1:41" x14ac:dyDescent="0.35">
      <c r="A178">
        <v>561</v>
      </c>
      <c r="B178">
        <v>0</v>
      </c>
      <c r="C178">
        <v>24</v>
      </c>
      <c r="D178">
        <v>2</v>
      </c>
      <c r="E178">
        <v>0</v>
      </c>
      <c r="F178">
        <v>1</v>
      </c>
      <c r="G178">
        <v>0</v>
      </c>
      <c r="H178">
        <v>0</v>
      </c>
      <c r="I178">
        <v>0</v>
      </c>
      <c r="J178">
        <v>2964</v>
      </c>
      <c r="K178">
        <v>4</v>
      </c>
      <c r="L178">
        <v>4</v>
      </c>
      <c r="M178">
        <v>4</v>
      </c>
      <c r="N178">
        <v>0</v>
      </c>
      <c r="O178">
        <v>1</v>
      </c>
      <c r="P178">
        <v>0</v>
      </c>
      <c r="Q178">
        <v>0</v>
      </c>
      <c r="R178">
        <v>4</v>
      </c>
      <c r="S178">
        <v>0</v>
      </c>
      <c r="T178">
        <v>1</v>
      </c>
      <c r="U178">
        <v>49</v>
      </c>
      <c r="V178">
        <v>1</v>
      </c>
      <c r="W178">
        <v>0</v>
      </c>
      <c r="X178">
        <v>0</v>
      </c>
      <c r="Y178">
        <v>1</v>
      </c>
      <c r="Z178">
        <v>2</v>
      </c>
      <c r="AA178">
        <v>2</v>
      </c>
      <c r="AB178">
        <v>1</v>
      </c>
      <c r="AC178">
        <v>0</v>
      </c>
      <c r="AD178">
        <v>1</v>
      </c>
      <c r="AE178">
        <v>561</v>
      </c>
      <c r="AF178">
        <v>0</v>
      </c>
      <c r="AG178">
        <v>0</v>
      </c>
      <c r="AI178">
        <v>1</v>
      </c>
      <c r="AJ178">
        <v>1</v>
      </c>
      <c r="AK178">
        <v>1</v>
      </c>
      <c r="AL178">
        <v>0.26259100755405901</v>
      </c>
      <c r="AM178">
        <v>-0.26259100755405901</v>
      </c>
      <c r="AN178">
        <v>0.73740899244594005</v>
      </c>
      <c r="AO178">
        <v>0.26259100755405901</v>
      </c>
    </row>
    <row r="179" spans="1:41" x14ac:dyDescent="0.35">
      <c r="A179">
        <v>566</v>
      </c>
      <c r="B179">
        <v>1</v>
      </c>
      <c r="C179">
        <v>24</v>
      </c>
      <c r="D179">
        <v>3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1553</v>
      </c>
      <c r="K179">
        <v>1</v>
      </c>
      <c r="L179">
        <v>3</v>
      </c>
      <c r="M179">
        <v>3</v>
      </c>
      <c r="N179">
        <v>0</v>
      </c>
      <c r="O179">
        <v>0</v>
      </c>
      <c r="P179">
        <v>0</v>
      </c>
      <c r="Q179">
        <v>0</v>
      </c>
      <c r="R179">
        <v>2</v>
      </c>
      <c r="S179">
        <v>0</v>
      </c>
      <c r="T179">
        <v>0</v>
      </c>
      <c r="U179">
        <v>23</v>
      </c>
      <c r="V179">
        <v>0</v>
      </c>
      <c r="W179">
        <v>1</v>
      </c>
      <c r="X179">
        <v>0</v>
      </c>
      <c r="Y179">
        <v>2</v>
      </c>
      <c r="Z179">
        <v>2</v>
      </c>
      <c r="AA179">
        <v>1</v>
      </c>
      <c r="AB179">
        <v>1</v>
      </c>
      <c r="AC179">
        <v>0</v>
      </c>
      <c r="AD179">
        <v>1</v>
      </c>
      <c r="AE179">
        <v>566</v>
      </c>
      <c r="AF179">
        <v>1</v>
      </c>
      <c r="AG179">
        <v>0</v>
      </c>
      <c r="AI179">
        <v>1</v>
      </c>
      <c r="AJ179">
        <v>1</v>
      </c>
      <c r="AK179">
        <v>1</v>
      </c>
      <c r="AL179">
        <v>0.428808434910949</v>
      </c>
      <c r="AM179">
        <v>-0.428808434910949</v>
      </c>
      <c r="AN179">
        <v>0.57119156508905</v>
      </c>
      <c r="AO179">
        <v>0.428808434910949</v>
      </c>
    </row>
    <row r="180" spans="1:41" x14ac:dyDescent="0.35">
      <c r="A180">
        <v>573</v>
      </c>
      <c r="B180">
        <v>3</v>
      </c>
      <c r="C180">
        <v>24</v>
      </c>
      <c r="D180">
        <v>2</v>
      </c>
      <c r="E180">
        <v>0</v>
      </c>
      <c r="F180">
        <v>1</v>
      </c>
      <c r="G180">
        <v>0</v>
      </c>
      <c r="H180">
        <v>0</v>
      </c>
      <c r="I180">
        <v>0</v>
      </c>
      <c r="J180">
        <v>5433</v>
      </c>
      <c r="K180">
        <v>4</v>
      </c>
      <c r="L180">
        <v>0</v>
      </c>
      <c r="M180">
        <v>2</v>
      </c>
      <c r="N180">
        <v>0</v>
      </c>
      <c r="O180">
        <v>0</v>
      </c>
      <c r="P180">
        <v>0</v>
      </c>
      <c r="Q180">
        <v>0</v>
      </c>
      <c r="R180">
        <v>4</v>
      </c>
      <c r="S180">
        <v>0</v>
      </c>
      <c r="T180">
        <v>0</v>
      </c>
      <c r="U180">
        <v>26</v>
      </c>
      <c r="V180">
        <v>0</v>
      </c>
      <c r="W180">
        <v>1</v>
      </c>
      <c r="X180">
        <v>0</v>
      </c>
      <c r="Y180">
        <v>1</v>
      </c>
      <c r="Z180">
        <v>3</v>
      </c>
      <c r="AA180">
        <v>1</v>
      </c>
      <c r="AB180">
        <v>1</v>
      </c>
      <c r="AC180">
        <v>0</v>
      </c>
      <c r="AD180">
        <v>1</v>
      </c>
      <c r="AE180">
        <v>573</v>
      </c>
      <c r="AF180">
        <v>0</v>
      </c>
      <c r="AG180">
        <v>0</v>
      </c>
      <c r="AI180">
        <v>1</v>
      </c>
      <c r="AJ180">
        <v>1</v>
      </c>
      <c r="AK180">
        <v>1</v>
      </c>
      <c r="AL180">
        <v>6.3833276221711893E-2</v>
      </c>
      <c r="AM180">
        <v>-6.3833276221711893E-2</v>
      </c>
      <c r="AN180">
        <v>0.93616672377828802</v>
      </c>
      <c r="AO180">
        <v>6.3833276221711893E-2</v>
      </c>
    </row>
    <row r="181" spans="1:41" x14ac:dyDescent="0.35">
      <c r="A181">
        <v>575</v>
      </c>
      <c r="B181">
        <v>1</v>
      </c>
      <c r="C181">
        <v>9</v>
      </c>
      <c r="D181">
        <v>2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1082</v>
      </c>
      <c r="K181">
        <v>0</v>
      </c>
      <c r="L181">
        <v>4</v>
      </c>
      <c r="M181">
        <v>4</v>
      </c>
      <c r="N181">
        <v>0</v>
      </c>
      <c r="O181">
        <v>1</v>
      </c>
      <c r="P181">
        <v>0</v>
      </c>
      <c r="Q181">
        <v>0</v>
      </c>
      <c r="R181">
        <v>4</v>
      </c>
      <c r="S181">
        <v>0</v>
      </c>
      <c r="T181">
        <v>0</v>
      </c>
      <c r="U181">
        <v>27</v>
      </c>
      <c r="V181">
        <v>0</v>
      </c>
      <c r="W181">
        <v>0</v>
      </c>
      <c r="X181">
        <v>1</v>
      </c>
      <c r="Y181">
        <v>2</v>
      </c>
      <c r="Z181">
        <v>1</v>
      </c>
      <c r="AA181">
        <v>1</v>
      </c>
      <c r="AB181">
        <v>0</v>
      </c>
      <c r="AC181">
        <v>0</v>
      </c>
      <c r="AD181">
        <v>1</v>
      </c>
      <c r="AE181">
        <v>575</v>
      </c>
      <c r="AF181">
        <v>1</v>
      </c>
      <c r="AG181">
        <v>0</v>
      </c>
      <c r="AI181">
        <v>1</v>
      </c>
      <c r="AJ181">
        <v>1</v>
      </c>
      <c r="AK181">
        <v>1</v>
      </c>
      <c r="AL181">
        <v>0.23771677632492799</v>
      </c>
      <c r="AM181">
        <v>-0.23771677632492799</v>
      </c>
      <c r="AN181">
        <v>0.76228322367507195</v>
      </c>
      <c r="AO181">
        <v>0.23771677632492799</v>
      </c>
    </row>
    <row r="182" spans="1:41" x14ac:dyDescent="0.35">
      <c r="A182">
        <v>580</v>
      </c>
      <c r="B182">
        <v>3</v>
      </c>
      <c r="C182">
        <v>24</v>
      </c>
      <c r="D182">
        <v>2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937</v>
      </c>
      <c r="K182">
        <v>0</v>
      </c>
      <c r="L182">
        <v>1</v>
      </c>
      <c r="M182">
        <v>4</v>
      </c>
      <c r="N182">
        <v>0</v>
      </c>
      <c r="O182">
        <v>0</v>
      </c>
      <c r="P182">
        <v>1</v>
      </c>
      <c r="Q182">
        <v>0</v>
      </c>
      <c r="R182">
        <v>3</v>
      </c>
      <c r="S182">
        <v>0</v>
      </c>
      <c r="T182">
        <v>0</v>
      </c>
      <c r="U182">
        <v>27</v>
      </c>
      <c r="V182">
        <v>0</v>
      </c>
      <c r="W182">
        <v>0</v>
      </c>
      <c r="X182">
        <v>1</v>
      </c>
      <c r="Y182">
        <v>2</v>
      </c>
      <c r="Z182">
        <v>1</v>
      </c>
      <c r="AA182">
        <v>1</v>
      </c>
      <c r="AB182">
        <v>0</v>
      </c>
      <c r="AC182">
        <v>0</v>
      </c>
      <c r="AD182">
        <v>1</v>
      </c>
      <c r="AE182">
        <v>580</v>
      </c>
      <c r="AF182">
        <v>0</v>
      </c>
      <c r="AG182">
        <v>0</v>
      </c>
      <c r="AI182">
        <v>1</v>
      </c>
      <c r="AJ182">
        <v>1</v>
      </c>
      <c r="AK182">
        <v>1</v>
      </c>
      <c r="AL182">
        <v>0.14053862908241599</v>
      </c>
      <c r="AM182">
        <v>-0.14053862908241599</v>
      </c>
      <c r="AN182">
        <v>0.85946137091758301</v>
      </c>
      <c r="AO182">
        <v>0.14053862908241599</v>
      </c>
    </row>
    <row r="183" spans="1:41" x14ac:dyDescent="0.35">
      <c r="A183">
        <v>582</v>
      </c>
      <c r="B183">
        <v>1</v>
      </c>
      <c r="C183">
        <v>12</v>
      </c>
      <c r="D183">
        <v>4</v>
      </c>
      <c r="E183">
        <v>1</v>
      </c>
      <c r="F183">
        <v>0</v>
      </c>
      <c r="G183">
        <v>0</v>
      </c>
      <c r="H183">
        <v>0</v>
      </c>
      <c r="I183">
        <v>0</v>
      </c>
      <c r="J183">
        <v>3124</v>
      </c>
      <c r="K183">
        <v>0</v>
      </c>
      <c r="L183">
        <v>1</v>
      </c>
      <c r="M183">
        <v>1</v>
      </c>
      <c r="N183">
        <v>0</v>
      </c>
      <c r="O183">
        <v>1</v>
      </c>
      <c r="P183">
        <v>0</v>
      </c>
      <c r="Q183">
        <v>0</v>
      </c>
      <c r="R183">
        <v>3</v>
      </c>
      <c r="S183">
        <v>1</v>
      </c>
      <c r="T183">
        <v>0</v>
      </c>
      <c r="U183">
        <v>49</v>
      </c>
      <c r="V183">
        <v>1</v>
      </c>
      <c r="W183">
        <v>0</v>
      </c>
      <c r="X183">
        <v>1</v>
      </c>
      <c r="Y183">
        <v>2</v>
      </c>
      <c r="Z183">
        <v>1</v>
      </c>
      <c r="AA183">
        <v>2</v>
      </c>
      <c r="AB183">
        <v>0</v>
      </c>
      <c r="AC183">
        <v>0</v>
      </c>
      <c r="AD183">
        <v>1</v>
      </c>
      <c r="AE183">
        <v>582</v>
      </c>
      <c r="AF183">
        <v>0</v>
      </c>
      <c r="AG183">
        <v>0</v>
      </c>
      <c r="AI183">
        <v>1</v>
      </c>
      <c r="AJ183">
        <v>1</v>
      </c>
      <c r="AK183">
        <v>1</v>
      </c>
      <c r="AL183">
        <v>0.28192562638024599</v>
      </c>
      <c r="AM183">
        <v>-0.28192562638024599</v>
      </c>
      <c r="AN183">
        <v>0.71807437361975301</v>
      </c>
      <c r="AO183">
        <v>0.28192562638024599</v>
      </c>
    </row>
    <row r="184" spans="1:41" x14ac:dyDescent="0.35">
      <c r="A184">
        <v>585</v>
      </c>
      <c r="B184">
        <v>3</v>
      </c>
      <c r="C184">
        <v>12</v>
      </c>
      <c r="D184">
        <v>2</v>
      </c>
      <c r="E184">
        <v>1</v>
      </c>
      <c r="F184">
        <v>0</v>
      </c>
      <c r="G184">
        <v>0</v>
      </c>
      <c r="H184">
        <v>0</v>
      </c>
      <c r="I184">
        <v>0</v>
      </c>
      <c r="J184">
        <v>2133</v>
      </c>
      <c r="K184">
        <v>4</v>
      </c>
      <c r="L184">
        <v>4</v>
      </c>
      <c r="M184">
        <v>4</v>
      </c>
      <c r="N184">
        <v>0</v>
      </c>
      <c r="O184">
        <v>0</v>
      </c>
      <c r="P184">
        <v>0</v>
      </c>
      <c r="Q184">
        <v>0</v>
      </c>
      <c r="R184">
        <v>4</v>
      </c>
      <c r="S184">
        <v>0</v>
      </c>
      <c r="T184">
        <v>1</v>
      </c>
      <c r="U184">
        <v>52</v>
      </c>
      <c r="V184">
        <v>0</v>
      </c>
      <c r="W184">
        <v>0</v>
      </c>
      <c r="X184">
        <v>0</v>
      </c>
      <c r="Y184">
        <v>1</v>
      </c>
      <c r="Z184">
        <v>3</v>
      </c>
      <c r="AA184">
        <v>1</v>
      </c>
      <c r="AB184">
        <v>1</v>
      </c>
      <c r="AC184">
        <v>0</v>
      </c>
      <c r="AD184">
        <v>1</v>
      </c>
      <c r="AE184">
        <v>585</v>
      </c>
      <c r="AF184">
        <v>0</v>
      </c>
      <c r="AG184">
        <v>0</v>
      </c>
      <c r="AI184">
        <v>1</v>
      </c>
      <c r="AJ184">
        <v>1</v>
      </c>
      <c r="AK184">
        <v>1</v>
      </c>
      <c r="AL184">
        <v>8.4708918759653307E-2</v>
      </c>
      <c r="AM184">
        <v>-8.4708918759653307E-2</v>
      </c>
      <c r="AN184">
        <v>0.91529108124034597</v>
      </c>
      <c r="AO184">
        <v>8.4708918759653307E-2</v>
      </c>
    </row>
    <row r="185" spans="1:41" x14ac:dyDescent="0.35">
      <c r="A185">
        <v>586</v>
      </c>
      <c r="B185">
        <v>0</v>
      </c>
      <c r="C185">
        <v>18</v>
      </c>
      <c r="D185">
        <v>2</v>
      </c>
      <c r="E185">
        <v>0</v>
      </c>
      <c r="F185">
        <v>0</v>
      </c>
      <c r="G185">
        <v>1</v>
      </c>
      <c r="H185">
        <v>0</v>
      </c>
      <c r="I185">
        <v>0</v>
      </c>
      <c r="J185">
        <v>2039</v>
      </c>
      <c r="K185">
        <v>0</v>
      </c>
      <c r="L185">
        <v>2</v>
      </c>
      <c r="M185">
        <v>1</v>
      </c>
      <c r="N185">
        <v>0</v>
      </c>
      <c r="O185">
        <v>0</v>
      </c>
      <c r="P185">
        <v>0</v>
      </c>
      <c r="Q185">
        <v>0</v>
      </c>
      <c r="R185">
        <v>4</v>
      </c>
      <c r="S185">
        <v>1</v>
      </c>
      <c r="T185">
        <v>0</v>
      </c>
      <c r="U185">
        <v>20</v>
      </c>
      <c r="V185">
        <v>1</v>
      </c>
      <c r="W185">
        <v>1</v>
      </c>
      <c r="X185">
        <v>0</v>
      </c>
      <c r="Y185">
        <v>1</v>
      </c>
      <c r="Z185">
        <v>2</v>
      </c>
      <c r="AA185">
        <v>1</v>
      </c>
      <c r="AB185">
        <v>0</v>
      </c>
      <c r="AC185">
        <v>0</v>
      </c>
      <c r="AD185">
        <v>0</v>
      </c>
      <c r="AE185">
        <v>586</v>
      </c>
      <c r="AF185">
        <v>0</v>
      </c>
      <c r="AG185">
        <v>0</v>
      </c>
      <c r="AI185">
        <v>0</v>
      </c>
      <c r="AJ185">
        <v>0</v>
      </c>
      <c r="AK185">
        <v>0</v>
      </c>
      <c r="AL185">
        <v>-0.48298406113657699</v>
      </c>
      <c r="AM185">
        <v>0.48298406113657699</v>
      </c>
      <c r="AN185">
        <v>0.48298406113657699</v>
      </c>
      <c r="AO185">
        <v>0.51701593886342201</v>
      </c>
    </row>
    <row r="186" spans="1:41" x14ac:dyDescent="0.35">
      <c r="A186">
        <v>587</v>
      </c>
      <c r="B186">
        <v>0</v>
      </c>
      <c r="C186">
        <v>9</v>
      </c>
      <c r="D186">
        <v>4</v>
      </c>
      <c r="E186">
        <v>1</v>
      </c>
      <c r="F186">
        <v>0</v>
      </c>
      <c r="G186">
        <v>0</v>
      </c>
      <c r="H186">
        <v>0</v>
      </c>
      <c r="I186">
        <v>0</v>
      </c>
      <c r="J186">
        <v>2799</v>
      </c>
      <c r="K186">
        <v>0</v>
      </c>
      <c r="L186">
        <v>2</v>
      </c>
      <c r="M186">
        <v>2</v>
      </c>
      <c r="N186">
        <v>0</v>
      </c>
      <c r="O186">
        <v>1</v>
      </c>
      <c r="P186">
        <v>0</v>
      </c>
      <c r="Q186">
        <v>0</v>
      </c>
      <c r="R186">
        <v>2</v>
      </c>
      <c r="S186">
        <v>1</v>
      </c>
      <c r="T186">
        <v>0</v>
      </c>
      <c r="U186">
        <v>36</v>
      </c>
      <c r="V186">
        <v>0</v>
      </c>
      <c r="W186">
        <v>1</v>
      </c>
      <c r="X186">
        <v>0</v>
      </c>
      <c r="Y186">
        <v>2</v>
      </c>
      <c r="Z186">
        <v>2</v>
      </c>
      <c r="AA186">
        <v>2</v>
      </c>
      <c r="AB186">
        <v>0</v>
      </c>
      <c r="AC186">
        <v>0</v>
      </c>
      <c r="AD186">
        <v>1</v>
      </c>
      <c r="AE186">
        <v>587</v>
      </c>
      <c r="AF186">
        <v>0</v>
      </c>
      <c r="AG186">
        <v>0</v>
      </c>
      <c r="AI186">
        <v>1</v>
      </c>
      <c r="AJ186">
        <v>1</v>
      </c>
      <c r="AK186">
        <v>1</v>
      </c>
      <c r="AL186">
        <v>0.42065272620868299</v>
      </c>
      <c r="AM186">
        <v>-0.42065272620868299</v>
      </c>
      <c r="AN186">
        <v>0.57934727379131601</v>
      </c>
      <c r="AO186">
        <v>0.42065272620868299</v>
      </c>
    </row>
    <row r="187" spans="1:41" x14ac:dyDescent="0.35">
      <c r="A187">
        <v>590</v>
      </c>
      <c r="B187">
        <v>0</v>
      </c>
      <c r="C187">
        <v>12</v>
      </c>
      <c r="D187">
        <v>4</v>
      </c>
      <c r="E187">
        <v>0</v>
      </c>
      <c r="F187">
        <v>0</v>
      </c>
      <c r="G187">
        <v>1</v>
      </c>
      <c r="H187">
        <v>0</v>
      </c>
      <c r="I187">
        <v>0</v>
      </c>
      <c r="J187">
        <v>2246</v>
      </c>
      <c r="K187">
        <v>0</v>
      </c>
      <c r="L187">
        <v>4</v>
      </c>
      <c r="M187">
        <v>3</v>
      </c>
      <c r="N187">
        <v>0</v>
      </c>
      <c r="O187">
        <v>1</v>
      </c>
      <c r="P187">
        <v>0</v>
      </c>
      <c r="Q187">
        <v>0</v>
      </c>
      <c r="R187">
        <v>3</v>
      </c>
      <c r="S187">
        <v>0</v>
      </c>
      <c r="T187">
        <v>0</v>
      </c>
      <c r="U187">
        <v>60</v>
      </c>
      <c r="V187">
        <v>0</v>
      </c>
      <c r="W187">
        <v>0</v>
      </c>
      <c r="X187">
        <v>1</v>
      </c>
      <c r="Y187">
        <v>2</v>
      </c>
      <c r="Z187">
        <v>2</v>
      </c>
      <c r="AA187">
        <v>1</v>
      </c>
      <c r="AB187">
        <v>0</v>
      </c>
      <c r="AC187">
        <v>0</v>
      </c>
      <c r="AD187">
        <v>0</v>
      </c>
      <c r="AE187">
        <v>590</v>
      </c>
      <c r="AF187">
        <v>0</v>
      </c>
      <c r="AG187">
        <v>0</v>
      </c>
      <c r="AI187">
        <v>1</v>
      </c>
      <c r="AJ187">
        <v>1</v>
      </c>
      <c r="AK187">
        <v>0</v>
      </c>
      <c r="AL187">
        <v>-0.80761719983360503</v>
      </c>
      <c r="AM187">
        <v>0.80761719983360503</v>
      </c>
      <c r="AN187">
        <v>0.80761719983360503</v>
      </c>
      <c r="AO187">
        <v>0.192382800166394</v>
      </c>
    </row>
    <row r="188" spans="1:41" x14ac:dyDescent="0.35">
      <c r="A188">
        <v>593</v>
      </c>
      <c r="B188">
        <v>3</v>
      </c>
      <c r="C188">
        <v>21</v>
      </c>
      <c r="D188">
        <v>2</v>
      </c>
      <c r="E188">
        <v>0</v>
      </c>
      <c r="F188">
        <v>0</v>
      </c>
      <c r="G188">
        <v>0</v>
      </c>
      <c r="H188">
        <v>0</v>
      </c>
      <c r="I188">
        <v>1</v>
      </c>
      <c r="J188">
        <v>1572</v>
      </c>
      <c r="K188">
        <v>3</v>
      </c>
      <c r="L188">
        <v>4</v>
      </c>
      <c r="M188">
        <v>4</v>
      </c>
      <c r="N188">
        <v>0</v>
      </c>
      <c r="O188">
        <v>0</v>
      </c>
      <c r="P188">
        <v>0</v>
      </c>
      <c r="Q188">
        <v>0</v>
      </c>
      <c r="R188">
        <v>4</v>
      </c>
      <c r="S188">
        <v>1</v>
      </c>
      <c r="T188">
        <v>0</v>
      </c>
      <c r="U188">
        <v>36</v>
      </c>
      <c r="V188">
        <v>1</v>
      </c>
      <c r="W188">
        <v>0</v>
      </c>
      <c r="X188">
        <v>1</v>
      </c>
      <c r="Y188">
        <v>1</v>
      </c>
      <c r="Z188">
        <v>1</v>
      </c>
      <c r="AA188">
        <v>1</v>
      </c>
      <c r="AB188">
        <v>0</v>
      </c>
      <c r="AC188">
        <v>0</v>
      </c>
      <c r="AD188">
        <v>1</v>
      </c>
      <c r="AE188">
        <v>593</v>
      </c>
      <c r="AF188">
        <v>0</v>
      </c>
      <c r="AG188">
        <v>0</v>
      </c>
      <c r="AI188">
        <v>1</v>
      </c>
      <c r="AJ188">
        <v>1</v>
      </c>
      <c r="AK188">
        <v>1</v>
      </c>
      <c r="AL188">
        <v>7.89591994707632E-2</v>
      </c>
      <c r="AM188">
        <v>-7.89591994707632E-2</v>
      </c>
      <c r="AN188">
        <v>0.92104080052923598</v>
      </c>
      <c r="AO188">
        <v>7.89591994707632E-2</v>
      </c>
    </row>
    <row r="189" spans="1:41" x14ac:dyDescent="0.35">
      <c r="A189">
        <v>597</v>
      </c>
      <c r="B189">
        <v>0</v>
      </c>
      <c r="C189">
        <v>24</v>
      </c>
      <c r="D189">
        <v>2</v>
      </c>
      <c r="E189">
        <v>1</v>
      </c>
      <c r="F189">
        <v>0</v>
      </c>
      <c r="G189">
        <v>0</v>
      </c>
      <c r="H189">
        <v>0</v>
      </c>
      <c r="I189">
        <v>0</v>
      </c>
      <c r="J189">
        <v>1442</v>
      </c>
      <c r="K189">
        <v>0</v>
      </c>
      <c r="L189">
        <v>3</v>
      </c>
      <c r="M189">
        <v>4</v>
      </c>
      <c r="N189">
        <v>0</v>
      </c>
      <c r="O189">
        <v>0</v>
      </c>
      <c r="P189">
        <v>0</v>
      </c>
      <c r="Q189">
        <v>0</v>
      </c>
      <c r="R189">
        <v>4</v>
      </c>
      <c r="S189">
        <v>0</v>
      </c>
      <c r="T189">
        <v>0</v>
      </c>
      <c r="U189">
        <v>23</v>
      </c>
      <c r="V189">
        <v>0</v>
      </c>
      <c r="W189">
        <v>1</v>
      </c>
      <c r="X189">
        <v>0</v>
      </c>
      <c r="Y189">
        <v>2</v>
      </c>
      <c r="Z189">
        <v>2</v>
      </c>
      <c r="AA189">
        <v>1</v>
      </c>
      <c r="AB189">
        <v>0</v>
      </c>
      <c r="AC189">
        <v>0</v>
      </c>
      <c r="AD189">
        <v>0</v>
      </c>
      <c r="AE189">
        <v>597</v>
      </c>
      <c r="AF189">
        <v>0</v>
      </c>
      <c r="AG189">
        <v>0</v>
      </c>
      <c r="AI189">
        <v>0</v>
      </c>
      <c r="AJ189">
        <v>0</v>
      </c>
      <c r="AK189">
        <v>0</v>
      </c>
      <c r="AL189">
        <v>-0.18276882501349401</v>
      </c>
      <c r="AM189">
        <v>0.18276882501349401</v>
      </c>
      <c r="AN189">
        <v>0.18276882501349401</v>
      </c>
      <c r="AO189">
        <v>0.81723117498650499</v>
      </c>
    </row>
    <row r="190" spans="1:41" x14ac:dyDescent="0.35">
      <c r="A190">
        <v>601</v>
      </c>
      <c r="B190">
        <v>1</v>
      </c>
      <c r="C190">
        <v>7</v>
      </c>
      <c r="D190">
        <v>2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2329</v>
      </c>
      <c r="K190">
        <v>0</v>
      </c>
      <c r="L190">
        <v>1</v>
      </c>
      <c r="M190">
        <v>1</v>
      </c>
      <c r="N190">
        <v>0</v>
      </c>
      <c r="O190">
        <v>0</v>
      </c>
      <c r="P190">
        <v>0</v>
      </c>
      <c r="Q190">
        <v>1</v>
      </c>
      <c r="R190">
        <v>1</v>
      </c>
      <c r="S190">
        <v>1</v>
      </c>
      <c r="T190">
        <v>0</v>
      </c>
      <c r="U190">
        <v>45</v>
      </c>
      <c r="V190">
        <v>0</v>
      </c>
      <c r="W190">
        <v>0</v>
      </c>
      <c r="X190">
        <v>1</v>
      </c>
      <c r="Y190">
        <v>1</v>
      </c>
      <c r="Z190">
        <v>2</v>
      </c>
      <c r="AA190">
        <v>1</v>
      </c>
      <c r="AB190">
        <v>0</v>
      </c>
      <c r="AC190">
        <v>0</v>
      </c>
      <c r="AD190">
        <v>1</v>
      </c>
      <c r="AE190">
        <v>601</v>
      </c>
      <c r="AF190">
        <v>1</v>
      </c>
      <c r="AG190">
        <v>0</v>
      </c>
      <c r="AI190">
        <v>1</v>
      </c>
      <c r="AJ190">
        <v>1</v>
      </c>
      <c r="AK190">
        <v>1</v>
      </c>
      <c r="AL190">
        <v>0.17125963794697199</v>
      </c>
      <c r="AM190">
        <v>-0.17125963794697199</v>
      </c>
      <c r="AN190">
        <v>0.82874036205302704</v>
      </c>
      <c r="AO190">
        <v>0.17125963794697199</v>
      </c>
    </row>
    <row r="191" spans="1:41" x14ac:dyDescent="0.35">
      <c r="A191">
        <v>602</v>
      </c>
      <c r="B191">
        <v>1</v>
      </c>
      <c r="C191">
        <v>9</v>
      </c>
      <c r="D191">
        <v>2</v>
      </c>
      <c r="E191">
        <v>0</v>
      </c>
      <c r="F191">
        <v>0</v>
      </c>
      <c r="G191">
        <v>1</v>
      </c>
      <c r="H191">
        <v>0</v>
      </c>
      <c r="I191">
        <v>0</v>
      </c>
      <c r="J191">
        <v>918</v>
      </c>
      <c r="K191">
        <v>0</v>
      </c>
      <c r="L191">
        <v>2</v>
      </c>
      <c r="M191">
        <v>4</v>
      </c>
      <c r="N191">
        <v>0</v>
      </c>
      <c r="O191">
        <v>0</v>
      </c>
      <c r="P191">
        <v>0</v>
      </c>
      <c r="Q191">
        <v>0</v>
      </c>
      <c r="R191">
        <v>1</v>
      </c>
      <c r="S191">
        <v>0</v>
      </c>
      <c r="T191">
        <v>0</v>
      </c>
      <c r="U191">
        <v>30</v>
      </c>
      <c r="V191">
        <v>0</v>
      </c>
      <c r="W191">
        <v>0</v>
      </c>
      <c r="X191">
        <v>1</v>
      </c>
      <c r="Y191">
        <v>1</v>
      </c>
      <c r="Z191">
        <v>2</v>
      </c>
      <c r="AA191">
        <v>1</v>
      </c>
      <c r="AB191">
        <v>0</v>
      </c>
      <c r="AC191">
        <v>0</v>
      </c>
      <c r="AD191">
        <v>0</v>
      </c>
      <c r="AE191">
        <v>602</v>
      </c>
      <c r="AF191">
        <v>0</v>
      </c>
      <c r="AG191">
        <v>0</v>
      </c>
      <c r="AI191">
        <v>1</v>
      </c>
      <c r="AJ191">
        <v>1</v>
      </c>
      <c r="AK191">
        <v>0</v>
      </c>
      <c r="AL191">
        <v>-0.673862388172217</v>
      </c>
      <c r="AM191">
        <v>0.673862388172217</v>
      </c>
      <c r="AN191">
        <v>0.673862388172217</v>
      </c>
      <c r="AO191">
        <v>0.326137611827782</v>
      </c>
    </row>
    <row r="192" spans="1:41" x14ac:dyDescent="0.35">
      <c r="A192">
        <v>604</v>
      </c>
      <c r="B192">
        <v>3</v>
      </c>
      <c r="C192">
        <v>36</v>
      </c>
      <c r="D192">
        <v>2</v>
      </c>
      <c r="E192">
        <v>0</v>
      </c>
      <c r="F192">
        <v>0</v>
      </c>
      <c r="G192">
        <v>1</v>
      </c>
      <c r="H192">
        <v>0</v>
      </c>
      <c r="I192">
        <v>0</v>
      </c>
      <c r="J192">
        <v>3349</v>
      </c>
      <c r="K192">
        <v>0</v>
      </c>
      <c r="L192">
        <v>2</v>
      </c>
      <c r="M192">
        <v>4</v>
      </c>
      <c r="N192">
        <v>0</v>
      </c>
      <c r="O192">
        <v>0</v>
      </c>
      <c r="P192">
        <v>0</v>
      </c>
      <c r="Q192">
        <v>0</v>
      </c>
      <c r="R192">
        <v>2</v>
      </c>
      <c r="S192">
        <v>0</v>
      </c>
      <c r="T192">
        <v>0</v>
      </c>
      <c r="U192">
        <v>28</v>
      </c>
      <c r="V192">
        <v>0</v>
      </c>
      <c r="W192">
        <v>0</v>
      </c>
      <c r="X192">
        <v>1</v>
      </c>
      <c r="Y192">
        <v>1</v>
      </c>
      <c r="Z192">
        <v>3</v>
      </c>
      <c r="AA192">
        <v>1</v>
      </c>
      <c r="AB192">
        <v>1</v>
      </c>
      <c r="AC192">
        <v>0</v>
      </c>
      <c r="AD192">
        <v>0</v>
      </c>
      <c r="AE192">
        <v>604</v>
      </c>
      <c r="AF192">
        <v>0</v>
      </c>
      <c r="AG192">
        <v>0</v>
      </c>
      <c r="AI192">
        <v>1</v>
      </c>
      <c r="AJ192">
        <v>1</v>
      </c>
      <c r="AK192">
        <v>0</v>
      </c>
      <c r="AL192">
        <v>-0.77562792559350102</v>
      </c>
      <c r="AM192">
        <v>0.77562792559350102</v>
      </c>
      <c r="AN192">
        <v>0.77562792559350102</v>
      </c>
      <c r="AO192">
        <v>0.22437207440649801</v>
      </c>
    </row>
    <row r="193" spans="1:41" x14ac:dyDescent="0.35">
      <c r="A193">
        <v>606</v>
      </c>
      <c r="B193">
        <v>0</v>
      </c>
      <c r="C193">
        <v>24</v>
      </c>
      <c r="D193">
        <v>1</v>
      </c>
      <c r="E193">
        <v>0</v>
      </c>
      <c r="F193">
        <v>0</v>
      </c>
      <c r="G193">
        <v>1</v>
      </c>
      <c r="H193">
        <v>0</v>
      </c>
      <c r="I193">
        <v>0</v>
      </c>
      <c r="J193">
        <v>2828</v>
      </c>
      <c r="K193">
        <v>2</v>
      </c>
      <c r="L193">
        <v>2</v>
      </c>
      <c r="M193">
        <v>4</v>
      </c>
      <c r="N193">
        <v>0</v>
      </c>
      <c r="O193">
        <v>1</v>
      </c>
      <c r="P193">
        <v>0</v>
      </c>
      <c r="Q193">
        <v>0</v>
      </c>
      <c r="R193">
        <v>4</v>
      </c>
      <c r="S193">
        <v>1</v>
      </c>
      <c r="T193">
        <v>0</v>
      </c>
      <c r="U193">
        <v>22</v>
      </c>
      <c r="V193">
        <v>1</v>
      </c>
      <c r="W193">
        <v>0</v>
      </c>
      <c r="X193">
        <v>1</v>
      </c>
      <c r="Y193">
        <v>1</v>
      </c>
      <c r="Z193">
        <v>2</v>
      </c>
      <c r="AA193">
        <v>1</v>
      </c>
      <c r="AB193">
        <v>1</v>
      </c>
      <c r="AC193">
        <v>0</v>
      </c>
      <c r="AD193">
        <v>1</v>
      </c>
      <c r="AE193">
        <v>606</v>
      </c>
      <c r="AF193">
        <v>0</v>
      </c>
      <c r="AG193">
        <v>0</v>
      </c>
      <c r="AI193">
        <v>0</v>
      </c>
      <c r="AJ193">
        <v>0</v>
      </c>
      <c r="AK193">
        <v>1</v>
      </c>
      <c r="AL193">
        <v>0.749453604263836</v>
      </c>
      <c r="AM193">
        <v>-0.749453604263836</v>
      </c>
      <c r="AN193">
        <v>0.250546395736163</v>
      </c>
      <c r="AO193">
        <v>0.749453604263836</v>
      </c>
    </row>
    <row r="194" spans="1:41" x14ac:dyDescent="0.35">
      <c r="A194">
        <v>608</v>
      </c>
      <c r="B194">
        <v>1</v>
      </c>
      <c r="C194">
        <v>36</v>
      </c>
      <c r="D194">
        <v>2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2671</v>
      </c>
      <c r="K194">
        <v>1</v>
      </c>
      <c r="L194">
        <v>2</v>
      </c>
      <c r="M194">
        <v>4</v>
      </c>
      <c r="N194">
        <v>0</v>
      </c>
      <c r="O194">
        <v>0</v>
      </c>
      <c r="P194">
        <v>0</v>
      </c>
      <c r="Q194">
        <v>0</v>
      </c>
      <c r="R194">
        <v>4</v>
      </c>
      <c r="S194">
        <v>0</v>
      </c>
      <c r="T194">
        <v>1</v>
      </c>
      <c r="U194">
        <v>50</v>
      </c>
      <c r="V194">
        <v>0</v>
      </c>
      <c r="W194">
        <v>0</v>
      </c>
      <c r="X194">
        <v>0</v>
      </c>
      <c r="Y194">
        <v>1</v>
      </c>
      <c r="Z194">
        <v>2</v>
      </c>
      <c r="AA194">
        <v>1</v>
      </c>
      <c r="AB194">
        <v>0</v>
      </c>
      <c r="AC194">
        <v>0</v>
      </c>
      <c r="AD194">
        <v>0</v>
      </c>
      <c r="AE194">
        <v>608</v>
      </c>
      <c r="AF194">
        <v>1</v>
      </c>
      <c r="AG194">
        <v>1</v>
      </c>
      <c r="AI194">
        <v>1</v>
      </c>
      <c r="AJ194">
        <v>1</v>
      </c>
      <c r="AK194">
        <v>0</v>
      </c>
      <c r="AL194">
        <v>-0.59658112247575301</v>
      </c>
      <c r="AM194">
        <v>0.59658112247575301</v>
      </c>
      <c r="AN194">
        <v>0.59658112247575301</v>
      </c>
      <c r="AO194">
        <v>0.40341887752424599</v>
      </c>
    </row>
    <row r="195" spans="1:41" x14ac:dyDescent="0.35">
      <c r="A195">
        <v>611</v>
      </c>
      <c r="B195">
        <v>0</v>
      </c>
      <c r="C195">
        <v>12</v>
      </c>
      <c r="D195">
        <v>2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741</v>
      </c>
      <c r="K195">
        <v>1</v>
      </c>
      <c r="L195">
        <v>0</v>
      </c>
      <c r="M195">
        <v>4</v>
      </c>
      <c r="N195">
        <v>0</v>
      </c>
      <c r="O195">
        <v>0</v>
      </c>
      <c r="P195">
        <v>0</v>
      </c>
      <c r="Q195">
        <v>0</v>
      </c>
      <c r="R195">
        <v>3</v>
      </c>
      <c r="S195">
        <v>0</v>
      </c>
      <c r="T195">
        <v>0</v>
      </c>
      <c r="U195">
        <v>22</v>
      </c>
      <c r="V195">
        <v>0</v>
      </c>
      <c r="W195">
        <v>0</v>
      </c>
      <c r="X195">
        <v>1</v>
      </c>
      <c r="Y195">
        <v>1</v>
      </c>
      <c r="Z195">
        <v>2</v>
      </c>
      <c r="AA195">
        <v>1</v>
      </c>
      <c r="AB195">
        <v>0</v>
      </c>
      <c r="AC195">
        <v>0</v>
      </c>
      <c r="AD195">
        <v>0</v>
      </c>
      <c r="AE195">
        <v>611</v>
      </c>
      <c r="AF195">
        <v>0</v>
      </c>
      <c r="AG195">
        <v>0</v>
      </c>
      <c r="AI195">
        <v>1</v>
      </c>
      <c r="AJ195">
        <v>1</v>
      </c>
      <c r="AK195">
        <v>0</v>
      </c>
      <c r="AL195">
        <v>-0.69998789151741403</v>
      </c>
      <c r="AM195">
        <v>0.69998789151741403</v>
      </c>
      <c r="AN195">
        <v>0.69998789151741403</v>
      </c>
      <c r="AO195">
        <v>0.30001210848258503</v>
      </c>
    </row>
    <row r="196" spans="1:41" x14ac:dyDescent="0.35">
      <c r="A196">
        <v>614</v>
      </c>
      <c r="B196">
        <v>0</v>
      </c>
      <c r="C196">
        <v>24</v>
      </c>
      <c r="D196">
        <v>1</v>
      </c>
      <c r="E196">
        <v>0</v>
      </c>
      <c r="F196">
        <v>1</v>
      </c>
      <c r="G196">
        <v>0</v>
      </c>
      <c r="H196">
        <v>0</v>
      </c>
      <c r="I196">
        <v>0</v>
      </c>
      <c r="J196">
        <v>3632</v>
      </c>
      <c r="K196">
        <v>0</v>
      </c>
      <c r="L196">
        <v>2</v>
      </c>
      <c r="M196">
        <v>1</v>
      </c>
      <c r="N196">
        <v>0</v>
      </c>
      <c r="O196">
        <v>0</v>
      </c>
      <c r="P196">
        <v>0</v>
      </c>
      <c r="Q196">
        <v>1</v>
      </c>
      <c r="R196">
        <v>4</v>
      </c>
      <c r="S196">
        <v>0</v>
      </c>
      <c r="T196">
        <v>0</v>
      </c>
      <c r="U196">
        <v>22</v>
      </c>
      <c r="V196">
        <v>1</v>
      </c>
      <c r="W196">
        <v>1</v>
      </c>
      <c r="X196">
        <v>0</v>
      </c>
      <c r="Y196">
        <v>1</v>
      </c>
      <c r="Z196">
        <v>2</v>
      </c>
      <c r="AA196">
        <v>1</v>
      </c>
      <c r="AB196">
        <v>0</v>
      </c>
      <c r="AC196">
        <v>1</v>
      </c>
      <c r="AD196">
        <v>1</v>
      </c>
      <c r="AE196">
        <v>614</v>
      </c>
      <c r="AF196">
        <v>0</v>
      </c>
      <c r="AG196">
        <v>0</v>
      </c>
      <c r="AI196">
        <v>1</v>
      </c>
      <c r="AJ196">
        <v>1</v>
      </c>
      <c r="AK196">
        <v>1</v>
      </c>
      <c r="AL196">
        <v>0.45556743682469902</v>
      </c>
      <c r="AM196">
        <v>-0.45556743682469902</v>
      </c>
      <c r="AN196">
        <v>0.54443256317530098</v>
      </c>
      <c r="AO196">
        <v>0.45556743682469902</v>
      </c>
    </row>
    <row r="197" spans="1:41" x14ac:dyDescent="0.35">
      <c r="A197">
        <v>617</v>
      </c>
      <c r="B197">
        <v>1</v>
      </c>
      <c r="C197">
        <v>60</v>
      </c>
      <c r="D197">
        <v>3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9157</v>
      </c>
      <c r="K197">
        <v>4</v>
      </c>
      <c r="L197">
        <v>2</v>
      </c>
      <c r="M197">
        <v>2</v>
      </c>
      <c r="N197">
        <v>0</v>
      </c>
      <c r="O197">
        <v>1</v>
      </c>
      <c r="P197">
        <v>0</v>
      </c>
      <c r="Q197">
        <v>0</v>
      </c>
      <c r="R197">
        <v>2</v>
      </c>
      <c r="S197">
        <v>0</v>
      </c>
      <c r="T197">
        <v>1</v>
      </c>
      <c r="U197">
        <v>27</v>
      </c>
      <c r="V197">
        <v>0</v>
      </c>
      <c r="W197">
        <v>0</v>
      </c>
      <c r="X197">
        <v>0</v>
      </c>
      <c r="Y197">
        <v>1</v>
      </c>
      <c r="Z197">
        <v>3</v>
      </c>
      <c r="AA197">
        <v>1</v>
      </c>
      <c r="AB197">
        <v>0</v>
      </c>
      <c r="AC197">
        <v>0</v>
      </c>
      <c r="AD197">
        <v>1</v>
      </c>
      <c r="AE197">
        <v>617</v>
      </c>
      <c r="AF197">
        <v>1</v>
      </c>
      <c r="AG197">
        <v>0</v>
      </c>
      <c r="AI197">
        <v>1</v>
      </c>
      <c r="AJ197">
        <v>1</v>
      </c>
      <c r="AK197">
        <v>1</v>
      </c>
      <c r="AL197">
        <v>0.34370579500433401</v>
      </c>
      <c r="AM197">
        <v>-0.34370579500433401</v>
      </c>
      <c r="AN197">
        <v>0.65629420499566504</v>
      </c>
      <c r="AO197">
        <v>0.34370579500433401</v>
      </c>
    </row>
    <row r="198" spans="1:41" x14ac:dyDescent="0.35">
      <c r="A198">
        <v>623</v>
      </c>
      <c r="B198">
        <v>3</v>
      </c>
      <c r="C198">
        <v>48</v>
      </c>
      <c r="D198">
        <v>2</v>
      </c>
      <c r="E198">
        <v>0</v>
      </c>
      <c r="F198">
        <v>0</v>
      </c>
      <c r="G198">
        <v>0</v>
      </c>
      <c r="H198">
        <v>0</v>
      </c>
      <c r="I198">
        <v>1</v>
      </c>
      <c r="J198">
        <v>3914</v>
      </c>
      <c r="K198">
        <v>4</v>
      </c>
      <c r="L198">
        <v>2</v>
      </c>
      <c r="M198">
        <v>4</v>
      </c>
      <c r="N198">
        <v>1</v>
      </c>
      <c r="O198">
        <v>0</v>
      </c>
      <c r="P198">
        <v>0</v>
      </c>
      <c r="Q198">
        <v>0</v>
      </c>
      <c r="R198">
        <v>2</v>
      </c>
      <c r="S198">
        <v>1</v>
      </c>
      <c r="T198">
        <v>0</v>
      </c>
      <c r="U198">
        <v>38</v>
      </c>
      <c r="V198">
        <v>1</v>
      </c>
      <c r="W198">
        <v>0</v>
      </c>
      <c r="X198">
        <v>1</v>
      </c>
      <c r="Y198">
        <v>1</v>
      </c>
      <c r="Z198">
        <v>2</v>
      </c>
      <c r="AA198">
        <v>1</v>
      </c>
      <c r="AB198">
        <v>0</v>
      </c>
      <c r="AC198">
        <v>0</v>
      </c>
      <c r="AD198">
        <v>0</v>
      </c>
      <c r="AE198">
        <v>623</v>
      </c>
      <c r="AF198">
        <v>0</v>
      </c>
      <c r="AG198">
        <v>0</v>
      </c>
      <c r="AI198">
        <v>1</v>
      </c>
      <c r="AJ198">
        <v>1</v>
      </c>
      <c r="AK198">
        <v>0</v>
      </c>
      <c r="AL198">
        <v>-0.84345290714686005</v>
      </c>
      <c r="AM198">
        <v>0.84345290714686005</v>
      </c>
      <c r="AN198">
        <v>0.84345290714686005</v>
      </c>
      <c r="AO198">
        <v>0.156547092853139</v>
      </c>
    </row>
    <row r="199" spans="1:41" x14ac:dyDescent="0.35">
      <c r="A199">
        <v>625</v>
      </c>
      <c r="B199">
        <v>0</v>
      </c>
      <c r="C199">
        <v>18</v>
      </c>
      <c r="D199">
        <v>2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2600</v>
      </c>
      <c r="K199">
        <v>0</v>
      </c>
      <c r="L199">
        <v>2</v>
      </c>
      <c r="M199">
        <v>4</v>
      </c>
      <c r="N199">
        <v>0</v>
      </c>
      <c r="O199">
        <v>1</v>
      </c>
      <c r="P199">
        <v>0</v>
      </c>
      <c r="Q199">
        <v>0</v>
      </c>
      <c r="R199">
        <v>4</v>
      </c>
      <c r="S199">
        <v>0</v>
      </c>
      <c r="T199">
        <v>1</v>
      </c>
      <c r="U199">
        <v>65</v>
      </c>
      <c r="V199">
        <v>0</v>
      </c>
      <c r="W199">
        <v>0</v>
      </c>
      <c r="X199">
        <v>0</v>
      </c>
      <c r="Y199">
        <v>2</v>
      </c>
      <c r="Z199">
        <v>2</v>
      </c>
      <c r="AA199">
        <v>1</v>
      </c>
      <c r="AB199">
        <v>0</v>
      </c>
      <c r="AC199">
        <v>0</v>
      </c>
      <c r="AD199">
        <v>0</v>
      </c>
      <c r="AE199">
        <v>625</v>
      </c>
      <c r="AF199">
        <v>1</v>
      </c>
      <c r="AG199">
        <v>0</v>
      </c>
      <c r="AI199">
        <v>1</v>
      </c>
      <c r="AJ199">
        <v>1</v>
      </c>
      <c r="AK199">
        <v>0</v>
      </c>
      <c r="AL199">
        <v>-0.60330964838950596</v>
      </c>
      <c r="AM199">
        <v>0.60330964838950596</v>
      </c>
      <c r="AN199">
        <v>0.60330964838950596</v>
      </c>
      <c r="AO199">
        <v>0.39669035161049399</v>
      </c>
    </row>
    <row r="200" spans="1:41" x14ac:dyDescent="0.35">
      <c r="A200">
        <v>626</v>
      </c>
      <c r="B200">
        <v>3</v>
      </c>
      <c r="C200">
        <v>15</v>
      </c>
      <c r="D200">
        <v>2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1979</v>
      </c>
      <c r="K200">
        <v>4</v>
      </c>
      <c r="L200">
        <v>4</v>
      </c>
      <c r="M200">
        <v>4</v>
      </c>
      <c r="N200">
        <v>0</v>
      </c>
      <c r="O200">
        <v>1</v>
      </c>
      <c r="P200">
        <v>0</v>
      </c>
      <c r="Q200">
        <v>0</v>
      </c>
      <c r="R200">
        <v>2</v>
      </c>
      <c r="S200">
        <v>0</v>
      </c>
      <c r="T200">
        <v>0</v>
      </c>
      <c r="U200">
        <v>35</v>
      </c>
      <c r="V200">
        <v>0</v>
      </c>
      <c r="W200">
        <v>0</v>
      </c>
      <c r="X200">
        <v>1</v>
      </c>
      <c r="Y200">
        <v>1</v>
      </c>
      <c r="Z200">
        <v>2</v>
      </c>
      <c r="AA200">
        <v>1</v>
      </c>
      <c r="AB200">
        <v>0</v>
      </c>
      <c r="AC200">
        <v>0</v>
      </c>
      <c r="AD200">
        <v>1</v>
      </c>
      <c r="AE200">
        <v>626</v>
      </c>
      <c r="AF200">
        <v>1</v>
      </c>
      <c r="AG200">
        <v>0</v>
      </c>
      <c r="AI200">
        <v>1</v>
      </c>
      <c r="AJ200">
        <v>1</v>
      </c>
      <c r="AK200">
        <v>1</v>
      </c>
      <c r="AL200">
        <v>2.4763240561157598E-2</v>
      </c>
      <c r="AM200">
        <v>-2.4763240561157598E-2</v>
      </c>
      <c r="AN200">
        <v>0.97523675943884203</v>
      </c>
      <c r="AO200">
        <v>2.4763240561157598E-2</v>
      </c>
    </row>
    <row r="201" spans="1:41" x14ac:dyDescent="0.35">
      <c r="A201">
        <v>628</v>
      </c>
      <c r="B201">
        <v>1</v>
      </c>
      <c r="C201">
        <v>9</v>
      </c>
      <c r="D201">
        <v>1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1437</v>
      </c>
      <c r="K201">
        <v>1</v>
      </c>
      <c r="L201">
        <v>3</v>
      </c>
      <c r="M201">
        <v>2</v>
      </c>
      <c r="N201">
        <v>0</v>
      </c>
      <c r="O201">
        <v>1</v>
      </c>
      <c r="P201">
        <v>0</v>
      </c>
      <c r="Q201">
        <v>0</v>
      </c>
      <c r="R201">
        <v>3</v>
      </c>
      <c r="S201">
        <v>0</v>
      </c>
      <c r="T201">
        <v>1</v>
      </c>
      <c r="U201">
        <v>29</v>
      </c>
      <c r="V201">
        <v>0</v>
      </c>
      <c r="W201">
        <v>0</v>
      </c>
      <c r="X201">
        <v>1</v>
      </c>
      <c r="Y201">
        <v>1</v>
      </c>
      <c r="Z201">
        <v>2</v>
      </c>
      <c r="AA201">
        <v>1</v>
      </c>
      <c r="AB201">
        <v>0</v>
      </c>
      <c r="AC201">
        <v>0</v>
      </c>
      <c r="AD201">
        <v>0</v>
      </c>
      <c r="AE201">
        <v>628</v>
      </c>
      <c r="AF201">
        <v>0</v>
      </c>
      <c r="AG201">
        <v>0</v>
      </c>
      <c r="AI201">
        <v>1</v>
      </c>
      <c r="AJ201">
        <v>1</v>
      </c>
      <c r="AK201">
        <v>0</v>
      </c>
      <c r="AL201">
        <v>-0.635089300991869</v>
      </c>
      <c r="AM201">
        <v>0.635089300991869</v>
      </c>
      <c r="AN201">
        <v>0.635089300991869</v>
      </c>
      <c r="AO201">
        <v>0.36491069900813</v>
      </c>
    </row>
    <row r="202" spans="1:41" x14ac:dyDescent="0.35">
      <c r="A202">
        <v>632</v>
      </c>
      <c r="B202">
        <v>0</v>
      </c>
      <c r="C202">
        <v>18</v>
      </c>
      <c r="D202">
        <v>1</v>
      </c>
      <c r="E202">
        <v>0</v>
      </c>
      <c r="F202">
        <v>0</v>
      </c>
      <c r="G202">
        <v>1</v>
      </c>
      <c r="H202">
        <v>0</v>
      </c>
      <c r="I202">
        <v>0</v>
      </c>
      <c r="J202">
        <v>1553</v>
      </c>
      <c r="K202">
        <v>0</v>
      </c>
      <c r="L202">
        <v>2</v>
      </c>
      <c r="M202">
        <v>4</v>
      </c>
      <c r="N202">
        <v>0</v>
      </c>
      <c r="O202">
        <v>1</v>
      </c>
      <c r="P202">
        <v>0</v>
      </c>
      <c r="Q202">
        <v>0</v>
      </c>
      <c r="R202">
        <v>3</v>
      </c>
      <c r="S202">
        <v>0</v>
      </c>
      <c r="T202">
        <v>0</v>
      </c>
      <c r="U202">
        <v>44</v>
      </c>
      <c r="V202">
        <v>1</v>
      </c>
      <c r="W202">
        <v>0</v>
      </c>
      <c r="X202">
        <v>1</v>
      </c>
      <c r="Y202">
        <v>1</v>
      </c>
      <c r="Z202">
        <v>2</v>
      </c>
      <c r="AA202">
        <v>1</v>
      </c>
      <c r="AB202">
        <v>0</v>
      </c>
      <c r="AC202">
        <v>0</v>
      </c>
      <c r="AD202">
        <v>0</v>
      </c>
      <c r="AE202">
        <v>632</v>
      </c>
      <c r="AF202">
        <v>0</v>
      </c>
      <c r="AG202">
        <v>0</v>
      </c>
      <c r="AI202">
        <v>0</v>
      </c>
      <c r="AJ202">
        <v>0</v>
      </c>
      <c r="AK202">
        <v>0</v>
      </c>
      <c r="AL202">
        <v>-0.30741826989288801</v>
      </c>
      <c r="AM202">
        <v>0.30741826989288801</v>
      </c>
      <c r="AN202">
        <v>0.30741826989288801</v>
      </c>
      <c r="AO202">
        <v>0.69258173010711099</v>
      </c>
    </row>
    <row r="203" spans="1:41" x14ac:dyDescent="0.35">
      <c r="A203">
        <v>636</v>
      </c>
      <c r="B203">
        <v>3</v>
      </c>
      <c r="C203">
        <v>12</v>
      </c>
      <c r="D203">
        <v>2</v>
      </c>
      <c r="E203">
        <v>0</v>
      </c>
      <c r="F203">
        <v>0</v>
      </c>
      <c r="G203">
        <v>0</v>
      </c>
      <c r="H203">
        <v>1</v>
      </c>
      <c r="I203">
        <v>0</v>
      </c>
      <c r="J203">
        <v>1393</v>
      </c>
      <c r="K203">
        <v>0</v>
      </c>
      <c r="L203">
        <v>4</v>
      </c>
      <c r="M203">
        <v>4</v>
      </c>
      <c r="N203">
        <v>0</v>
      </c>
      <c r="O203">
        <v>1</v>
      </c>
      <c r="P203">
        <v>0</v>
      </c>
      <c r="Q203">
        <v>0</v>
      </c>
      <c r="R203">
        <v>4</v>
      </c>
      <c r="S203">
        <v>0</v>
      </c>
      <c r="T203">
        <v>0</v>
      </c>
      <c r="U203">
        <v>47</v>
      </c>
      <c r="V203">
        <v>1</v>
      </c>
      <c r="W203">
        <v>0</v>
      </c>
      <c r="X203">
        <v>1</v>
      </c>
      <c r="Y203">
        <v>3</v>
      </c>
      <c r="Z203">
        <v>2</v>
      </c>
      <c r="AA203">
        <v>2</v>
      </c>
      <c r="AB203">
        <v>1</v>
      </c>
      <c r="AC203">
        <v>0</v>
      </c>
      <c r="AD203">
        <v>1</v>
      </c>
      <c r="AE203">
        <v>636</v>
      </c>
      <c r="AF203">
        <v>0</v>
      </c>
      <c r="AG203">
        <v>0</v>
      </c>
      <c r="AI203">
        <v>1</v>
      </c>
      <c r="AJ203">
        <v>1</v>
      </c>
      <c r="AK203">
        <v>1</v>
      </c>
      <c r="AL203">
        <v>0.28911311894576203</v>
      </c>
      <c r="AM203">
        <v>-0.28911311894576203</v>
      </c>
      <c r="AN203">
        <v>0.71088688105423703</v>
      </c>
      <c r="AO203">
        <v>0.28911311894576203</v>
      </c>
    </row>
    <row r="204" spans="1:41" x14ac:dyDescent="0.35">
      <c r="A204">
        <v>642</v>
      </c>
      <c r="B204">
        <v>1</v>
      </c>
      <c r="C204">
        <v>15</v>
      </c>
      <c r="D204">
        <v>2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1308</v>
      </c>
      <c r="K204">
        <v>0</v>
      </c>
      <c r="L204">
        <v>4</v>
      </c>
      <c r="M204">
        <v>4</v>
      </c>
      <c r="N204">
        <v>0</v>
      </c>
      <c r="O204">
        <v>1</v>
      </c>
      <c r="P204">
        <v>0</v>
      </c>
      <c r="Q204">
        <v>0</v>
      </c>
      <c r="R204">
        <v>4</v>
      </c>
      <c r="S204">
        <v>0</v>
      </c>
      <c r="T204">
        <v>0</v>
      </c>
      <c r="U204">
        <v>38</v>
      </c>
      <c r="V204">
        <v>0</v>
      </c>
      <c r="W204">
        <v>0</v>
      </c>
      <c r="X204">
        <v>1</v>
      </c>
      <c r="Y204">
        <v>2</v>
      </c>
      <c r="Z204">
        <v>1</v>
      </c>
      <c r="AA204">
        <v>1</v>
      </c>
      <c r="AB204">
        <v>0</v>
      </c>
      <c r="AC204">
        <v>0</v>
      </c>
      <c r="AD204">
        <v>1</v>
      </c>
      <c r="AE204">
        <v>642</v>
      </c>
      <c r="AF204">
        <v>0</v>
      </c>
      <c r="AG204">
        <v>0</v>
      </c>
      <c r="AI204">
        <v>1</v>
      </c>
      <c r="AJ204">
        <v>1</v>
      </c>
      <c r="AK204">
        <v>1</v>
      </c>
      <c r="AL204">
        <v>0.27034581482589198</v>
      </c>
      <c r="AM204">
        <v>-0.27034581482589198</v>
      </c>
      <c r="AN204">
        <v>0.72965418517410696</v>
      </c>
      <c r="AO204">
        <v>0.27034581482589198</v>
      </c>
    </row>
    <row r="205" spans="1:41" x14ac:dyDescent="0.35">
      <c r="A205">
        <v>643</v>
      </c>
      <c r="B205">
        <v>3</v>
      </c>
      <c r="C205">
        <v>15</v>
      </c>
      <c r="D205">
        <v>2</v>
      </c>
      <c r="E205">
        <v>0</v>
      </c>
      <c r="F205">
        <v>0</v>
      </c>
      <c r="G205">
        <v>0</v>
      </c>
      <c r="H205">
        <v>1</v>
      </c>
      <c r="I205">
        <v>0</v>
      </c>
      <c r="J205">
        <v>4623</v>
      </c>
      <c r="K205">
        <v>1</v>
      </c>
      <c r="L205">
        <v>2</v>
      </c>
      <c r="M205">
        <v>3</v>
      </c>
      <c r="N205">
        <v>0</v>
      </c>
      <c r="O205">
        <v>1</v>
      </c>
      <c r="P205">
        <v>0</v>
      </c>
      <c r="Q205">
        <v>0</v>
      </c>
      <c r="R205">
        <v>2</v>
      </c>
      <c r="S205">
        <v>0</v>
      </c>
      <c r="T205">
        <v>0</v>
      </c>
      <c r="U205">
        <v>40</v>
      </c>
      <c r="V205">
        <v>0</v>
      </c>
      <c r="W205">
        <v>0</v>
      </c>
      <c r="X205">
        <v>1</v>
      </c>
      <c r="Y205">
        <v>1</v>
      </c>
      <c r="Z205">
        <v>3</v>
      </c>
      <c r="AA205">
        <v>1</v>
      </c>
      <c r="AB205">
        <v>1</v>
      </c>
      <c r="AC205">
        <v>0</v>
      </c>
      <c r="AD205">
        <v>0</v>
      </c>
      <c r="AE205">
        <v>643</v>
      </c>
      <c r="AF205">
        <v>0</v>
      </c>
      <c r="AG205">
        <v>0</v>
      </c>
      <c r="AI205">
        <v>1</v>
      </c>
      <c r="AJ205">
        <v>1</v>
      </c>
      <c r="AK205">
        <v>0</v>
      </c>
      <c r="AL205">
        <v>-0.85877028304374403</v>
      </c>
      <c r="AM205">
        <v>0.85877028304374403</v>
      </c>
      <c r="AN205">
        <v>0.85877028304374403</v>
      </c>
      <c r="AO205">
        <v>0.141229716956255</v>
      </c>
    </row>
    <row r="206" spans="1:41" x14ac:dyDescent="0.35">
      <c r="A206">
        <v>644</v>
      </c>
      <c r="B206">
        <v>3</v>
      </c>
      <c r="C206">
        <v>24</v>
      </c>
      <c r="D206">
        <v>4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1851</v>
      </c>
      <c r="K206">
        <v>0</v>
      </c>
      <c r="L206">
        <v>3</v>
      </c>
      <c r="M206">
        <v>4</v>
      </c>
      <c r="N206">
        <v>0</v>
      </c>
      <c r="O206">
        <v>0</v>
      </c>
      <c r="P206">
        <v>1</v>
      </c>
      <c r="Q206">
        <v>1</v>
      </c>
      <c r="R206">
        <v>2</v>
      </c>
      <c r="S206">
        <v>0</v>
      </c>
      <c r="T206">
        <v>0</v>
      </c>
      <c r="U206">
        <v>33</v>
      </c>
      <c r="V206">
        <v>0</v>
      </c>
      <c r="W206">
        <v>0</v>
      </c>
      <c r="X206">
        <v>1</v>
      </c>
      <c r="Y206">
        <v>2</v>
      </c>
      <c r="Z206">
        <v>2</v>
      </c>
      <c r="AA206">
        <v>1</v>
      </c>
      <c r="AB206">
        <v>1</v>
      </c>
      <c r="AC206">
        <v>0</v>
      </c>
      <c r="AD206">
        <v>1</v>
      </c>
      <c r="AE206">
        <v>644</v>
      </c>
      <c r="AF206">
        <v>1</v>
      </c>
      <c r="AG206">
        <v>0</v>
      </c>
      <c r="AI206">
        <v>1</v>
      </c>
      <c r="AJ206">
        <v>1</v>
      </c>
      <c r="AK206">
        <v>1</v>
      </c>
      <c r="AL206">
        <v>9.8659871866590199E-2</v>
      </c>
      <c r="AM206">
        <v>-9.8659871866590199E-2</v>
      </c>
      <c r="AN206">
        <v>0.90134012813340902</v>
      </c>
      <c r="AO206">
        <v>9.8659871866590199E-2</v>
      </c>
    </row>
    <row r="207" spans="1:41" x14ac:dyDescent="0.35">
      <c r="A207">
        <v>645</v>
      </c>
      <c r="B207">
        <v>0</v>
      </c>
      <c r="C207">
        <v>18</v>
      </c>
      <c r="D207">
        <v>4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1880</v>
      </c>
      <c r="K207">
        <v>0</v>
      </c>
      <c r="L207">
        <v>3</v>
      </c>
      <c r="M207">
        <v>4</v>
      </c>
      <c r="N207">
        <v>0</v>
      </c>
      <c r="O207">
        <v>0</v>
      </c>
      <c r="P207">
        <v>1</v>
      </c>
      <c r="Q207">
        <v>0</v>
      </c>
      <c r="R207">
        <v>1</v>
      </c>
      <c r="S207">
        <v>0</v>
      </c>
      <c r="T207">
        <v>0</v>
      </c>
      <c r="U207">
        <v>32</v>
      </c>
      <c r="V207">
        <v>0</v>
      </c>
      <c r="W207">
        <v>0</v>
      </c>
      <c r="X207">
        <v>1</v>
      </c>
      <c r="Y207">
        <v>2</v>
      </c>
      <c r="Z207">
        <v>3</v>
      </c>
      <c r="AA207">
        <v>1</v>
      </c>
      <c r="AB207">
        <v>1</v>
      </c>
      <c r="AC207">
        <v>0</v>
      </c>
      <c r="AD207">
        <v>1</v>
      </c>
      <c r="AE207">
        <v>645</v>
      </c>
      <c r="AF207">
        <v>1</v>
      </c>
      <c r="AG207">
        <v>0</v>
      </c>
      <c r="AI207">
        <v>1</v>
      </c>
      <c r="AJ207">
        <v>1</v>
      </c>
      <c r="AK207">
        <v>1</v>
      </c>
      <c r="AL207">
        <v>0.36576887679997999</v>
      </c>
      <c r="AM207">
        <v>-0.36576887679997999</v>
      </c>
      <c r="AN207">
        <v>0.63423112320001895</v>
      </c>
      <c r="AO207">
        <v>0.36576887679997999</v>
      </c>
    </row>
    <row r="208" spans="1:41" x14ac:dyDescent="0.35">
      <c r="A208">
        <v>646</v>
      </c>
      <c r="B208">
        <v>3</v>
      </c>
      <c r="C208">
        <v>36</v>
      </c>
      <c r="D208">
        <v>3</v>
      </c>
      <c r="E208">
        <v>0</v>
      </c>
      <c r="F208">
        <v>0</v>
      </c>
      <c r="G208">
        <v>0</v>
      </c>
      <c r="H208">
        <v>0</v>
      </c>
      <c r="I208">
        <v>1</v>
      </c>
      <c r="J208">
        <v>7980</v>
      </c>
      <c r="K208">
        <v>4</v>
      </c>
      <c r="L208">
        <v>1</v>
      </c>
      <c r="M208">
        <v>4</v>
      </c>
      <c r="N208">
        <v>0</v>
      </c>
      <c r="O208">
        <v>1</v>
      </c>
      <c r="P208">
        <v>0</v>
      </c>
      <c r="Q208">
        <v>0</v>
      </c>
      <c r="R208">
        <v>4</v>
      </c>
      <c r="S208">
        <v>0</v>
      </c>
      <c r="T208">
        <v>0</v>
      </c>
      <c r="U208">
        <v>27</v>
      </c>
      <c r="V208">
        <v>0</v>
      </c>
      <c r="W208">
        <v>1</v>
      </c>
      <c r="X208">
        <v>0</v>
      </c>
      <c r="Y208">
        <v>2</v>
      </c>
      <c r="Z208">
        <v>2</v>
      </c>
      <c r="AA208">
        <v>1</v>
      </c>
      <c r="AB208">
        <v>1</v>
      </c>
      <c r="AC208">
        <v>0</v>
      </c>
      <c r="AD208">
        <v>0</v>
      </c>
      <c r="AE208">
        <v>646</v>
      </c>
      <c r="AF208">
        <v>0</v>
      </c>
      <c r="AG208">
        <v>0</v>
      </c>
      <c r="AI208">
        <v>1</v>
      </c>
      <c r="AJ208">
        <v>1</v>
      </c>
      <c r="AK208">
        <v>0</v>
      </c>
      <c r="AL208">
        <v>-0.83513874696238999</v>
      </c>
      <c r="AM208">
        <v>0.83513874696238999</v>
      </c>
      <c r="AN208">
        <v>0.83513874696238999</v>
      </c>
      <c r="AO208">
        <v>0.16486125303760901</v>
      </c>
    </row>
    <row r="209" spans="1:41" x14ac:dyDescent="0.35">
      <c r="A209">
        <v>652</v>
      </c>
      <c r="B209">
        <v>1</v>
      </c>
      <c r="C209">
        <v>12</v>
      </c>
      <c r="D209">
        <v>2</v>
      </c>
      <c r="E209">
        <v>0</v>
      </c>
      <c r="F209">
        <v>0</v>
      </c>
      <c r="G209">
        <v>1</v>
      </c>
      <c r="H209">
        <v>0</v>
      </c>
      <c r="I209">
        <v>0</v>
      </c>
      <c r="J209">
        <v>1922</v>
      </c>
      <c r="K209">
        <v>0</v>
      </c>
      <c r="L209">
        <v>2</v>
      </c>
      <c r="M209">
        <v>4</v>
      </c>
      <c r="N209">
        <v>0</v>
      </c>
      <c r="O209">
        <v>1</v>
      </c>
      <c r="P209">
        <v>0</v>
      </c>
      <c r="Q209">
        <v>0</v>
      </c>
      <c r="R209">
        <v>2</v>
      </c>
      <c r="S209">
        <v>0</v>
      </c>
      <c r="T209">
        <v>0</v>
      </c>
      <c r="U209">
        <v>37</v>
      </c>
      <c r="V209">
        <v>0</v>
      </c>
      <c r="W209">
        <v>0</v>
      </c>
      <c r="X209">
        <v>1</v>
      </c>
      <c r="Y209">
        <v>1</v>
      </c>
      <c r="Z209">
        <v>1</v>
      </c>
      <c r="AA209">
        <v>1</v>
      </c>
      <c r="AB209">
        <v>0</v>
      </c>
      <c r="AC209">
        <v>0</v>
      </c>
      <c r="AD209">
        <v>0</v>
      </c>
      <c r="AE209">
        <v>652</v>
      </c>
      <c r="AF209">
        <v>0</v>
      </c>
      <c r="AG209">
        <v>0</v>
      </c>
      <c r="AI209">
        <v>1</v>
      </c>
      <c r="AJ209">
        <v>1</v>
      </c>
      <c r="AK209">
        <v>0</v>
      </c>
      <c r="AL209">
        <v>-0.73013956344005004</v>
      </c>
      <c r="AM209">
        <v>0.73013956344005004</v>
      </c>
      <c r="AN209">
        <v>0.73013956344005004</v>
      </c>
      <c r="AO209">
        <v>0.26986043655994901</v>
      </c>
    </row>
    <row r="210" spans="1:41" x14ac:dyDescent="0.35">
      <c r="A210">
        <v>653</v>
      </c>
      <c r="B210">
        <v>0</v>
      </c>
      <c r="C210">
        <v>24</v>
      </c>
      <c r="D210">
        <v>2</v>
      </c>
      <c r="E210">
        <v>1</v>
      </c>
      <c r="F210">
        <v>0</v>
      </c>
      <c r="G210">
        <v>0</v>
      </c>
      <c r="H210">
        <v>0</v>
      </c>
      <c r="I210">
        <v>0</v>
      </c>
      <c r="J210">
        <v>2303</v>
      </c>
      <c r="K210">
        <v>0</v>
      </c>
      <c r="L210">
        <v>4</v>
      </c>
      <c r="M210">
        <v>4</v>
      </c>
      <c r="N210">
        <v>0</v>
      </c>
      <c r="O210">
        <v>1</v>
      </c>
      <c r="P210">
        <v>0</v>
      </c>
      <c r="Q210">
        <v>0</v>
      </c>
      <c r="R210">
        <v>1</v>
      </c>
      <c r="S210">
        <v>1</v>
      </c>
      <c r="T210">
        <v>0</v>
      </c>
      <c r="U210">
        <v>45</v>
      </c>
      <c r="V210">
        <v>0</v>
      </c>
      <c r="W210">
        <v>0</v>
      </c>
      <c r="X210">
        <v>1</v>
      </c>
      <c r="Y210">
        <v>1</v>
      </c>
      <c r="Z210">
        <v>2</v>
      </c>
      <c r="AA210">
        <v>1</v>
      </c>
      <c r="AB210">
        <v>0</v>
      </c>
      <c r="AC210">
        <v>0</v>
      </c>
      <c r="AD210">
        <v>0</v>
      </c>
      <c r="AE210">
        <v>653</v>
      </c>
      <c r="AF210">
        <v>0</v>
      </c>
      <c r="AG210">
        <v>1</v>
      </c>
      <c r="AI210">
        <v>0</v>
      </c>
      <c r="AJ210">
        <v>0</v>
      </c>
      <c r="AK210">
        <v>0</v>
      </c>
      <c r="AL210">
        <v>-0.35820071585494301</v>
      </c>
      <c r="AM210">
        <v>0.35820071585494301</v>
      </c>
      <c r="AN210">
        <v>0.35820071585494301</v>
      </c>
      <c r="AO210">
        <v>0.64179928414505605</v>
      </c>
    </row>
    <row r="211" spans="1:41" x14ac:dyDescent="0.35">
      <c r="A211">
        <v>662</v>
      </c>
      <c r="B211">
        <v>0</v>
      </c>
      <c r="C211">
        <v>12</v>
      </c>
      <c r="D211">
        <v>2</v>
      </c>
      <c r="E211">
        <v>1</v>
      </c>
      <c r="F211">
        <v>0</v>
      </c>
      <c r="G211">
        <v>0</v>
      </c>
      <c r="H211">
        <v>0</v>
      </c>
      <c r="I211">
        <v>0</v>
      </c>
      <c r="J211">
        <v>900</v>
      </c>
      <c r="K211">
        <v>4</v>
      </c>
      <c r="L211">
        <v>2</v>
      </c>
      <c r="M211">
        <v>4</v>
      </c>
      <c r="N211">
        <v>0</v>
      </c>
      <c r="O211">
        <v>0</v>
      </c>
      <c r="P211">
        <v>1</v>
      </c>
      <c r="Q211">
        <v>0</v>
      </c>
      <c r="R211">
        <v>2</v>
      </c>
      <c r="S211">
        <v>0</v>
      </c>
      <c r="T211">
        <v>0</v>
      </c>
      <c r="U211">
        <v>23</v>
      </c>
      <c r="V211">
        <v>0</v>
      </c>
      <c r="W211">
        <v>0</v>
      </c>
      <c r="X211">
        <v>1</v>
      </c>
      <c r="Y211">
        <v>1</v>
      </c>
      <c r="Z211">
        <v>2</v>
      </c>
      <c r="AA211">
        <v>1</v>
      </c>
      <c r="AB211">
        <v>0</v>
      </c>
      <c r="AC211">
        <v>0</v>
      </c>
      <c r="AD211">
        <v>0</v>
      </c>
      <c r="AE211">
        <v>662</v>
      </c>
      <c r="AF211">
        <v>0</v>
      </c>
      <c r="AG211">
        <v>0</v>
      </c>
      <c r="AI211">
        <v>1</v>
      </c>
      <c r="AJ211">
        <v>1</v>
      </c>
      <c r="AK211">
        <v>0</v>
      </c>
      <c r="AL211">
        <v>-0.671994577058732</v>
      </c>
      <c r="AM211">
        <v>0.671994577058732</v>
      </c>
      <c r="AN211">
        <v>0.671994577058732</v>
      </c>
      <c r="AO211">
        <v>0.328005422941267</v>
      </c>
    </row>
    <row r="212" spans="1:41" x14ac:dyDescent="0.35">
      <c r="A212">
        <v>663</v>
      </c>
      <c r="B212">
        <v>3</v>
      </c>
      <c r="C212">
        <v>21</v>
      </c>
      <c r="D212">
        <v>2</v>
      </c>
      <c r="E212">
        <v>0</v>
      </c>
      <c r="F212">
        <v>0</v>
      </c>
      <c r="G212">
        <v>1</v>
      </c>
      <c r="H212">
        <v>0</v>
      </c>
      <c r="I212">
        <v>0</v>
      </c>
      <c r="J212">
        <v>2241</v>
      </c>
      <c r="K212">
        <v>0</v>
      </c>
      <c r="L212">
        <v>4</v>
      </c>
      <c r="M212">
        <v>4</v>
      </c>
      <c r="N212">
        <v>0</v>
      </c>
      <c r="O212">
        <v>1</v>
      </c>
      <c r="P212">
        <v>0</v>
      </c>
      <c r="Q212">
        <v>0</v>
      </c>
      <c r="R212">
        <v>2</v>
      </c>
      <c r="S212">
        <v>1</v>
      </c>
      <c r="T212">
        <v>0</v>
      </c>
      <c r="U212">
        <v>50</v>
      </c>
      <c r="V212">
        <v>0</v>
      </c>
      <c r="W212">
        <v>0</v>
      </c>
      <c r="X212">
        <v>1</v>
      </c>
      <c r="Y212">
        <v>2</v>
      </c>
      <c r="Z212">
        <v>2</v>
      </c>
      <c r="AA212">
        <v>1</v>
      </c>
      <c r="AB212">
        <v>0</v>
      </c>
      <c r="AC212">
        <v>0</v>
      </c>
      <c r="AD212">
        <v>1</v>
      </c>
      <c r="AE212">
        <v>663</v>
      </c>
      <c r="AF212">
        <v>0</v>
      </c>
      <c r="AG212">
        <v>0</v>
      </c>
      <c r="AI212">
        <v>1</v>
      </c>
      <c r="AJ212">
        <v>1</v>
      </c>
      <c r="AK212">
        <v>1</v>
      </c>
      <c r="AL212">
        <v>0.100449322821868</v>
      </c>
      <c r="AM212">
        <v>-0.100449322821868</v>
      </c>
      <c r="AN212">
        <v>0.89955067717813098</v>
      </c>
      <c r="AO212">
        <v>0.100449322821868</v>
      </c>
    </row>
    <row r="213" spans="1:41" x14ac:dyDescent="0.35">
      <c r="A213">
        <v>672</v>
      </c>
      <c r="B213">
        <v>3</v>
      </c>
      <c r="C213">
        <v>36</v>
      </c>
      <c r="D213">
        <v>2</v>
      </c>
      <c r="E213">
        <v>0</v>
      </c>
      <c r="F213">
        <v>0</v>
      </c>
      <c r="G213">
        <v>0</v>
      </c>
      <c r="H213">
        <v>0</v>
      </c>
      <c r="I213">
        <v>1</v>
      </c>
      <c r="J213">
        <v>5742</v>
      </c>
      <c r="K213">
        <v>1</v>
      </c>
      <c r="L213">
        <v>3</v>
      </c>
      <c r="M213">
        <v>2</v>
      </c>
      <c r="N213">
        <v>0</v>
      </c>
      <c r="O213">
        <v>1</v>
      </c>
      <c r="P213">
        <v>0</v>
      </c>
      <c r="Q213">
        <v>0</v>
      </c>
      <c r="R213">
        <v>2</v>
      </c>
      <c r="S213">
        <v>0</v>
      </c>
      <c r="T213">
        <v>0</v>
      </c>
      <c r="U213">
        <v>31</v>
      </c>
      <c r="V213">
        <v>0</v>
      </c>
      <c r="W213">
        <v>0</v>
      </c>
      <c r="X213">
        <v>1</v>
      </c>
      <c r="Y213">
        <v>2</v>
      </c>
      <c r="Z213">
        <v>2</v>
      </c>
      <c r="AA213">
        <v>1</v>
      </c>
      <c r="AB213">
        <v>1</v>
      </c>
      <c r="AC213">
        <v>0</v>
      </c>
      <c r="AD213">
        <v>1</v>
      </c>
      <c r="AE213">
        <v>672</v>
      </c>
      <c r="AF213">
        <v>0</v>
      </c>
      <c r="AG213">
        <v>0</v>
      </c>
      <c r="AI213">
        <v>1</v>
      </c>
      <c r="AJ213">
        <v>1</v>
      </c>
      <c r="AK213">
        <v>1</v>
      </c>
      <c r="AL213">
        <v>6.9634796892704895E-2</v>
      </c>
      <c r="AM213">
        <v>-6.9634796892704895E-2</v>
      </c>
      <c r="AN213">
        <v>0.93036520310729498</v>
      </c>
      <c r="AO213">
        <v>6.9634796892704895E-2</v>
      </c>
    </row>
    <row r="214" spans="1:41" x14ac:dyDescent="0.35">
      <c r="A214">
        <v>675</v>
      </c>
      <c r="B214">
        <v>3</v>
      </c>
      <c r="C214">
        <v>21</v>
      </c>
      <c r="D214">
        <v>3</v>
      </c>
      <c r="E214">
        <v>0</v>
      </c>
      <c r="F214">
        <v>0</v>
      </c>
      <c r="G214">
        <v>0</v>
      </c>
      <c r="H214">
        <v>0</v>
      </c>
      <c r="I214">
        <v>1</v>
      </c>
      <c r="J214">
        <v>2580</v>
      </c>
      <c r="K214">
        <v>2</v>
      </c>
      <c r="L214">
        <v>1</v>
      </c>
      <c r="M214">
        <v>4</v>
      </c>
      <c r="N214">
        <v>0</v>
      </c>
      <c r="O214">
        <v>1</v>
      </c>
      <c r="P214">
        <v>0</v>
      </c>
      <c r="Q214">
        <v>0</v>
      </c>
      <c r="R214">
        <v>2</v>
      </c>
      <c r="S214">
        <v>1</v>
      </c>
      <c r="T214">
        <v>0</v>
      </c>
      <c r="U214">
        <v>41</v>
      </c>
      <c r="V214">
        <v>1</v>
      </c>
      <c r="W214">
        <v>0</v>
      </c>
      <c r="X214">
        <v>1</v>
      </c>
      <c r="Y214">
        <v>1</v>
      </c>
      <c r="Z214">
        <v>1</v>
      </c>
      <c r="AA214">
        <v>2</v>
      </c>
      <c r="AB214">
        <v>0</v>
      </c>
      <c r="AC214">
        <v>0</v>
      </c>
      <c r="AD214">
        <v>0</v>
      </c>
      <c r="AE214">
        <v>675</v>
      </c>
      <c r="AF214">
        <v>0</v>
      </c>
      <c r="AG214">
        <v>0</v>
      </c>
      <c r="AI214">
        <v>1</v>
      </c>
      <c r="AJ214">
        <v>1</v>
      </c>
      <c r="AK214">
        <v>0</v>
      </c>
      <c r="AL214">
        <v>-0.79698840818413297</v>
      </c>
      <c r="AM214">
        <v>0.79698840818413297</v>
      </c>
      <c r="AN214">
        <v>0.79698840818413297</v>
      </c>
      <c r="AO214">
        <v>0.203011591815866</v>
      </c>
    </row>
    <row r="215" spans="1:41" x14ac:dyDescent="0.35">
      <c r="A215">
        <v>678</v>
      </c>
      <c r="B215">
        <v>1</v>
      </c>
      <c r="C215">
        <v>72</v>
      </c>
      <c r="D215">
        <v>2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5595</v>
      </c>
      <c r="K215">
        <v>1</v>
      </c>
      <c r="L215">
        <v>2</v>
      </c>
      <c r="M215">
        <v>2</v>
      </c>
      <c r="N215">
        <v>0</v>
      </c>
      <c r="O215">
        <v>0</v>
      </c>
      <c r="P215">
        <v>1</v>
      </c>
      <c r="Q215">
        <v>0</v>
      </c>
      <c r="R215">
        <v>2</v>
      </c>
      <c r="S215">
        <v>0</v>
      </c>
      <c r="T215">
        <v>0</v>
      </c>
      <c r="U215">
        <v>24</v>
      </c>
      <c r="V215">
        <v>0</v>
      </c>
      <c r="W215">
        <v>0</v>
      </c>
      <c r="X215">
        <v>1</v>
      </c>
      <c r="Y215">
        <v>1</v>
      </c>
      <c r="Z215">
        <v>2</v>
      </c>
      <c r="AA215">
        <v>1</v>
      </c>
      <c r="AB215">
        <v>0</v>
      </c>
      <c r="AC215">
        <v>0</v>
      </c>
      <c r="AD215">
        <v>0</v>
      </c>
      <c r="AE215">
        <v>678</v>
      </c>
      <c r="AF215">
        <v>1</v>
      </c>
      <c r="AG215">
        <v>0</v>
      </c>
      <c r="AI215">
        <v>0</v>
      </c>
      <c r="AJ215">
        <v>0</v>
      </c>
      <c r="AK215">
        <v>0</v>
      </c>
      <c r="AL215">
        <v>-0.455022899938896</v>
      </c>
      <c r="AM215">
        <v>0.455022899938896</v>
      </c>
      <c r="AN215">
        <v>0.455022899938896</v>
      </c>
      <c r="AO215">
        <v>0.544977100061104</v>
      </c>
    </row>
    <row r="216" spans="1:41" x14ac:dyDescent="0.35">
      <c r="A216">
        <v>681</v>
      </c>
      <c r="B216">
        <v>3</v>
      </c>
      <c r="C216">
        <v>6</v>
      </c>
      <c r="D216">
        <v>2</v>
      </c>
      <c r="E216">
        <v>0</v>
      </c>
      <c r="F216">
        <v>0</v>
      </c>
      <c r="G216">
        <v>0</v>
      </c>
      <c r="H216">
        <v>1</v>
      </c>
      <c r="I216">
        <v>0</v>
      </c>
      <c r="J216">
        <v>1538</v>
      </c>
      <c r="K216">
        <v>0</v>
      </c>
      <c r="L216">
        <v>1</v>
      </c>
      <c r="M216">
        <v>1</v>
      </c>
      <c r="N216">
        <v>0</v>
      </c>
      <c r="O216">
        <v>0</v>
      </c>
      <c r="P216">
        <v>0</v>
      </c>
      <c r="Q216">
        <v>0</v>
      </c>
      <c r="R216">
        <v>2</v>
      </c>
      <c r="S216">
        <v>0</v>
      </c>
      <c r="T216">
        <v>1</v>
      </c>
      <c r="U216">
        <v>56</v>
      </c>
      <c r="V216">
        <v>0</v>
      </c>
      <c r="W216">
        <v>0</v>
      </c>
      <c r="X216">
        <v>1</v>
      </c>
      <c r="Y216">
        <v>1</v>
      </c>
      <c r="Z216">
        <v>2</v>
      </c>
      <c r="AA216">
        <v>1</v>
      </c>
      <c r="AB216">
        <v>0</v>
      </c>
      <c r="AC216">
        <v>0</v>
      </c>
      <c r="AD216">
        <v>1</v>
      </c>
      <c r="AE216">
        <v>681</v>
      </c>
      <c r="AF216">
        <v>0</v>
      </c>
      <c r="AG216">
        <v>0</v>
      </c>
      <c r="AI216">
        <v>1</v>
      </c>
      <c r="AJ216">
        <v>1</v>
      </c>
      <c r="AK216">
        <v>1</v>
      </c>
      <c r="AL216">
        <v>0.115200802083256</v>
      </c>
      <c r="AM216">
        <v>-0.115200802083256</v>
      </c>
      <c r="AN216">
        <v>0.884799197916743</v>
      </c>
      <c r="AO216">
        <v>0.115200802083256</v>
      </c>
    </row>
    <row r="217" spans="1:41" x14ac:dyDescent="0.35">
      <c r="A217">
        <v>684</v>
      </c>
      <c r="B217">
        <v>3</v>
      </c>
      <c r="C217">
        <v>24</v>
      </c>
      <c r="D217">
        <v>4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5103</v>
      </c>
      <c r="K217">
        <v>0</v>
      </c>
      <c r="L217">
        <v>1</v>
      </c>
      <c r="M217">
        <v>3</v>
      </c>
      <c r="N217">
        <v>0</v>
      </c>
      <c r="O217">
        <v>0</v>
      </c>
      <c r="P217">
        <v>1</v>
      </c>
      <c r="Q217">
        <v>0</v>
      </c>
      <c r="R217">
        <v>3</v>
      </c>
      <c r="S217">
        <v>0</v>
      </c>
      <c r="T217">
        <v>1</v>
      </c>
      <c r="U217">
        <v>47</v>
      </c>
      <c r="V217">
        <v>0</v>
      </c>
      <c r="W217">
        <v>0</v>
      </c>
      <c r="X217">
        <v>0</v>
      </c>
      <c r="Y217">
        <v>3</v>
      </c>
      <c r="Z217">
        <v>2</v>
      </c>
      <c r="AA217">
        <v>1</v>
      </c>
      <c r="AB217">
        <v>1</v>
      </c>
      <c r="AC217">
        <v>0</v>
      </c>
      <c r="AD217">
        <v>1</v>
      </c>
      <c r="AE217">
        <v>684</v>
      </c>
      <c r="AF217">
        <v>1</v>
      </c>
      <c r="AG217">
        <v>0</v>
      </c>
      <c r="AI217">
        <v>1</v>
      </c>
      <c r="AJ217">
        <v>1</v>
      </c>
      <c r="AK217">
        <v>1</v>
      </c>
      <c r="AL217">
        <v>0.103467666054463</v>
      </c>
      <c r="AM217">
        <v>-0.103467666054463</v>
      </c>
      <c r="AN217">
        <v>0.896532333945536</v>
      </c>
      <c r="AO217">
        <v>0.103467666054463</v>
      </c>
    </row>
    <row r="218" spans="1:41" x14ac:dyDescent="0.35">
      <c r="A218">
        <v>685</v>
      </c>
      <c r="B218">
        <v>1</v>
      </c>
      <c r="C218">
        <v>36</v>
      </c>
      <c r="D218">
        <v>3</v>
      </c>
      <c r="E218">
        <v>0</v>
      </c>
      <c r="F218">
        <v>0</v>
      </c>
      <c r="G218">
        <v>0</v>
      </c>
      <c r="H218">
        <v>0</v>
      </c>
      <c r="I218">
        <v>1</v>
      </c>
      <c r="J218">
        <v>9857</v>
      </c>
      <c r="K218">
        <v>1</v>
      </c>
      <c r="L218">
        <v>3</v>
      </c>
      <c r="M218">
        <v>1</v>
      </c>
      <c r="N218">
        <v>0</v>
      </c>
      <c r="O218">
        <v>1</v>
      </c>
      <c r="P218">
        <v>0</v>
      </c>
      <c r="Q218">
        <v>0</v>
      </c>
      <c r="R218">
        <v>3</v>
      </c>
      <c r="S218">
        <v>0</v>
      </c>
      <c r="T218">
        <v>0</v>
      </c>
      <c r="U218">
        <v>31</v>
      </c>
      <c r="V218">
        <v>0</v>
      </c>
      <c r="W218">
        <v>0</v>
      </c>
      <c r="X218">
        <v>1</v>
      </c>
      <c r="Y218">
        <v>2</v>
      </c>
      <c r="Z218">
        <v>1</v>
      </c>
      <c r="AA218">
        <v>2</v>
      </c>
      <c r="AB218">
        <v>1</v>
      </c>
      <c r="AC218">
        <v>0</v>
      </c>
      <c r="AD218">
        <v>1</v>
      </c>
      <c r="AE218">
        <v>685</v>
      </c>
      <c r="AF218">
        <v>0</v>
      </c>
      <c r="AG218">
        <v>0</v>
      </c>
      <c r="AI218">
        <v>1</v>
      </c>
      <c r="AJ218">
        <v>1</v>
      </c>
      <c r="AK218">
        <v>1</v>
      </c>
      <c r="AL218">
        <v>0.333021446055216</v>
      </c>
      <c r="AM218">
        <v>-0.333021446055216</v>
      </c>
      <c r="AN218">
        <v>0.666978553944784</v>
      </c>
      <c r="AO218">
        <v>0.333021446055216</v>
      </c>
    </row>
    <row r="219" spans="1:41" x14ac:dyDescent="0.35">
      <c r="A219">
        <v>687</v>
      </c>
      <c r="B219">
        <v>2</v>
      </c>
      <c r="C219">
        <v>10</v>
      </c>
      <c r="D219">
        <v>4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1347</v>
      </c>
      <c r="K219">
        <v>4</v>
      </c>
      <c r="L219">
        <v>3</v>
      </c>
      <c r="M219">
        <v>4</v>
      </c>
      <c r="N219">
        <v>0</v>
      </c>
      <c r="O219">
        <v>1</v>
      </c>
      <c r="P219">
        <v>0</v>
      </c>
      <c r="Q219">
        <v>0</v>
      </c>
      <c r="R219">
        <v>2</v>
      </c>
      <c r="S219">
        <v>0</v>
      </c>
      <c r="T219">
        <v>0</v>
      </c>
      <c r="U219">
        <v>27</v>
      </c>
      <c r="V219">
        <v>0</v>
      </c>
      <c r="W219">
        <v>0</v>
      </c>
      <c r="X219">
        <v>1</v>
      </c>
      <c r="Y219">
        <v>2</v>
      </c>
      <c r="Z219">
        <v>2</v>
      </c>
      <c r="AA219">
        <v>1</v>
      </c>
      <c r="AB219">
        <v>1</v>
      </c>
      <c r="AC219">
        <v>0</v>
      </c>
      <c r="AD219">
        <v>1</v>
      </c>
      <c r="AE219">
        <v>687</v>
      </c>
      <c r="AF219">
        <v>1</v>
      </c>
      <c r="AG219">
        <v>0</v>
      </c>
      <c r="AI219">
        <v>1</v>
      </c>
      <c r="AJ219">
        <v>1</v>
      </c>
      <c r="AK219">
        <v>1</v>
      </c>
      <c r="AL219">
        <v>3.4558336348930602E-2</v>
      </c>
      <c r="AM219">
        <v>-3.4558336348930602E-2</v>
      </c>
      <c r="AN219">
        <v>0.96544166365106898</v>
      </c>
      <c r="AO219">
        <v>3.4558336348930602E-2</v>
      </c>
    </row>
    <row r="220" spans="1:41" x14ac:dyDescent="0.35">
      <c r="A220">
        <v>711</v>
      </c>
      <c r="B220">
        <v>3</v>
      </c>
      <c r="C220">
        <v>18</v>
      </c>
      <c r="D220">
        <v>4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629</v>
      </c>
      <c r="K220">
        <v>2</v>
      </c>
      <c r="L220">
        <v>4</v>
      </c>
      <c r="M220">
        <v>4</v>
      </c>
      <c r="N220">
        <v>0</v>
      </c>
      <c r="O220">
        <v>1</v>
      </c>
      <c r="P220">
        <v>0</v>
      </c>
      <c r="Q220">
        <v>0</v>
      </c>
      <c r="R220">
        <v>3</v>
      </c>
      <c r="S220">
        <v>0</v>
      </c>
      <c r="T220">
        <v>0</v>
      </c>
      <c r="U220">
        <v>32</v>
      </c>
      <c r="V220">
        <v>1</v>
      </c>
      <c r="W220">
        <v>0</v>
      </c>
      <c r="X220">
        <v>1</v>
      </c>
      <c r="Y220">
        <v>2</v>
      </c>
      <c r="Z220">
        <v>3</v>
      </c>
      <c r="AA220">
        <v>1</v>
      </c>
      <c r="AB220">
        <v>1</v>
      </c>
      <c r="AC220">
        <v>0</v>
      </c>
      <c r="AD220">
        <v>1</v>
      </c>
      <c r="AE220">
        <v>711</v>
      </c>
      <c r="AF220">
        <v>1</v>
      </c>
      <c r="AG220">
        <v>0</v>
      </c>
      <c r="AI220">
        <v>1</v>
      </c>
      <c r="AJ220">
        <v>1</v>
      </c>
      <c r="AK220">
        <v>1</v>
      </c>
      <c r="AL220">
        <v>7.8395188068872301E-2</v>
      </c>
      <c r="AM220">
        <v>-7.8395188068872301E-2</v>
      </c>
      <c r="AN220">
        <v>0.92160481193112698</v>
      </c>
      <c r="AO220">
        <v>7.8395188068872301E-2</v>
      </c>
    </row>
    <row r="221" spans="1:41" x14ac:dyDescent="0.35">
      <c r="A221">
        <v>712</v>
      </c>
      <c r="B221">
        <v>0</v>
      </c>
      <c r="C221">
        <v>6</v>
      </c>
      <c r="D221">
        <v>1</v>
      </c>
      <c r="E221">
        <v>0</v>
      </c>
      <c r="F221">
        <v>0</v>
      </c>
      <c r="G221">
        <v>0</v>
      </c>
      <c r="H221">
        <v>1</v>
      </c>
      <c r="I221">
        <v>0</v>
      </c>
      <c r="J221">
        <v>1198</v>
      </c>
      <c r="K221">
        <v>0</v>
      </c>
      <c r="L221">
        <v>4</v>
      </c>
      <c r="M221">
        <v>4</v>
      </c>
      <c r="N221">
        <v>0</v>
      </c>
      <c r="O221">
        <v>0</v>
      </c>
      <c r="P221">
        <v>0</v>
      </c>
      <c r="Q221">
        <v>0</v>
      </c>
      <c r="R221">
        <v>4</v>
      </c>
      <c r="S221">
        <v>0</v>
      </c>
      <c r="T221">
        <v>1</v>
      </c>
      <c r="U221">
        <v>35</v>
      </c>
      <c r="V221">
        <v>0</v>
      </c>
      <c r="W221">
        <v>0</v>
      </c>
      <c r="X221">
        <v>0</v>
      </c>
      <c r="Y221">
        <v>1</v>
      </c>
      <c r="Z221">
        <v>2</v>
      </c>
      <c r="AA221">
        <v>1</v>
      </c>
      <c r="AB221">
        <v>0</v>
      </c>
      <c r="AC221">
        <v>0</v>
      </c>
      <c r="AD221">
        <v>0</v>
      </c>
      <c r="AE221">
        <v>712</v>
      </c>
      <c r="AF221">
        <v>0</v>
      </c>
      <c r="AG221">
        <v>0</v>
      </c>
      <c r="AI221">
        <v>0</v>
      </c>
      <c r="AJ221">
        <v>0</v>
      </c>
      <c r="AK221">
        <v>0</v>
      </c>
      <c r="AL221">
        <v>-0.17642997342466701</v>
      </c>
      <c r="AM221">
        <v>0.17642997342466701</v>
      </c>
      <c r="AN221">
        <v>0.17642997342466701</v>
      </c>
      <c r="AO221">
        <v>0.82357002657533196</v>
      </c>
    </row>
    <row r="222" spans="1:41" x14ac:dyDescent="0.35">
      <c r="A222">
        <v>713</v>
      </c>
      <c r="B222">
        <v>3</v>
      </c>
      <c r="C222">
        <v>21</v>
      </c>
      <c r="D222">
        <v>2</v>
      </c>
      <c r="E222">
        <v>0</v>
      </c>
      <c r="F222">
        <v>1</v>
      </c>
      <c r="G222">
        <v>0</v>
      </c>
      <c r="H222">
        <v>0</v>
      </c>
      <c r="I222">
        <v>0</v>
      </c>
      <c r="J222">
        <v>2476</v>
      </c>
      <c r="K222">
        <v>4</v>
      </c>
      <c r="L222">
        <v>4</v>
      </c>
      <c r="M222">
        <v>4</v>
      </c>
      <c r="N222">
        <v>0</v>
      </c>
      <c r="O222">
        <v>1</v>
      </c>
      <c r="P222">
        <v>0</v>
      </c>
      <c r="Q222">
        <v>0</v>
      </c>
      <c r="R222">
        <v>4</v>
      </c>
      <c r="S222">
        <v>1</v>
      </c>
      <c r="T222">
        <v>0</v>
      </c>
      <c r="U222">
        <v>46</v>
      </c>
      <c r="V222">
        <v>0</v>
      </c>
      <c r="W222">
        <v>0</v>
      </c>
      <c r="X222">
        <v>1</v>
      </c>
      <c r="Y222">
        <v>1</v>
      </c>
      <c r="Z222">
        <v>3</v>
      </c>
      <c r="AA222">
        <v>1</v>
      </c>
      <c r="AB222">
        <v>1</v>
      </c>
      <c r="AC222">
        <v>0</v>
      </c>
      <c r="AD222">
        <v>1</v>
      </c>
      <c r="AE222">
        <v>713</v>
      </c>
      <c r="AF222">
        <v>0</v>
      </c>
      <c r="AG222">
        <v>0</v>
      </c>
      <c r="AI222">
        <v>1</v>
      </c>
      <c r="AJ222">
        <v>1</v>
      </c>
      <c r="AK222">
        <v>1</v>
      </c>
      <c r="AL222">
        <v>3.0185544540835298E-2</v>
      </c>
      <c r="AM222">
        <v>-3.0185544540835298E-2</v>
      </c>
      <c r="AN222">
        <v>0.969814455459164</v>
      </c>
      <c r="AO222">
        <v>3.0185544540835298E-2</v>
      </c>
    </row>
    <row r="223" spans="1:41" x14ac:dyDescent="0.35">
      <c r="A223">
        <v>718</v>
      </c>
      <c r="B223">
        <v>3</v>
      </c>
      <c r="C223">
        <v>18</v>
      </c>
      <c r="D223">
        <v>2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1505</v>
      </c>
      <c r="K223">
        <v>0</v>
      </c>
      <c r="L223">
        <v>2</v>
      </c>
      <c r="M223">
        <v>4</v>
      </c>
      <c r="N223">
        <v>0</v>
      </c>
      <c r="O223">
        <v>1</v>
      </c>
      <c r="P223">
        <v>0</v>
      </c>
      <c r="Q223">
        <v>0</v>
      </c>
      <c r="R223">
        <v>2</v>
      </c>
      <c r="S223">
        <v>0</v>
      </c>
      <c r="T223">
        <v>1</v>
      </c>
      <c r="U223">
        <v>32</v>
      </c>
      <c r="V223">
        <v>0</v>
      </c>
      <c r="W223">
        <v>0</v>
      </c>
      <c r="X223">
        <v>0</v>
      </c>
      <c r="Y223">
        <v>1</v>
      </c>
      <c r="Z223">
        <v>3</v>
      </c>
      <c r="AA223">
        <v>1</v>
      </c>
      <c r="AB223">
        <v>1</v>
      </c>
      <c r="AC223">
        <v>0</v>
      </c>
      <c r="AD223">
        <v>1</v>
      </c>
      <c r="AE223">
        <v>718</v>
      </c>
      <c r="AF223">
        <v>1</v>
      </c>
      <c r="AG223">
        <v>0</v>
      </c>
      <c r="AI223">
        <v>1</v>
      </c>
      <c r="AJ223">
        <v>1</v>
      </c>
      <c r="AK223">
        <v>1</v>
      </c>
      <c r="AL223">
        <v>8.70520504565791E-2</v>
      </c>
      <c r="AM223">
        <v>-8.70520504565791E-2</v>
      </c>
      <c r="AN223">
        <v>0.91294794954341996</v>
      </c>
      <c r="AO223">
        <v>8.70520504565791E-2</v>
      </c>
    </row>
    <row r="224" spans="1:41" x14ac:dyDescent="0.35">
      <c r="A224">
        <v>728</v>
      </c>
      <c r="B224">
        <v>0</v>
      </c>
      <c r="C224">
        <v>18</v>
      </c>
      <c r="D224">
        <v>2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1882</v>
      </c>
      <c r="K224">
        <v>0</v>
      </c>
      <c r="L224">
        <v>2</v>
      </c>
      <c r="M224">
        <v>4</v>
      </c>
      <c r="N224">
        <v>0</v>
      </c>
      <c r="O224">
        <v>0</v>
      </c>
      <c r="P224">
        <v>0</v>
      </c>
      <c r="Q224">
        <v>0</v>
      </c>
      <c r="R224">
        <v>4</v>
      </c>
      <c r="S224">
        <v>0</v>
      </c>
      <c r="T224">
        <v>0</v>
      </c>
      <c r="U224">
        <v>25</v>
      </c>
      <c r="V224">
        <v>1</v>
      </c>
      <c r="W224">
        <v>1</v>
      </c>
      <c r="X224">
        <v>0</v>
      </c>
      <c r="Y224">
        <v>2</v>
      </c>
      <c r="Z224">
        <v>2</v>
      </c>
      <c r="AA224">
        <v>1</v>
      </c>
      <c r="AB224">
        <v>0</v>
      </c>
      <c r="AC224">
        <v>0</v>
      </c>
      <c r="AD224">
        <v>0</v>
      </c>
      <c r="AE224">
        <v>728</v>
      </c>
      <c r="AF224">
        <v>1</v>
      </c>
      <c r="AG224">
        <v>0</v>
      </c>
      <c r="AI224">
        <v>0</v>
      </c>
      <c r="AJ224">
        <v>0</v>
      </c>
      <c r="AK224">
        <v>0</v>
      </c>
      <c r="AL224">
        <v>-0.26605289795796899</v>
      </c>
      <c r="AM224">
        <v>0.26605289795796899</v>
      </c>
      <c r="AN224">
        <v>0.26605289795796899</v>
      </c>
      <c r="AO224">
        <v>0.73394710204202995</v>
      </c>
    </row>
    <row r="225" spans="1:41" x14ac:dyDescent="0.35">
      <c r="A225">
        <v>733</v>
      </c>
      <c r="B225">
        <v>1</v>
      </c>
      <c r="C225">
        <v>8</v>
      </c>
      <c r="D225">
        <v>2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760</v>
      </c>
      <c r="K225">
        <v>0</v>
      </c>
      <c r="L225">
        <v>3</v>
      </c>
      <c r="M225">
        <v>4</v>
      </c>
      <c r="N225">
        <v>0</v>
      </c>
      <c r="O225">
        <v>0</v>
      </c>
      <c r="P225">
        <v>0</v>
      </c>
      <c r="Q225">
        <v>1</v>
      </c>
      <c r="R225">
        <v>2</v>
      </c>
      <c r="S225">
        <v>1</v>
      </c>
      <c r="T225">
        <v>0</v>
      </c>
      <c r="U225">
        <v>44</v>
      </c>
      <c r="V225">
        <v>0</v>
      </c>
      <c r="W225">
        <v>0</v>
      </c>
      <c r="X225">
        <v>1</v>
      </c>
      <c r="Y225">
        <v>1</v>
      </c>
      <c r="Z225">
        <v>1</v>
      </c>
      <c r="AA225">
        <v>1</v>
      </c>
      <c r="AB225">
        <v>0</v>
      </c>
      <c r="AC225">
        <v>0</v>
      </c>
      <c r="AD225">
        <v>1</v>
      </c>
      <c r="AE225">
        <v>733</v>
      </c>
      <c r="AF225">
        <v>1</v>
      </c>
      <c r="AG225">
        <v>0</v>
      </c>
      <c r="AI225">
        <v>1</v>
      </c>
      <c r="AJ225">
        <v>1</v>
      </c>
      <c r="AK225">
        <v>1</v>
      </c>
      <c r="AL225">
        <v>0.31684857455293097</v>
      </c>
      <c r="AM225">
        <v>-0.31684857455293097</v>
      </c>
      <c r="AN225">
        <v>0.68315142544706797</v>
      </c>
      <c r="AO225">
        <v>0.31684857455293097</v>
      </c>
    </row>
    <row r="226" spans="1:41" x14ac:dyDescent="0.35">
      <c r="A226">
        <v>737</v>
      </c>
      <c r="B226">
        <v>1</v>
      </c>
      <c r="C226">
        <v>24</v>
      </c>
      <c r="D226">
        <v>2</v>
      </c>
      <c r="E226">
        <v>0</v>
      </c>
      <c r="F226">
        <v>1</v>
      </c>
      <c r="G226">
        <v>0</v>
      </c>
      <c r="H226">
        <v>0</v>
      </c>
      <c r="I226">
        <v>0</v>
      </c>
      <c r="J226">
        <v>11560</v>
      </c>
      <c r="K226">
        <v>0</v>
      </c>
      <c r="L226">
        <v>2</v>
      </c>
      <c r="M226">
        <v>1</v>
      </c>
      <c r="N226">
        <v>0</v>
      </c>
      <c r="O226">
        <v>0</v>
      </c>
      <c r="P226">
        <v>0</v>
      </c>
      <c r="Q226">
        <v>0</v>
      </c>
      <c r="R226">
        <v>4</v>
      </c>
      <c r="S226">
        <v>0</v>
      </c>
      <c r="T226">
        <v>0</v>
      </c>
      <c r="U226">
        <v>23</v>
      </c>
      <c r="V226">
        <v>0</v>
      </c>
      <c r="W226">
        <v>1</v>
      </c>
      <c r="X226">
        <v>0</v>
      </c>
      <c r="Y226">
        <v>2</v>
      </c>
      <c r="Z226">
        <v>3</v>
      </c>
      <c r="AA226">
        <v>1</v>
      </c>
      <c r="AB226">
        <v>0</v>
      </c>
      <c r="AC226">
        <v>0</v>
      </c>
      <c r="AD226">
        <v>0</v>
      </c>
      <c r="AE226">
        <v>737</v>
      </c>
      <c r="AF226">
        <v>0</v>
      </c>
      <c r="AG226">
        <v>0</v>
      </c>
      <c r="AI226">
        <v>0</v>
      </c>
      <c r="AJ226">
        <v>0</v>
      </c>
      <c r="AK226">
        <v>0</v>
      </c>
      <c r="AL226">
        <v>-0.38788159661210397</v>
      </c>
      <c r="AM226">
        <v>0.38788159661210397</v>
      </c>
      <c r="AN226">
        <v>0.38788159661210397</v>
      </c>
      <c r="AO226">
        <v>0.61211840338789503</v>
      </c>
    </row>
    <row r="227" spans="1:41" x14ac:dyDescent="0.35">
      <c r="A227">
        <v>739</v>
      </c>
      <c r="B227">
        <v>3</v>
      </c>
      <c r="C227">
        <v>6</v>
      </c>
      <c r="D227">
        <v>4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6761</v>
      </c>
      <c r="K227">
        <v>0</v>
      </c>
      <c r="L227">
        <v>3</v>
      </c>
      <c r="M227">
        <v>1</v>
      </c>
      <c r="N227">
        <v>0</v>
      </c>
      <c r="O227">
        <v>1</v>
      </c>
      <c r="P227">
        <v>0</v>
      </c>
      <c r="Q227">
        <v>0</v>
      </c>
      <c r="R227">
        <v>3</v>
      </c>
      <c r="S227">
        <v>0</v>
      </c>
      <c r="T227">
        <v>1</v>
      </c>
      <c r="U227">
        <v>45</v>
      </c>
      <c r="V227">
        <v>0</v>
      </c>
      <c r="W227">
        <v>0</v>
      </c>
      <c r="X227">
        <v>1</v>
      </c>
      <c r="Y227">
        <v>2</v>
      </c>
      <c r="Z227">
        <v>3</v>
      </c>
      <c r="AA227">
        <v>2</v>
      </c>
      <c r="AB227">
        <v>1</v>
      </c>
      <c r="AC227">
        <v>0</v>
      </c>
      <c r="AD227">
        <v>1</v>
      </c>
      <c r="AE227">
        <v>739</v>
      </c>
      <c r="AF227">
        <v>0</v>
      </c>
      <c r="AG227">
        <v>0</v>
      </c>
      <c r="AI227">
        <v>1</v>
      </c>
      <c r="AJ227">
        <v>1</v>
      </c>
      <c r="AK227">
        <v>1</v>
      </c>
      <c r="AL227">
        <v>6.7949549657508296E-2</v>
      </c>
      <c r="AM227">
        <v>-6.7949549657508296E-2</v>
      </c>
      <c r="AN227">
        <v>0.93205045034249101</v>
      </c>
      <c r="AO227">
        <v>6.7949549657508296E-2</v>
      </c>
    </row>
    <row r="228" spans="1:41" x14ac:dyDescent="0.35">
      <c r="A228">
        <v>742</v>
      </c>
      <c r="B228">
        <v>1</v>
      </c>
      <c r="C228">
        <v>10</v>
      </c>
      <c r="D228">
        <v>1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1048</v>
      </c>
      <c r="K228">
        <v>0</v>
      </c>
      <c r="L228">
        <v>2</v>
      </c>
      <c r="M228">
        <v>4</v>
      </c>
      <c r="N228">
        <v>0</v>
      </c>
      <c r="O228">
        <v>1</v>
      </c>
      <c r="P228">
        <v>0</v>
      </c>
      <c r="Q228">
        <v>0</v>
      </c>
      <c r="R228">
        <v>4</v>
      </c>
      <c r="S228">
        <v>1</v>
      </c>
      <c r="T228">
        <v>0</v>
      </c>
      <c r="U228">
        <v>23</v>
      </c>
      <c r="V228">
        <v>1</v>
      </c>
      <c r="W228">
        <v>0</v>
      </c>
      <c r="X228">
        <v>1</v>
      </c>
      <c r="Y228">
        <v>1</v>
      </c>
      <c r="Z228">
        <v>1</v>
      </c>
      <c r="AA228">
        <v>1</v>
      </c>
      <c r="AB228">
        <v>0</v>
      </c>
      <c r="AC228">
        <v>0</v>
      </c>
      <c r="AD228">
        <v>1</v>
      </c>
      <c r="AE228">
        <v>742</v>
      </c>
      <c r="AF228">
        <v>1</v>
      </c>
      <c r="AG228">
        <v>0</v>
      </c>
      <c r="AI228">
        <v>0</v>
      </c>
      <c r="AJ228">
        <v>0</v>
      </c>
      <c r="AK228">
        <v>1</v>
      </c>
      <c r="AL228">
        <v>0.55164090751512596</v>
      </c>
      <c r="AM228">
        <v>-0.55164090751512596</v>
      </c>
      <c r="AN228">
        <v>0.44835909248487399</v>
      </c>
      <c r="AO228">
        <v>0.55164090751512596</v>
      </c>
    </row>
    <row r="229" spans="1:41" x14ac:dyDescent="0.35">
      <c r="A229">
        <v>744</v>
      </c>
      <c r="B229">
        <v>0</v>
      </c>
      <c r="C229">
        <v>24</v>
      </c>
      <c r="D229">
        <v>1</v>
      </c>
      <c r="E229">
        <v>0</v>
      </c>
      <c r="F229">
        <v>0</v>
      </c>
      <c r="G229">
        <v>1</v>
      </c>
      <c r="H229">
        <v>0</v>
      </c>
      <c r="I229">
        <v>0</v>
      </c>
      <c r="J229">
        <v>2483</v>
      </c>
      <c r="K229">
        <v>2</v>
      </c>
      <c r="L229">
        <v>2</v>
      </c>
      <c r="M229">
        <v>4</v>
      </c>
      <c r="N229">
        <v>0</v>
      </c>
      <c r="O229">
        <v>1</v>
      </c>
      <c r="P229">
        <v>0</v>
      </c>
      <c r="Q229">
        <v>0</v>
      </c>
      <c r="R229">
        <v>4</v>
      </c>
      <c r="S229">
        <v>1</v>
      </c>
      <c r="T229">
        <v>0</v>
      </c>
      <c r="U229">
        <v>22</v>
      </c>
      <c r="V229">
        <v>1</v>
      </c>
      <c r="W229">
        <v>0</v>
      </c>
      <c r="X229">
        <v>1</v>
      </c>
      <c r="Y229">
        <v>1</v>
      </c>
      <c r="Z229">
        <v>2</v>
      </c>
      <c r="AA229">
        <v>1</v>
      </c>
      <c r="AB229">
        <v>1</v>
      </c>
      <c r="AC229">
        <v>0</v>
      </c>
      <c r="AD229">
        <v>1</v>
      </c>
      <c r="AE229">
        <v>744</v>
      </c>
      <c r="AF229">
        <v>0</v>
      </c>
      <c r="AG229">
        <v>0</v>
      </c>
      <c r="AI229">
        <v>0</v>
      </c>
      <c r="AJ229">
        <v>0</v>
      </c>
      <c r="AK229">
        <v>1</v>
      </c>
      <c r="AL229">
        <v>0.74191954561791196</v>
      </c>
      <c r="AM229">
        <v>-0.74191954561791196</v>
      </c>
      <c r="AN229">
        <v>0.25808045438208699</v>
      </c>
      <c r="AO229">
        <v>0.74191954561791196</v>
      </c>
    </row>
    <row r="230" spans="1:41" x14ac:dyDescent="0.35">
      <c r="A230">
        <v>748</v>
      </c>
      <c r="B230">
        <v>0</v>
      </c>
      <c r="C230">
        <v>12</v>
      </c>
      <c r="D230">
        <v>2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1274</v>
      </c>
      <c r="K230">
        <v>0</v>
      </c>
      <c r="L230">
        <v>1</v>
      </c>
      <c r="M230">
        <v>3</v>
      </c>
      <c r="N230">
        <v>0</v>
      </c>
      <c r="O230">
        <v>0</v>
      </c>
      <c r="P230">
        <v>0</v>
      </c>
      <c r="Q230">
        <v>0</v>
      </c>
      <c r="R230">
        <v>1</v>
      </c>
      <c r="S230">
        <v>1</v>
      </c>
      <c r="T230">
        <v>0</v>
      </c>
      <c r="U230">
        <v>37</v>
      </c>
      <c r="V230">
        <v>0</v>
      </c>
      <c r="W230">
        <v>0</v>
      </c>
      <c r="X230">
        <v>1</v>
      </c>
      <c r="Y230">
        <v>1</v>
      </c>
      <c r="Z230">
        <v>1</v>
      </c>
      <c r="AA230">
        <v>1</v>
      </c>
      <c r="AB230">
        <v>0</v>
      </c>
      <c r="AC230">
        <v>0</v>
      </c>
      <c r="AD230">
        <v>0</v>
      </c>
      <c r="AE230">
        <v>748</v>
      </c>
      <c r="AF230">
        <v>0</v>
      </c>
      <c r="AG230">
        <v>0</v>
      </c>
      <c r="AI230">
        <v>0</v>
      </c>
      <c r="AJ230">
        <v>0</v>
      </c>
      <c r="AK230">
        <v>0</v>
      </c>
      <c r="AL230">
        <v>-0.423398964498792</v>
      </c>
      <c r="AM230">
        <v>0.423398964498793</v>
      </c>
      <c r="AN230">
        <v>0.423398964498792</v>
      </c>
      <c r="AO230">
        <v>0.576601035501207</v>
      </c>
    </row>
    <row r="231" spans="1:41" x14ac:dyDescent="0.35">
      <c r="A231">
        <v>749</v>
      </c>
      <c r="B231">
        <v>3</v>
      </c>
      <c r="C231">
        <v>21</v>
      </c>
      <c r="D231">
        <v>2</v>
      </c>
      <c r="E231">
        <v>0</v>
      </c>
      <c r="F231">
        <v>1</v>
      </c>
      <c r="G231">
        <v>0</v>
      </c>
      <c r="H231">
        <v>0</v>
      </c>
      <c r="I231">
        <v>0</v>
      </c>
      <c r="J231">
        <v>5248</v>
      </c>
      <c r="K231">
        <v>4</v>
      </c>
      <c r="L231">
        <v>2</v>
      </c>
      <c r="M231">
        <v>1</v>
      </c>
      <c r="N231">
        <v>0</v>
      </c>
      <c r="O231">
        <v>1</v>
      </c>
      <c r="P231">
        <v>0</v>
      </c>
      <c r="Q231">
        <v>0</v>
      </c>
      <c r="R231">
        <v>3</v>
      </c>
      <c r="S231">
        <v>0</v>
      </c>
      <c r="T231">
        <v>0</v>
      </c>
      <c r="U231">
        <v>26</v>
      </c>
      <c r="V231">
        <v>0</v>
      </c>
      <c r="W231">
        <v>0</v>
      </c>
      <c r="X231">
        <v>1</v>
      </c>
      <c r="Y231">
        <v>1</v>
      </c>
      <c r="Z231">
        <v>2</v>
      </c>
      <c r="AA231">
        <v>1</v>
      </c>
      <c r="AB231">
        <v>0</v>
      </c>
      <c r="AC231">
        <v>0</v>
      </c>
      <c r="AD231">
        <v>1</v>
      </c>
      <c r="AE231">
        <v>749</v>
      </c>
      <c r="AF231">
        <v>0</v>
      </c>
      <c r="AG231">
        <v>0</v>
      </c>
      <c r="AI231">
        <v>1</v>
      </c>
      <c r="AJ231">
        <v>1</v>
      </c>
      <c r="AK231">
        <v>1</v>
      </c>
      <c r="AL231">
        <v>1.6059814703885698E-2</v>
      </c>
      <c r="AM231">
        <v>-1.6059814703885698E-2</v>
      </c>
      <c r="AN231">
        <v>0.98394018529611404</v>
      </c>
      <c r="AO231">
        <v>1.6059814703885698E-2</v>
      </c>
    </row>
    <row r="232" spans="1:41" x14ac:dyDescent="0.35">
      <c r="A232">
        <v>750</v>
      </c>
      <c r="B232">
        <v>3</v>
      </c>
      <c r="C232">
        <v>15</v>
      </c>
      <c r="D232">
        <v>2</v>
      </c>
      <c r="E232">
        <v>0</v>
      </c>
      <c r="F232">
        <v>1</v>
      </c>
      <c r="G232">
        <v>0</v>
      </c>
      <c r="H232">
        <v>0</v>
      </c>
      <c r="I232">
        <v>0</v>
      </c>
      <c r="J232">
        <v>3029</v>
      </c>
      <c r="K232">
        <v>0</v>
      </c>
      <c r="L232">
        <v>3</v>
      </c>
      <c r="M232">
        <v>2</v>
      </c>
      <c r="N232">
        <v>0</v>
      </c>
      <c r="O232">
        <v>1</v>
      </c>
      <c r="P232">
        <v>0</v>
      </c>
      <c r="Q232">
        <v>0</v>
      </c>
      <c r="R232">
        <v>2</v>
      </c>
      <c r="S232">
        <v>0</v>
      </c>
      <c r="T232">
        <v>0</v>
      </c>
      <c r="U232">
        <v>33</v>
      </c>
      <c r="V232">
        <v>0</v>
      </c>
      <c r="W232">
        <v>0</v>
      </c>
      <c r="X232">
        <v>1</v>
      </c>
      <c r="Y232">
        <v>1</v>
      </c>
      <c r="Z232">
        <v>2</v>
      </c>
      <c r="AA232">
        <v>1</v>
      </c>
      <c r="AB232">
        <v>0</v>
      </c>
      <c r="AC232">
        <v>0</v>
      </c>
      <c r="AD232">
        <v>1</v>
      </c>
      <c r="AE232">
        <v>750</v>
      </c>
      <c r="AF232">
        <v>0</v>
      </c>
      <c r="AG232">
        <v>0</v>
      </c>
      <c r="AI232">
        <v>1</v>
      </c>
      <c r="AJ232">
        <v>1</v>
      </c>
      <c r="AK232">
        <v>1</v>
      </c>
      <c r="AL232">
        <v>5.2600656989144803E-2</v>
      </c>
      <c r="AM232">
        <v>-5.2600656989144803E-2</v>
      </c>
      <c r="AN232">
        <v>0.94739934301085504</v>
      </c>
      <c r="AO232">
        <v>5.2600656989144803E-2</v>
      </c>
    </row>
    <row r="233" spans="1:41" x14ac:dyDescent="0.35">
      <c r="A233">
        <v>756</v>
      </c>
      <c r="B233">
        <v>0</v>
      </c>
      <c r="C233">
        <v>24</v>
      </c>
      <c r="D233">
        <v>2</v>
      </c>
      <c r="E233">
        <v>1</v>
      </c>
      <c r="F233">
        <v>0</v>
      </c>
      <c r="G233">
        <v>0</v>
      </c>
      <c r="H233">
        <v>0</v>
      </c>
      <c r="I233">
        <v>0</v>
      </c>
      <c r="J233">
        <v>1285</v>
      </c>
      <c r="K233">
        <v>4</v>
      </c>
      <c r="L233">
        <v>3</v>
      </c>
      <c r="M233">
        <v>4</v>
      </c>
      <c r="N233">
        <v>0</v>
      </c>
      <c r="O233">
        <v>0</v>
      </c>
      <c r="P233">
        <v>0</v>
      </c>
      <c r="Q233">
        <v>0</v>
      </c>
      <c r="R233">
        <v>4</v>
      </c>
      <c r="S233">
        <v>0</v>
      </c>
      <c r="T233">
        <v>1</v>
      </c>
      <c r="U233">
        <v>32</v>
      </c>
      <c r="V233">
        <v>0</v>
      </c>
      <c r="W233">
        <v>1</v>
      </c>
      <c r="X233">
        <v>0</v>
      </c>
      <c r="Y233">
        <v>1</v>
      </c>
      <c r="Z233">
        <v>2</v>
      </c>
      <c r="AA233">
        <v>1</v>
      </c>
      <c r="AB233">
        <v>0</v>
      </c>
      <c r="AC233">
        <v>0</v>
      </c>
      <c r="AD233">
        <v>0</v>
      </c>
      <c r="AE233">
        <v>756</v>
      </c>
      <c r="AF233">
        <v>0</v>
      </c>
      <c r="AG233">
        <v>0</v>
      </c>
      <c r="AI233">
        <v>0</v>
      </c>
      <c r="AJ233">
        <v>0</v>
      </c>
      <c r="AK233">
        <v>0</v>
      </c>
      <c r="AL233">
        <v>-0.45634720699123299</v>
      </c>
      <c r="AM233">
        <v>0.45634720699123299</v>
      </c>
      <c r="AN233">
        <v>0.45634720699123299</v>
      </c>
      <c r="AO233">
        <v>0.54365279300876601</v>
      </c>
    </row>
    <row r="234" spans="1:41" x14ac:dyDescent="0.35">
      <c r="A234">
        <v>758</v>
      </c>
      <c r="B234">
        <v>2</v>
      </c>
      <c r="C234">
        <v>15</v>
      </c>
      <c r="D234">
        <v>4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1271</v>
      </c>
      <c r="K234">
        <v>4</v>
      </c>
      <c r="L234">
        <v>2</v>
      </c>
      <c r="M234">
        <v>3</v>
      </c>
      <c r="N234">
        <v>0</v>
      </c>
      <c r="O234">
        <v>1</v>
      </c>
      <c r="P234">
        <v>0</v>
      </c>
      <c r="Q234">
        <v>0</v>
      </c>
      <c r="R234">
        <v>4</v>
      </c>
      <c r="S234">
        <v>0</v>
      </c>
      <c r="T234">
        <v>1</v>
      </c>
      <c r="U234">
        <v>39</v>
      </c>
      <c r="V234">
        <v>0</v>
      </c>
      <c r="W234">
        <v>0</v>
      </c>
      <c r="X234">
        <v>0</v>
      </c>
      <c r="Y234">
        <v>2</v>
      </c>
      <c r="Z234">
        <v>2</v>
      </c>
      <c r="AA234">
        <v>1</v>
      </c>
      <c r="AB234">
        <v>1</v>
      </c>
      <c r="AC234">
        <v>0</v>
      </c>
      <c r="AD234">
        <v>0</v>
      </c>
      <c r="AE234">
        <v>758</v>
      </c>
      <c r="AF234">
        <v>1</v>
      </c>
      <c r="AG234">
        <v>0</v>
      </c>
      <c r="AI234">
        <v>1</v>
      </c>
      <c r="AJ234">
        <v>1</v>
      </c>
      <c r="AK234">
        <v>0</v>
      </c>
      <c r="AL234">
        <v>-0.97175848356985095</v>
      </c>
      <c r="AM234">
        <v>0.97175848356985095</v>
      </c>
      <c r="AN234">
        <v>0.97175848356985095</v>
      </c>
      <c r="AO234">
        <v>2.82415164301488E-2</v>
      </c>
    </row>
    <row r="235" spans="1:41" x14ac:dyDescent="0.35">
      <c r="A235">
        <v>762</v>
      </c>
      <c r="B235">
        <v>0</v>
      </c>
      <c r="C235">
        <v>18</v>
      </c>
      <c r="D235">
        <v>4</v>
      </c>
      <c r="E235">
        <v>0</v>
      </c>
      <c r="F235">
        <v>0</v>
      </c>
      <c r="G235">
        <v>1</v>
      </c>
      <c r="H235">
        <v>0</v>
      </c>
      <c r="I235">
        <v>0</v>
      </c>
      <c r="J235">
        <v>2124</v>
      </c>
      <c r="K235">
        <v>0</v>
      </c>
      <c r="L235">
        <v>2</v>
      </c>
      <c r="M235">
        <v>4</v>
      </c>
      <c r="N235">
        <v>0</v>
      </c>
      <c r="O235">
        <v>0</v>
      </c>
      <c r="P235">
        <v>0</v>
      </c>
      <c r="Q235">
        <v>0</v>
      </c>
      <c r="R235">
        <v>4</v>
      </c>
      <c r="S235">
        <v>1</v>
      </c>
      <c r="T235">
        <v>0</v>
      </c>
      <c r="U235">
        <v>24</v>
      </c>
      <c r="V235">
        <v>0</v>
      </c>
      <c r="W235">
        <v>1</v>
      </c>
      <c r="X235">
        <v>0</v>
      </c>
      <c r="Y235">
        <v>2</v>
      </c>
      <c r="Z235">
        <v>2</v>
      </c>
      <c r="AA235">
        <v>1</v>
      </c>
      <c r="AB235">
        <v>0</v>
      </c>
      <c r="AC235">
        <v>0</v>
      </c>
      <c r="AD235">
        <v>0</v>
      </c>
      <c r="AE235">
        <v>762</v>
      </c>
      <c r="AF235">
        <v>0</v>
      </c>
      <c r="AG235">
        <v>0</v>
      </c>
      <c r="AI235">
        <v>0</v>
      </c>
      <c r="AJ235">
        <v>0</v>
      </c>
      <c r="AK235">
        <v>0</v>
      </c>
      <c r="AL235">
        <v>-0.491765331971105</v>
      </c>
      <c r="AM235">
        <v>0.491765331971105</v>
      </c>
      <c r="AN235">
        <v>0.491765331971105</v>
      </c>
      <c r="AO235">
        <v>0.50823466802889405</v>
      </c>
    </row>
    <row r="236" spans="1:41" x14ac:dyDescent="0.35">
      <c r="A236">
        <v>763</v>
      </c>
      <c r="B236">
        <v>0</v>
      </c>
      <c r="C236">
        <v>12</v>
      </c>
      <c r="D236">
        <v>2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2214</v>
      </c>
      <c r="K236">
        <v>0</v>
      </c>
      <c r="L236">
        <v>2</v>
      </c>
      <c r="M236">
        <v>4</v>
      </c>
      <c r="N236">
        <v>0</v>
      </c>
      <c r="O236">
        <v>1</v>
      </c>
      <c r="P236">
        <v>0</v>
      </c>
      <c r="Q236">
        <v>0</v>
      </c>
      <c r="R236">
        <v>3</v>
      </c>
      <c r="S236">
        <v>0</v>
      </c>
      <c r="T236">
        <v>0</v>
      </c>
      <c r="U236">
        <v>24</v>
      </c>
      <c r="V236">
        <v>0</v>
      </c>
      <c r="W236">
        <v>0</v>
      </c>
      <c r="X236">
        <v>1</v>
      </c>
      <c r="Y236">
        <v>1</v>
      </c>
      <c r="Z236">
        <v>1</v>
      </c>
      <c r="AA236">
        <v>1</v>
      </c>
      <c r="AB236">
        <v>0</v>
      </c>
      <c r="AC236">
        <v>0</v>
      </c>
      <c r="AD236">
        <v>1</v>
      </c>
      <c r="AE236">
        <v>763</v>
      </c>
      <c r="AF236">
        <v>1</v>
      </c>
      <c r="AG236">
        <v>0</v>
      </c>
      <c r="AI236">
        <v>1</v>
      </c>
      <c r="AJ236">
        <v>1</v>
      </c>
      <c r="AK236">
        <v>1</v>
      </c>
      <c r="AL236">
        <v>0.35204324512656998</v>
      </c>
      <c r="AM236">
        <v>-0.35204324512656998</v>
      </c>
      <c r="AN236">
        <v>0.64795675487342896</v>
      </c>
      <c r="AO236">
        <v>0.35204324512656998</v>
      </c>
    </row>
    <row r="237" spans="1:41" x14ac:dyDescent="0.35">
      <c r="A237">
        <v>767</v>
      </c>
      <c r="B237">
        <v>0</v>
      </c>
      <c r="C237">
        <v>30</v>
      </c>
      <c r="D237">
        <v>2</v>
      </c>
      <c r="E237">
        <v>0</v>
      </c>
      <c r="F237">
        <v>0</v>
      </c>
      <c r="G237">
        <v>1</v>
      </c>
      <c r="H237">
        <v>0</v>
      </c>
      <c r="I237">
        <v>0</v>
      </c>
      <c r="J237">
        <v>3108</v>
      </c>
      <c r="K237">
        <v>0</v>
      </c>
      <c r="L237">
        <v>1</v>
      </c>
      <c r="M237">
        <v>2</v>
      </c>
      <c r="N237">
        <v>1</v>
      </c>
      <c r="O237">
        <v>0</v>
      </c>
      <c r="P237">
        <v>0</v>
      </c>
      <c r="Q237">
        <v>0</v>
      </c>
      <c r="R237">
        <v>4</v>
      </c>
      <c r="S237">
        <v>0</v>
      </c>
      <c r="T237">
        <v>0</v>
      </c>
      <c r="U237">
        <v>31</v>
      </c>
      <c r="V237">
        <v>0</v>
      </c>
      <c r="W237">
        <v>0</v>
      </c>
      <c r="X237">
        <v>1</v>
      </c>
      <c r="Y237">
        <v>1</v>
      </c>
      <c r="Z237">
        <v>1</v>
      </c>
      <c r="AA237">
        <v>1</v>
      </c>
      <c r="AB237">
        <v>0</v>
      </c>
      <c r="AC237">
        <v>0</v>
      </c>
      <c r="AD237">
        <v>0</v>
      </c>
      <c r="AE237">
        <v>767</v>
      </c>
      <c r="AF237">
        <v>0</v>
      </c>
      <c r="AG237">
        <v>0</v>
      </c>
      <c r="AI237">
        <v>1</v>
      </c>
      <c r="AJ237">
        <v>1</v>
      </c>
      <c r="AK237">
        <v>0</v>
      </c>
      <c r="AL237">
        <v>-0.56287124149368895</v>
      </c>
      <c r="AM237">
        <v>0.56287124149368895</v>
      </c>
      <c r="AN237">
        <v>0.56287124149368895</v>
      </c>
      <c r="AO237">
        <v>0.43712875850631</v>
      </c>
    </row>
    <row r="238" spans="1:41" x14ac:dyDescent="0.35">
      <c r="A238">
        <v>769</v>
      </c>
      <c r="B238">
        <v>1</v>
      </c>
      <c r="C238">
        <v>12</v>
      </c>
      <c r="D238">
        <v>4</v>
      </c>
      <c r="E238">
        <v>0</v>
      </c>
      <c r="F238">
        <v>0</v>
      </c>
      <c r="G238">
        <v>1</v>
      </c>
      <c r="H238">
        <v>0</v>
      </c>
      <c r="I238">
        <v>0</v>
      </c>
      <c r="J238">
        <v>3617</v>
      </c>
      <c r="K238">
        <v>0</v>
      </c>
      <c r="L238">
        <v>4</v>
      </c>
      <c r="M238">
        <v>1</v>
      </c>
      <c r="N238">
        <v>0</v>
      </c>
      <c r="O238">
        <v>1</v>
      </c>
      <c r="P238">
        <v>0</v>
      </c>
      <c r="Q238">
        <v>0</v>
      </c>
      <c r="R238">
        <v>4</v>
      </c>
      <c r="S238">
        <v>0</v>
      </c>
      <c r="T238">
        <v>0</v>
      </c>
      <c r="U238">
        <v>28</v>
      </c>
      <c r="V238">
        <v>0</v>
      </c>
      <c r="W238">
        <v>1</v>
      </c>
      <c r="X238">
        <v>0</v>
      </c>
      <c r="Y238">
        <v>3</v>
      </c>
      <c r="Z238">
        <v>2</v>
      </c>
      <c r="AA238">
        <v>1</v>
      </c>
      <c r="AB238">
        <v>1</v>
      </c>
      <c r="AC238">
        <v>0</v>
      </c>
      <c r="AD238">
        <v>1</v>
      </c>
      <c r="AE238">
        <v>769</v>
      </c>
      <c r="AF238">
        <v>0</v>
      </c>
      <c r="AG238">
        <v>0</v>
      </c>
      <c r="AI238">
        <v>1</v>
      </c>
      <c r="AJ238">
        <v>1</v>
      </c>
      <c r="AK238">
        <v>1</v>
      </c>
      <c r="AL238">
        <v>0.152355016798567</v>
      </c>
      <c r="AM238">
        <v>-0.152355016798567</v>
      </c>
      <c r="AN238">
        <v>0.847644983201432</v>
      </c>
      <c r="AO238">
        <v>0.152355016798567</v>
      </c>
    </row>
    <row r="239" spans="1:41" x14ac:dyDescent="0.35">
      <c r="A239">
        <v>770</v>
      </c>
      <c r="B239">
        <v>3</v>
      </c>
      <c r="C239">
        <v>12</v>
      </c>
      <c r="D239">
        <v>4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1655</v>
      </c>
      <c r="K239">
        <v>0</v>
      </c>
      <c r="L239">
        <v>4</v>
      </c>
      <c r="M239">
        <v>2</v>
      </c>
      <c r="N239">
        <v>0</v>
      </c>
      <c r="O239">
        <v>1</v>
      </c>
      <c r="P239">
        <v>0</v>
      </c>
      <c r="Q239">
        <v>0</v>
      </c>
      <c r="R239">
        <v>4</v>
      </c>
      <c r="S239">
        <v>1</v>
      </c>
      <c r="T239">
        <v>0</v>
      </c>
      <c r="U239">
        <v>63</v>
      </c>
      <c r="V239">
        <v>0</v>
      </c>
      <c r="W239">
        <v>0</v>
      </c>
      <c r="X239">
        <v>1</v>
      </c>
      <c r="Y239">
        <v>2</v>
      </c>
      <c r="Z239">
        <v>1</v>
      </c>
      <c r="AA239">
        <v>1</v>
      </c>
      <c r="AB239">
        <v>1</v>
      </c>
      <c r="AC239">
        <v>0</v>
      </c>
      <c r="AD239">
        <v>1</v>
      </c>
      <c r="AE239">
        <v>770</v>
      </c>
      <c r="AF239">
        <v>1</v>
      </c>
      <c r="AG239">
        <v>0</v>
      </c>
      <c r="AI239">
        <v>1</v>
      </c>
      <c r="AJ239">
        <v>1</v>
      </c>
      <c r="AK239">
        <v>1</v>
      </c>
      <c r="AL239">
        <v>2.5855535334403702E-2</v>
      </c>
      <c r="AM239">
        <v>-2.5855535334403702E-2</v>
      </c>
      <c r="AN239">
        <v>0.97414446466559601</v>
      </c>
      <c r="AO239">
        <v>2.5855535334403702E-2</v>
      </c>
    </row>
    <row r="240" spans="1:41" x14ac:dyDescent="0.35">
      <c r="A240">
        <v>771</v>
      </c>
      <c r="B240">
        <v>0</v>
      </c>
      <c r="C240">
        <v>24</v>
      </c>
      <c r="D240">
        <v>2</v>
      </c>
      <c r="E240">
        <v>0</v>
      </c>
      <c r="F240">
        <v>1</v>
      </c>
      <c r="G240">
        <v>0</v>
      </c>
      <c r="H240">
        <v>0</v>
      </c>
      <c r="I240">
        <v>0</v>
      </c>
      <c r="J240">
        <v>2812</v>
      </c>
      <c r="K240">
        <v>4</v>
      </c>
      <c r="L240">
        <v>4</v>
      </c>
      <c r="M240">
        <v>2</v>
      </c>
      <c r="N240">
        <v>0</v>
      </c>
      <c r="O240">
        <v>0</v>
      </c>
      <c r="P240">
        <v>0</v>
      </c>
      <c r="Q240">
        <v>0</v>
      </c>
      <c r="R240">
        <v>4</v>
      </c>
      <c r="S240">
        <v>1</v>
      </c>
      <c r="T240">
        <v>0</v>
      </c>
      <c r="U240">
        <v>26</v>
      </c>
      <c r="V240">
        <v>0</v>
      </c>
      <c r="W240">
        <v>1</v>
      </c>
      <c r="X240">
        <v>0</v>
      </c>
      <c r="Y240">
        <v>1</v>
      </c>
      <c r="Z240">
        <v>2</v>
      </c>
      <c r="AA240">
        <v>1</v>
      </c>
      <c r="AB240">
        <v>0</v>
      </c>
      <c r="AC240">
        <v>0</v>
      </c>
      <c r="AD240">
        <v>1</v>
      </c>
      <c r="AE240">
        <v>771</v>
      </c>
      <c r="AF240">
        <v>0</v>
      </c>
      <c r="AG240">
        <v>0</v>
      </c>
      <c r="AI240">
        <v>1</v>
      </c>
      <c r="AJ240">
        <v>1</v>
      </c>
      <c r="AK240">
        <v>1</v>
      </c>
      <c r="AL240">
        <v>0.23459174704748201</v>
      </c>
      <c r="AM240">
        <v>-0.23459174704748201</v>
      </c>
      <c r="AN240">
        <v>0.76540825295251702</v>
      </c>
      <c r="AO240">
        <v>0.23459174704748201</v>
      </c>
    </row>
    <row r="241" spans="1:41" x14ac:dyDescent="0.35">
      <c r="A241">
        <v>772</v>
      </c>
      <c r="B241">
        <v>0</v>
      </c>
      <c r="C241">
        <v>36</v>
      </c>
      <c r="D241">
        <v>4</v>
      </c>
      <c r="E241">
        <v>0</v>
      </c>
      <c r="F241">
        <v>0</v>
      </c>
      <c r="G241">
        <v>0</v>
      </c>
      <c r="H241">
        <v>1</v>
      </c>
      <c r="I241">
        <v>0</v>
      </c>
      <c r="J241">
        <v>8065</v>
      </c>
      <c r="K241">
        <v>0</v>
      </c>
      <c r="L241">
        <v>2</v>
      </c>
      <c r="M241">
        <v>3</v>
      </c>
      <c r="N241">
        <v>0</v>
      </c>
      <c r="O241">
        <v>0</v>
      </c>
      <c r="P241">
        <v>0</v>
      </c>
      <c r="Q241">
        <v>0</v>
      </c>
      <c r="R241">
        <v>2</v>
      </c>
      <c r="S241">
        <v>0</v>
      </c>
      <c r="T241">
        <v>1</v>
      </c>
      <c r="U241">
        <v>25</v>
      </c>
      <c r="V241">
        <v>0</v>
      </c>
      <c r="W241">
        <v>0</v>
      </c>
      <c r="X241">
        <v>1</v>
      </c>
      <c r="Y241">
        <v>2</v>
      </c>
      <c r="Z241">
        <v>3</v>
      </c>
      <c r="AA241">
        <v>1</v>
      </c>
      <c r="AB241">
        <v>1</v>
      </c>
      <c r="AC241">
        <v>0</v>
      </c>
      <c r="AD241">
        <v>0</v>
      </c>
      <c r="AE241">
        <v>772</v>
      </c>
      <c r="AF241">
        <v>0</v>
      </c>
      <c r="AG241">
        <v>0</v>
      </c>
      <c r="AI241">
        <v>0</v>
      </c>
      <c r="AJ241">
        <v>0</v>
      </c>
      <c r="AK241">
        <v>0</v>
      </c>
      <c r="AL241">
        <v>-0.200046490987975</v>
      </c>
      <c r="AM241">
        <v>0.200046490987975</v>
      </c>
      <c r="AN241">
        <v>0.200046490987975</v>
      </c>
      <c r="AO241">
        <v>0.799953509012024</v>
      </c>
    </row>
    <row r="242" spans="1:41" x14ac:dyDescent="0.35">
      <c r="A242">
        <v>775</v>
      </c>
      <c r="B242">
        <v>2</v>
      </c>
      <c r="C242">
        <v>12</v>
      </c>
      <c r="D242">
        <v>4</v>
      </c>
      <c r="E242">
        <v>1</v>
      </c>
      <c r="F242">
        <v>0</v>
      </c>
      <c r="G242">
        <v>0</v>
      </c>
      <c r="H242">
        <v>0</v>
      </c>
      <c r="I242">
        <v>0</v>
      </c>
      <c r="J242">
        <v>1480</v>
      </c>
      <c r="K242">
        <v>2</v>
      </c>
      <c r="L242">
        <v>0</v>
      </c>
      <c r="M242">
        <v>2</v>
      </c>
      <c r="N242">
        <v>0</v>
      </c>
      <c r="O242">
        <v>1</v>
      </c>
      <c r="P242">
        <v>0</v>
      </c>
      <c r="Q242">
        <v>0</v>
      </c>
      <c r="R242">
        <v>4</v>
      </c>
      <c r="S242">
        <v>0</v>
      </c>
      <c r="T242">
        <v>1</v>
      </c>
      <c r="U242">
        <v>66</v>
      </c>
      <c r="V242">
        <v>1</v>
      </c>
      <c r="W242">
        <v>0</v>
      </c>
      <c r="X242">
        <v>0</v>
      </c>
      <c r="Y242">
        <v>3</v>
      </c>
      <c r="Z242">
        <v>0</v>
      </c>
      <c r="AA242">
        <v>1</v>
      </c>
      <c r="AB242">
        <v>0</v>
      </c>
      <c r="AC242">
        <v>0</v>
      </c>
      <c r="AD242">
        <v>1</v>
      </c>
      <c r="AE242">
        <v>775</v>
      </c>
      <c r="AF242">
        <v>0</v>
      </c>
      <c r="AG242">
        <v>0</v>
      </c>
      <c r="AI242">
        <v>1</v>
      </c>
      <c r="AJ242">
        <v>1</v>
      </c>
      <c r="AK242">
        <v>1</v>
      </c>
      <c r="AL242">
        <v>0.22780006257906499</v>
      </c>
      <c r="AM242">
        <v>-0.22780006257906499</v>
      </c>
      <c r="AN242">
        <v>0.77219993742093396</v>
      </c>
      <c r="AO242">
        <v>0.22780006257906499</v>
      </c>
    </row>
    <row r="243" spans="1:41" x14ac:dyDescent="0.35">
      <c r="A243">
        <v>778</v>
      </c>
      <c r="B243">
        <v>0</v>
      </c>
      <c r="C243">
        <v>18</v>
      </c>
      <c r="D243">
        <v>2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3509</v>
      </c>
      <c r="K243">
        <v>0</v>
      </c>
      <c r="L243">
        <v>3</v>
      </c>
      <c r="M243">
        <v>4</v>
      </c>
      <c r="N243">
        <v>0</v>
      </c>
      <c r="O243">
        <v>0</v>
      </c>
      <c r="P243">
        <v>0</v>
      </c>
      <c r="Q243">
        <v>1</v>
      </c>
      <c r="R243">
        <v>1</v>
      </c>
      <c r="S243">
        <v>1</v>
      </c>
      <c r="T243">
        <v>0</v>
      </c>
      <c r="U243">
        <v>25</v>
      </c>
      <c r="V243">
        <v>0</v>
      </c>
      <c r="W243">
        <v>0</v>
      </c>
      <c r="X243">
        <v>1</v>
      </c>
      <c r="Y243">
        <v>1</v>
      </c>
      <c r="Z243">
        <v>2</v>
      </c>
      <c r="AA243">
        <v>1</v>
      </c>
      <c r="AB243">
        <v>0</v>
      </c>
      <c r="AC243">
        <v>0</v>
      </c>
      <c r="AD243">
        <v>1</v>
      </c>
      <c r="AE243">
        <v>778</v>
      </c>
      <c r="AF243">
        <v>1</v>
      </c>
      <c r="AG243">
        <v>0</v>
      </c>
      <c r="AI243">
        <v>0</v>
      </c>
      <c r="AJ243">
        <v>0</v>
      </c>
      <c r="AK243">
        <v>1</v>
      </c>
      <c r="AL243">
        <v>0.535894618194098</v>
      </c>
      <c r="AM243">
        <v>-0.535894618194098</v>
      </c>
      <c r="AN243">
        <v>0.464105381805901</v>
      </c>
      <c r="AO243">
        <v>0.535894618194098</v>
      </c>
    </row>
    <row r="244" spans="1:41" x14ac:dyDescent="0.35">
      <c r="A244">
        <v>784</v>
      </c>
      <c r="B244">
        <v>1</v>
      </c>
      <c r="C244">
        <v>12</v>
      </c>
      <c r="D244">
        <v>2</v>
      </c>
      <c r="E244">
        <v>1</v>
      </c>
      <c r="F244">
        <v>0</v>
      </c>
      <c r="G244">
        <v>0</v>
      </c>
      <c r="H244">
        <v>0</v>
      </c>
      <c r="I244">
        <v>0</v>
      </c>
      <c r="J244">
        <v>836</v>
      </c>
      <c r="K244">
        <v>1</v>
      </c>
      <c r="L244">
        <v>1</v>
      </c>
      <c r="M244">
        <v>4</v>
      </c>
      <c r="N244">
        <v>0</v>
      </c>
      <c r="O244">
        <v>0</v>
      </c>
      <c r="P244">
        <v>0</v>
      </c>
      <c r="Q244">
        <v>0</v>
      </c>
      <c r="R244">
        <v>2</v>
      </c>
      <c r="S244">
        <v>0</v>
      </c>
      <c r="T244">
        <v>0</v>
      </c>
      <c r="U244">
        <v>23</v>
      </c>
      <c r="V244">
        <v>1</v>
      </c>
      <c r="W244">
        <v>0</v>
      </c>
      <c r="X244">
        <v>1</v>
      </c>
      <c r="Y244">
        <v>1</v>
      </c>
      <c r="Z244">
        <v>1</v>
      </c>
      <c r="AA244">
        <v>1</v>
      </c>
      <c r="AB244">
        <v>0</v>
      </c>
      <c r="AC244">
        <v>0</v>
      </c>
      <c r="AD244">
        <v>0</v>
      </c>
      <c r="AE244">
        <v>784</v>
      </c>
      <c r="AF244">
        <v>0</v>
      </c>
      <c r="AG244">
        <v>0</v>
      </c>
      <c r="AI244">
        <v>0</v>
      </c>
      <c r="AJ244">
        <v>0</v>
      </c>
      <c r="AK244">
        <v>0</v>
      </c>
      <c r="AL244">
        <v>-0.44882631451344102</v>
      </c>
      <c r="AM244">
        <v>0.44882631451344102</v>
      </c>
      <c r="AN244">
        <v>0.44882631451344102</v>
      </c>
      <c r="AO244">
        <v>0.55117368548655798</v>
      </c>
    </row>
    <row r="245" spans="1:41" x14ac:dyDescent="0.35">
      <c r="A245">
        <v>785</v>
      </c>
      <c r="B245">
        <v>1</v>
      </c>
      <c r="C245">
        <v>20</v>
      </c>
      <c r="D245">
        <v>2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6468</v>
      </c>
      <c r="K245">
        <v>4</v>
      </c>
      <c r="L245">
        <v>0</v>
      </c>
      <c r="M245">
        <v>1</v>
      </c>
      <c r="N245">
        <v>1</v>
      </c>
      <c r="O245">
        <v>0</v>
      </c>
      <c r="P245">
        <v>0</v>
      </c>
      <c r="Q245">
        <v>0</v>
      </c>
      <c r="R245">
        <v>4</v>
      </c>
      <c r="S245">
        <v>1</v>
      </c>
      <c r="T245">
        <v>0</v>
      </c>
      <c r="U245">
        <v>60</v>
      </c>
      <c r="V245">
        <v>0</v>
      </c>
      <c r="W245">
        <v>0</v>
      </c>
      <c r="X245">
        <v>1</v>
      </c>
      <c r="Y245">
        <v>1</v>
      </c>
      <c r="Z245">
        <v>3</v>
      </c>
      <c r="AA245">
        <v>1</v>
      </c>
      <c r="AB245">
        <v>1</v>
      </c>
      <c r="AC245">
        <v>0</v>
      </c>
      <c r="AD245">
        <v>1</v>
      </c>
      <c r="AE245">
        <v>785</v>
      </c>
      <c r="AF245">
        <v>0</v>
      </c>
      <c r="AG245">
        <v>0</v>
      </c>
      <c r="AI245">
        <v>1</v>
      </c>
      <c r="AJ245">
        <v>1</v>
      </c>
      <c r="AK245">
        <v>1</v>
      </c>
      <c r="AL245">
        <v>0.11031207287820299</v>
      </c>
      <c r="AM245">
        <v>-0.11031207287820299</v>
      </c>
      <c r="AN245">
        <v>0.88968792712179601</v>
      </c>
      <c r="AO245">
        <v>0.11031207287820299</v>
      </c>
    </row>
    <row r="246" spans="1:41" x14ac:dyDescent="0.35">
      <c r="A246">
        <v>789</v>
      </c>
      <c r="B246">
        <v>1</v>
      </c>
      <c r="C246">
        <v>48</v>
      </c>
      <c r="D246">
        <v>3</v>
      </c>
      <c r="E246">
        <v>0</v>
      </c>
      <c r="F246">
        <v>0</v>
      </c>
      <c r="G246">
        <v>0</v>
      </c>
      <c r="H246">
        <v>1</v>
      </c>
      <c r="I246">
        <v>0</v>
      </c>
      <c r="J246">
        <v>6224</v>
      </c>
      <c r="K246">
        <v>0</v>
      </c>
      <c r="L246">
        <v>4</v>
      </c>
      <c r="M246">
        <v>4</v>
      </c>
      <c r="N246">
        <v>0</v>
      </c>
      <c r="O246">
        <v>1</v>
      </c>
      <c r="P246">
        <v>0</v>
      </c>
      <c r="Q246">
        <v>0</v>
      </c>
      <c r="R246">
        <v>4</v>
      </c>
      <c r="S246">
        <v>0</v>
      </c>
      <c r="T246">
        <v>1</v>
      </c>
      <c r="U246">
        <v>50</v>
      </c>
      <c r="V246">
        <v>0</v>
      </c>
      <c r="W246">
        <v>0</v>
      </c>
      <c r="X246">
        <v>0</v>
      </c>
      <c r="Y246">
        <v>1</v>
      </c>
      <c r="Z246">
        <v>2</v>
      </c>
      <c r="AA246">
        <v>1</v>
      </c>
      <c r="AB246">
        <v>0</v>
      </c>
      <c r="AC246">
        <v>0</v>
      </c>
      <c r="AD246">
        <v>0</v>
      </c>
      <c r="AE246">
        <v>789</v>
      </c>
      <c r="AF246">
        <v>0</v>
      </c>
      <c r="AG246">
        <v>0</v>
      </c>
      <c r="AI246">
        <v>0</v>
      </c>
      <c r="AJ246">
        <v>0</v>
      </c>
      <c r="AK246">
        <v>0</v>
      </c>
      <c r="AL246">
        <v>-0.14465830940544799</v>
      </c>
      <c r="AM246">
        <v>0.14465830940544799</v>
      </c>
      <c r="AN246">
        <v>0.14465830940544799</v>
      </c>
      <c r="AO246">
        <v>0.85534169059455101</v>
      </c>
    </row>
    <row r="247" spans="1:41" x14ac:dyDescent="0.35">
      <c r="A247">
        <v>791</v>
      </c>
      <c r="B247">
        <v>1</v>
      </c>
      <c r="C247">
        <v>21</v>
      </c>
      <c r="D247">
        <v>2</v>
      </c>
      <c r="E247">
        <v>0</v>
      </c>
      <c r="F247">
        <v>0</v>
      </c>
      <c r="G247">
        <v>0</v>
      </c>
      <c r="H247">
        <v>0</v>
      </c>
      <c r="I247">
        <v>1</v>
      </c>
      <c r="J247">
        <v>1188</v>
      </c>
      <c r="K247">
        <v>0</v>
      </c>
      <c r="L247">
        <v>4</v>
      </c>
      <c r="M247">
        <v>2</v>
      </c>
      <c r="N247">
        <v>0</v>
      </c>
      <c r="O247">
        <v>0</v>
      </c>
      <c r="P247">
        <v>0</v>
      </c>
      <c r="Q247">
        <v>0</v>
      </c>
      <c r="R247">
        <v>4</v>
      </c>
      <c r="S247">
        <v>0</v>
      </c>
      <c r="T247">
        <v>0</v>
      </c>
      <c r="U247">
        <v>39</v>
      </c>
      <c r="V247">
        <v>0</v>
      </c>
      <c r="W247">
        <v>0</v>
      </c>
      <c r="X247">
        <v>1</v>
      </c>
      <c r="Y247">
        <v>1</v>
      </c>
      <c r="Z247">
        <v>2</v>
      </c>
      <c r="AA247">
        <v>2</v>
      </c>
      <c r="AB247">
        <v>0</v>
      </c>
      <c r="AC247">
        <v>0</v>
      </c>
      <c r="AD247">
        <v>0</v>
      </c>
      <c r="AE247">
        <v>791</v>
      </c>
      <c r="AF247">
        <v>0</v>
      </c>
      <c r="AG247">
        <v>0</v>
      </c>
      <c r="AI247">
        <v>1</v>
      </c>
      <c r="AJ247">
        <v>1</v>
      </c>
      <c r="AK247">
        <v>0</v>
      </c>
      <c r="AL247">
        <v>-0.739829361800875</v>
      </c>
      <c r="AM247">
        <v>0.739829361800875</v>
      </c>
      <c r="AN247">
        <v>0.739829361800875</v>
      </c>
      <c r="AO247">
        <v>0.260170638199124</v>
      </c>
    </row>
    <row r="248" spans="1:41" x14ac:dyDescent="0.35">
      <c r="A248">
        <v>795</v>
      </c>
      <c r="B248">
        <v>3</v>
      </c>
      <c r="C248">
        <v>24</v>
      </c>
      <c r="D248">
        <v>2</v>
      </c>
      <c r="E248">
        <v>0</v>
      </c>
      <c r="F248">
        <v>0</v>
      </c>
      <c r="G248">
        <v>1</v>
      </c>
      <c r="H248">
        <v>0</v>
      </c>
      <c r="I248">
        <v>0</v>
      </c>
      <c r="J248">
        <v>3062</v>
      </c>
      <c r="K248">
        <v>2</v>
      </c>
      <c r="L248">
        <v>4</v>
      </c>
      <c r="M248">
        <v>4</v>
      </c>
      <c r="N248">
        <v>0</v>
      </c>
      <c r="O248">
        <v>1</v>
      </c>
      <c r="P248">
        <v>0</v>
      </c>
      <c r="Q248">
        <v>0</v>
      </c>
      <c r="R248">
        <v>3</v>
      </c>
      <c r="S248">
        <v>0</v>
      </c>
      <c r="T248">
        <v>1</v>
      </c>
      <c r="U248">
        <v>32</v>
      </c>
      <c r="V248">
        <v>0</v>
      </c>
      <c r="W248">
        <v>1</v>
      </c>
      <c r="X248">
        <v>0</v>
      </c>
      <c r="Y248">
        <v>1</v>
      </c>
      <c r="Z248">
        <v>2</v>
      </c>
      <c r="AA248">
        <v>1</v>
      </c>
      <c r="AB248">
        <v>1</v>
      </c>
      <c r="AC248">
        <v>0</v>
      </c>
      <c r="AD248">
        <v>1</v>
      </c>
      <c r="AE248">
        <v>795</v>
      </c>
      <c r="AF248">
        <v>0</v>
      </c>
      <c r="AG248">
        <v>0</v>
      </c>
      <c r="AI248">
        <v>1</v>
      </c>
      <c r="AJ248">
        <v>1</v>
      </c>
      <c r="AK248">
        <v>1</v>
      </c>
      <c r="AL248">
        <v>0.18558459425075899</v>
      </c>
      <c r="AM248">
        <v>-0.18558459425075899</v>
      </c>
      <c r="AN248">
        <v>0.81441540574924098</v>
      </c>
      <c r="AO248">
        <v>0.18558459425075899</v>
      </c>
    </row>
    <row r="249" spans="1:41" x14ac:dyDescent="0.35">
      <c r="A249">
        <v>797</v>
      </c>
      <c r="B249">
        <v>0</v>
      </c>
      <c r="C249">
        <v>18</v>
      </c>
      <c r="D249">
        <v>2</v>
      </c>
      <c r="E249">
        <v>0</v>
      </c>
      <c r="F249">
        <v>1</v>
      </c>
      <c r="G249">
        <v>0</v>
      </c>
      <c r="H249">
        <v>0</v>
      </c>
      <c r="I249">
        <v>0</v>
      </c>
      <c r="J249">
        <v>7511</v>
      </c>
      <c r="K249">
        <v>4</v>
      </c>
      <c r="L249">
        <v>4</v>
      </c>
      <c r="M249">
        <v>1</v>
      </c>
      <c r="N249">
        <v>0</v>
      </c>
      <c r="O249">
        <v>1</v>
      </c>
      <c r="P249">
        <v>0</v>
      </c>
      <c r="Q249">
        <v>0</v>
      </c>
      <c r="R249">
        <v>4</v>
      </c>
      <c r="S249">
        <v>0</v>
      </c>
      <c r="T249">
        <v>0</v>
      </c>
      <c r="U249">
        <v>51</v>
      </c>
      <c r="V249">
        <v>0</v>
      </c>
      <c r="W249">
        <v>0</v>
      </c>
      <c r="X249">
        <v>0</v>
      </c>
      <c r="Y249">
        <v>1</v>
      </c>
      <c r="Z249">
        <v>2</v>
      </c>
      <c r="AA249">
        <v>2</v>
      </c>
      <c r="AB249">
        <v>1</v>
      </c>
      <c r="AC249">
        <v>0</v>
      </c>
      <c r="AD249">
        <v>0</v>
      </c>
      <c r="AE249">
        <v>797</v>
      </c>
      <c r="AF249">
        <v>0</v>
      </c>
      <c r="AG249">
        <v>0</v>
      </c>
      <c r="AI249">
        <v>1</v>
      </c>
      <c r="AJ249">
        <v>1</v>
      </c>
      <c r="AK249">
        <v>0</v>
      </c>
      <c r="AL249">
        <v>-0.89311951524158895</v>
      </c>
      <c r="AM249">
        <v>0.89311951524158895</v>
      </c>
      <c r="AN249">
        <v>0.89311951524158895</v>
      </c>
      <c r="AO249">
        <v>0.10688048475841</v>
      </c>
    </row>
    <row r="250" spans="1:41" x14ac:dyDescent="0.35">
      <c r="A250">
        <v>798</v>
      </c>
      <c r="B250">
        <v>3</v>
      </c>
      <c r="C250">
        <v>12</v>
      </c>
      <c r="D250">
        <v>4</v>
      </c>
      <c r="E250">
        <v>0</v>
      </c>
      <c r="F250">
        <v>0</v>
      </c>
      <c r="G250">
        <v>1</v>
      </c>
      <c r="H250">
        <v>0</v>
      </c>
      <c r="I250">
        <v>0</v>
      </c>
      <c r="J250">
        <v>1258</v>
      </c>
      <c r="K250">
        <v>0</v>
      </c>
      <c r="L250">
        <v>1</v>
      </c>
      <c r="M250">
        <v>2</v>
      </c>
      <c r="N250">
        <v>0</v>
      </c>
      <c r="O250">
        <v>0</v>
      </c>
      <c r="P250">
        <v>0</v>
      </c>
      <c r="Q250">
        <v>0</v>
      </c>
      <c r="R250">
        <v>4</v>
      </c>
      <c r="S250">
        <v>0</v>
      </c>
      <c r="T250">
        <v>0</v>
      </c>
      <c r="U250">
        <v>22</v>
      </c>
      <c r="V250">
        <v>0</v>
      </c>
      <c r="W250">
        <v>1</v>
      </c>
      <c r="X250">
        <v>0</v>
      </c>
      <c r="Y250">
        <v>2</v>
      </c>
      <c r="Z250">
        <v>1</v>
      </c>
      <c r="AA250">
        <v>1</v>
      </c>
      <c r="AB250">
        <v>0</v>
      </c>
      <c r="AC250">
        <v>0</v>
      </c>
      <c r="AD250">
        <v>1</v>
      </c>
      <c r="AE250">
        <v>798</v>
      </c>
      <c r="AF250">
        <v>0</v>
      </c>
      <c r="AG250">
        <v>0</v>
      </c>
      <c r="AI250">
        <v>1</v>
      </c>
      <c r="AJ250">
        <v>1</v>
      </c>
      <c r="AK250">
        <v>1</v>
      </c>
      <c r="AL250">
        <v>6.5309253601517001E-2</v>
      </c>
      <c r="AM250">
        <v>-6.5309253601517001E-2</v>
      </c>
      <c r="AN250">
        <v>0.93469074639848204</v>
      </c>
      <c r="AO250">
        <v>6.5309253601517001E-2</v>
      </c>
    </row>
    <row r="251" spans="1:41" x14ac:dyDescent="0.35">
      <c r="A251">
        <v>799</v>
      </c>
      <c r="B251">
        <v>3</v>
      </c>
      <c r="C251">
        <v>24</v>
      </c>
      <c r="D251">
        <v>3</v>
      </c>
      <c r="E251">
        <v>1</v>
      </c>
      <c r="F251">
        <v>0</v>
      </c>
      <c r="G251">
        <v>0</v>
      </c>
      <c r="H251">
        <v>0</v>
      </c>
      <c r="I251">
        <v>0</v>
      </c>
      <c r="J251">
        <v>717</v>
      </c>
      <c r="K251">
        <v>4</v>
      </c>
      <c r="L251">
        <v>4</v>
      </c>
      <c r="M251">
        <v>4</v>
      </c>
      <c r="N251">
        <v>0</v>
      </c>
      <c r="O251">
        <v>0</v>
      </c>
      <c r="P251">
        <v>1</v>
      </c>
      <c r="Q251">
        <v>0</v>
      </c>
      <c r="R251">
        <v>4</v>
      </c>
      <c r="S251">
        <v>0</v>
      </c>
      <c r="T251">
        <v>0</v>
      </c>
      <c r="U251">
        <v>54</v>
      </c>
      <c r="V251">
        <v>0</v>
      </c>
      <c r="W251">
        <v>0</v>
      </c>
      <c r="X251">
        <v>1</v>
      </c>
      <c r="Y251">
        <v>2</v>
      </c>
      <c r="Z251">
        <v>2</v>
      </c>
      <c r="AA251">
        <v>1</v>
      </c>
      <c r="AB251">
        <v>1</v>
      </c>
      <c r="AC251">
        <v>0</v>
      </c>
      <c r="AD251">
        <v>1</v>
      </c>
      <c r="AE251">
        <v>799</v>
      </c>
      <c r="AF251">
        <v>0</v>
      </c>
      <c r="AG251">
        <v>0</v>
      </c>
      <c r="AI251">
        <v>1</v>
      </c>
      <c r="AJ251">
        <v>1</v>
      </c>
      <c r="AK251">
        <v>1</v>
      </c>
      <c r="AL251">
        <v>0.123670742900229</v>
      </c>
      <c r="AM251">
        <v>-0.123670742900229</v>
      </c>
      <c r="AN251">
        <v>0.87632925709977005</v>
      </c>
      <c r="AO251">
        <v>0.123670742900229</v>
      </c>
    </row>
    <row r="252" spans="1:41" x14ac:dyDescent="0.35">
      <c r="A252">
        <v>800</v>
      </c>
      <c r="B252">
        <v>1</v>
      </c>
      <c r="C252">
        <v>9</v>
      </c>
      <c r="D252">
        <v>2</v>
      </c>
      <c r="E252">
        <v>1</v>
      </c>
      <c r="F252">
        <v>0</v>
      </c>
      <c r="G252">
        <v>0</v>
      </c>
      <c r="H252">
        <v>0</v>
      </c>
      <c r="I252">
        <v>0</v>
      </c>
      <c r="J252">
        <v>1549</v>
      </c>
      <c r="K252">
        <v>4</v>
      </c>
      <c r="L252">
        <v>1</v>
      </c>
      <c r="M252">
        <v>4</v>
      </c>
      <c r="N252">
        <v>0</v>
      </c>
      <c r="O252">
        <v>1</v>
      </c>
      <c r="P252">
        <v>0</v>
      </c>
      <c r="Q252">
        <v>0</v>
      </c>
      <c r="R252">
        <v>2</v>
      </c>
      <c r="S252">
        <v>1</v>
      </c>
      <c r="T252">
        <v>0</v>
      </c>
      <c r="U252">
        <v>35</v>
      </c>
      <c r="V252">
        <v>0</v>
      </c>
      <c r="W252">
        <v>0</v>
      </c>
      <c r="X252">
        <v>1</v>
      </c>
      <c r="Y252">
        <v>1</v>
      </c>
      <c r="Z252">
        <v>0</v>
      </c>
      <c r="AA252">
        <v>1</v>
      </c>
      <c r="AB252">
        <v>0</v>
      </c>
      <c r="AC252">
        <v>0</v>
      </c>
      <c r="AD252">
        <v>1</v>
      </c>
      <c r="AE252">
        <v>800</v>
      </c>
      <c r="AF252">
        <v>0</v>
      </c>
      <c r="AG252">
        <v>0</v>
      </c>
      <c r="AI252">
        <v>1</v>
      </c>
      <c r="AJ252">
        <v>1</v>
      </c>
      <c r="AK252">
        <v>1</v>
      </c>
      <c r="AL252">
        <v>0.17862321417504501</v>
      </c>
      <c r="AM252">
        <v>-0.17862321417504501</v>
      </c>
      <c r="AN252">
        <v>0.82137678582495399</v>
      </c>
      <c r="AO252">
        <v>0.17862321417504501</v>
      </c>
    </row>
    <row r="253" spans="1:41" x14ac:dyDescent="0.35">
      <c r="A253">
        <v>802</v>
      </c>
      <c r="B253">
        <v>1</v>
      </c>
      <c r="C253">
        <v>18</v>
      </c>
      <c r="D253">
        <v>4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1795</v>
      </c>
      <c r="K253">
        <v>0</v>
      </c>
      <c r="L253">
        <v>4</v>
      </c>
      <c r="M253">
        <v>3</v>
      </c>
      <c r="N253">
        <v>0</v>
      </c>
      <c r="O253">
        <v>0</v>
      </c>
      <c r="P253">
        <v>0</v>
      </c>
      <c r="Q253">
        <v>1</v>
      </c>
      <c r="R253">
        <v>4</v>
      </c>
      <c r="S253">
        <v>1</v>
      </c>
      <c r="T253">
        <v>0</v>
      </c>
      <c r="U253">
        <v>48</v>
      </c>
      <c r="V253">
        <v>1</v>
      </c>
      <c r="W253">
        <v>1</v>
      </c>
      <c r="X253">
        <v>0</v>
      </c>
      <c r="Y253">
        <v>2</v>
      </c>
      <c r="Z253">
        <v>1</v>
      </c>
      <c r="AA253">
        <v>1</v>
      </c>
      <c r="AB253">
        <v>1</v>
      </c>
      <c r="AC253">
        <v>0</v>
      </c>
      <c r="AD253">
        <v>1</v>
      </c>
      <c r="AE253">
        <v>802</v>
      </c>
      <c r="AF253">
        <v>1</v>
      </c>
      <c r="AG253">
        <v>0</v>
      </c>
      <c r="AI253">
        <v>1</v>
      </c>
      <c r="AJ253">
        <v>1</v>
      </c>
      <c r="AK253">
        <v>1</v>
      </c>
      <c r="AL253">
        <v>0.45632977142672299</v>
      </c>
      <c r="AM253">
        <v>-0.45632977142672299</v>
      </c>
      <c r="AN253">
        <v>0.54367022857327596</v>
      </c>
      <c r="AO253">
        <v>0.45632977142672299</v>
      </c>
    </row>
    <row r="254" spans="1:41" x14ac:dyDescent="0.35">
      <c r="A254">
        <v>808</v>
      </c>
      <c r="B254">
        <v>3</v>
      </c>
      <c r="C254">
        <v>12</v>
      </c>
      <c r="D254">
        <v>4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930</v>
      </c>
      <c r="K254">
        <v>4</v>
      </c>
      <c r="L254">
        <v>4</v>
      </c>
      <c r="M254">
        <v>4</v>
      </c>
      <c r="N254">
        <v>0</v>
      </c>
      <c r="O254">
        <v>1</v>
      </c>
      <c r="P254">
        <v>0</v>
      </c>
      <c r="Q254">
        <v>0</v>
      </c>
      <c r="R254">
        <v>4</v>
      </c>
      <c r="S254">
        <v>1</v>
      </c>
      <c r="T254">
        <v>0</v>
      </c>
      <c r="U254">
        <v>65</v>
      </c>
      <c r="V254">
        <v>0</v>
      </c>
      <c r="W254">
        <v>0</v>
      </c>
      <c r="X254">
        <v>1</v>
      </c>
      <c r="Y254">
        <v>4</v>
      </c>
      <c r="Z254">
        <v>2</v>
      </c>
      <c r="AA254">
        <v>1</v>
      </c>
      <c r="AB254">
        <v>0</v>
      </c>
      <c r="AC254">
        <v>0</v>
      </c>
      <c r="AD254">
        <v>1</v>
      </c>
      <c r="AE254">
        <v>808</v>
      </c>
      <c r="AF254">
        <v>1</v>
      </c>
      <c r="AG254">
        <v>0</v>
      </c>
      <c r="AI254">
        <v>1</v>
      </c>
      <c r="AJ254">
        <v>1</v>
      </c>
      <c r="AK254">
        <v>1</v>
      </c>
      <c r="AL254">
        <v>1.24447309979862E-2</v>
      </c>
      <c r="AM254">
        <v>-1.24447309979862E-2</v>
      </c>
      <c r="AN254">
        <v>0.98755526900201296</v>
      </c>
      <c r="AO254">
        <v>1.24447309979862E-2</v>
      </c>
    </row>
    <row r="255" spans="1:41" x14ac:dyDescent="0.35">
      <c r="A255">
        <v>812</v>
      </c>
      <c r="B255">
        <v>1</v>
      </c>
      <c r="C255">
        <v>6</v>
      </c>
      <c r="D255">
        <v>2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484</v>
      </c>
      <c r="K255">
        <v>0</v>
      </c>
      <c r="L255">
        <v>3</v>
      </c>
      <c r="M255">
        <v>3</v>
      </c>
      <c r="N255">
        <v>0</v>
      </c>
      <c r="O255">
        <v>0</v>
      </c>
      <c r="P255">
        <v>1</v>
      </c>
      <c r="Q255">
        <v>1</v>
      </c>
      <c r="R255">
        <v>3</v>
      </c>
      <c r="S255">
        <v>1</v>
      </c>
      <c r="T255">
        <v>0</v>
      </c>
      <c r="U255">
        <v>28</v>
      </c>
      <c r="V255">
        <v>1</v>
      </c>
      <c r="W255">
        <v>0</v>
      </c>
      <c r="X255">
        <v>1</v>
      </c>
      <c r="Y255">
        <v>1</v>
      </c>
      <c r="Z255">
        <v>1</v>
      </c>
      <c r="AA255">
        <v>1</v>
      </c>
      <c r="AB255">
        <v>0</v>
      </c>
      <c r="AC255">
        <v>0</v>
      </c>
      <c r="AD255">
        <v>1</v>
      </c>
      <c r="AE255">
        <v>812</v>
      </c>
      <c r="AF255">
        <v>1</v>
      </c>
      <c r="AG255">
        <v>0</v>
      </c>
      <c r="AI255">
        <v>1</v>
      </c>
      <c r="AJ255">
        <v>1</v>
      </c>
      <c r="AK255">
        <v>1</v>
      </c>
      <c r="AL255">
        <v>0.339078111706832</v>
      </c>
      <c r="AM255">
        <v>-0.339078111706832</v>
      </c>
      <c r="AN255">
        <v>0.660921888293167</v>
      </c>
      <c r="AO255">
        <v>0.339078111706832</v>
      </c>
    </row>
    <row r="256" spans="1:41" x14ac:dyDescent="0.35">
      <c r="A256">
        <v>818</v>
      </c>
      <c r="B256">
        <v>3</v>
      </c>
      <c r="C256">
        <v>6</v>
      </c>
      <c r="D256">
        <v>4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1554</v>
      </c>
      <c r="K256">
        <v>0</v>
      </c>
      <c r="L256">
        <v>3</v>
      </c>
      <c r="M256">
        <v>1</v>
      </c>
      <c r="N256">
        <v>0</v>
      </c>
      <c r="O256">
        <v>0</v>
      </c>
      <c r="P256">
        <v>0</v>
      </c>
      <c r="Q256">
        <v>0</v>
      </c>
      <c r="R256">
        <v>2</v>
      </c>
      <c r="S256">
        <v>0</v>
      </c>
      <c r="T256">
        <v>0</v>
      </c>
      <c r="U256">
        <v>24</v>
      </c>
      <c r="V256">
        <v>0</v>
      </c>
      <c r="W256">
        <v>1</v>
      </c>
      <c r="X256">
        <v>0</v>
      </c>
      <c r="Y256">
        <v>2</v>
      </c>
      <c r="Z256">
        <v>2</v>
      </c>
      <c r="AA256">
        <v>1</v>
      </c>
      <c r="AB256">
        <v>1</v>
      </c>
      <c r="AC256">
        <v>0</v>
      </c>
      <c r="AD256">
        <v>1</v>
      </c>
      <c r="AE256">
        <v>818</v>
      </c>
      <c r="AF256">
        <v>1</v>
      </c>
      <c r="AG256">
        <v>0</v>
      </c>
      <c r="AI256">
        <v>1</v>
      </c>
      <c r="AJ256">
        <v>1</v>
      </c>
      <c r="AK256">
        <v>1</v>
      </c>
      <c r="AL256">
        <v>4.33175228916651E-2</v>
      </c>
      <c r="AM256">
        <v>-4.33175228916651E-2</v>
      </c>
      <c r="AN256">
        <v>0.95668247710833398</v>
      </c>
      <c r="AO256">
        <v>4.33175228916651E-2</v>
      </c>
    </row>
    <row r="257" spans="1:41" x14ac:dyDescent="0.35">
      <c r="A257">
        <v>821</v>
      </c>
      <c r="B257">
        <v>3</v>
      </c>
      <c r="C257">
        <v>12</v>
      </c>
      <c r="D257">
        <v>2</v>
      </c>
      <c r="E257">
        <v>1</v>
      </c>
      <c r="F257">
        <v>0</v>
      </c>
      <c r="G257">
        <v>0</v>
      </c>
      <c r="H257">
        <v>0</v>
      </c>
      <c r="I257">
        <v>0</v>
      </c>
      <c r="J257">
        <v>1101</v>
      </c>
      <c r="K257">
        <v>0</v>
      </c>
      <c r="L257">
        <v>2</v>
      </c>
      <c r="M257">
        <v>3</v>
      </c>
      <c r="N257">
        <v>0</v>
      </c>
      <c r="O257">
        <v>0</v>
      </c>
      <c r="P257">
        <v>1</v>
      </c>
      <c r="Q257">
        <v>0</v>
      </c>
      <c r="R257">
        <v>2</v>
      </c>
      <c r="S257">
        <v>1</v>
      </c>
      <c r="T257">
        <v>0</v>
      </c>
      <c r="U257">
        <v>27</v>
      </c>
      <c r="V257">
        <v>0</v>
      </c>
      <c r="W257">
        <v>0</v>
      </c>
      <c r="X257">
        <v>1</v>
      </c>
      <c r="Y257">
        <v>2</v>
      </c>
      <c r="Z257">
        <v>2</v>
      </c>
      <c r="AA257">
        <v>1</v>
      </c>
      <c r="AB257">
        <v>1</v>
      </c>
      <c r="AC257">
        <v>0</v>
      </c>
      <c r="AD257">
        <v>1</v>
      </c>
      <c r="AE257">
        <v>821</v>
      </c>
      <c r="AF257">
        <v>0</v>
      </c>
      <c r="AG257">
        <v>0</v>
      </c>
      <c r="AI257">
        <v>1</v>
      </c>
      <c r="AJ257">
        <v>1</v>
      </c>
      <c r="AK257">
        <v>1</v>
      </c>
      <c r="AL257">
        <v>0.18006855228368901</v>
      </c>
      <c r="AM257">
        <v>-0.18006855228368901</v>
      </c>
      <c r="AN257">
        <v>0.81993144771630999</v>
      </c>
      <c r="AO257">
        <v>0.18006855228368901</v>
      </c>
    </row>
    <row r="258" spans="1:41" x14ac:dyDescent="0.35">
      <c r="A258">
        <v>824</v>
      </c>
      <c r="B258">
        <v>0</v>
      </c>
      <c r="C258">
        <v>8</v>
      </c>
      <c r="D258">
        <v>4</v>
      </c>
      <c r="E258">
        <v>1</v>
      </c>
      <c r="F258">
        <v>0</v>
      </c>
      <c r="G258">
        <v>0</v>
      </c>
      <c r="H258">
        <v>0</v>
      </c>
      <c r="I258">
        <v>0</v>
      </c>
      <c r="J258">
        <v>731</v>
      </c>
      <c r="K258">
        <v>0</v>
      </c>
      <c r="L258">
        <v>4</v>
      </c>
      <c r="M258">
        <v>4</v>
      </c>
      <c r="N258">
        <v>0</v>
      </c>
      <c r="O258">
        <v>1</v>
      </c>
      <c r="P258">
        <v>0</v>
      </c>
      <c r="Q258">
        <v>0</v>
      </c>
      <c r="R258">
        <v>4</v>
      </c>
      <c r="S258">
        <v>1</v>
      </c>
      <c r="T258">
        <v>0</v>
      </c>
      <c r="U258">
        <v>47</v>
      </c>
      <c r="V258">
        <v>0</v>
      </c>
      <c r="W258">
        <v>0</v>
      </c>
      <c r="X258">
        <v>1</v>
      </c>
      <c r="Y258">
        <v>2</v>
      </c>
      <c r="Z258">
        <v>1</v>
      </c>
      <c r="AA258">
        <v>1</v>
      </c>
      <c r="AB258">
        <v>0</v>
      </c>
      <c r="AC258">
        <v>0</v>
      </c>
      <c r="AD258">
        <v>1</v>
      </c>
      <c r="AE258">
        <v>824</v>
      </c>
      <c r="AF258">
        <v>0</v>
      </c>
      <c r="AG258">
        <v>0</v>
      </c>
      <c r="AI258">
        <v>1</v>
      </c>
      <c r="AJ258">
        <v>1</v>
      </c>
      <c r="AK258">
        <v>1</v>
      </c>
      <c r="AL258">
        <v>0.37877783033996598</v>
      </c>
      <c r="AM258">
        <v>-0.37877783033996598</v>
      </c>
      <c r="AN258">
        <v>0.62122216966003296</v>
      </c>
      <c r="AO258">
        <v>0.37877783033996598</v>
      </c>
    </row>
    <row r="259" spans="1:41" x14ac:dyDescent="0.35">
      <c r="A259">
        <v>828</v>
      </c>
      <c r="B259">
        <v>3</v>
      </c>
      <c r="C259">
        <v>18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1</v>
      </c>
      <c r="J259">
        <v>4165</v>
      </c>
      <c r="K259">
        <v>0</v>
      </c>
      <c r="L259">
        <v>2</v>
      </c>
      <c r="M259">
        <v>2</v>
      </c>
      <c r="N259">
        <v>0</v>
      </c>
      <c r="O259">
        <v>1</v>
      </c>
      <c r="P259">
        <v>0</v>
      </c>
      <c r="Q259">
        <v>0</v>
      </c>
      <c r="R259">
        <v>2</v>
      </c>
      <c r="S259">
        <v>0</v>
      </c>
      <c r="T259">
        <v>0</v>
      </c>
      <c r="U259">
        <v>36</v>
      </c>
      <c r="V259">
        <v>1</v>
      </c>
      <c r="W259">
        <v>0</v>
      </c>
      <c r="X259">
        <v>1</v>
      </c>
      <c r="Y259">
        <v>2</v>
      </c>
      <c r="Z259">
        <v>2</v>
      </c>
      <c r="AA259">
        <v>2</v>
      </c>
      <c r="AB259">
        <v>0</v>
      </c>
      <c r="AC259">
        <v>0</v>
      </c>
      <c r="AD259">
        <v>0</v>
      </c>
      <c r="AE259">
        <v>828</v>
      </c>
      <c r="AF259">
        <v>0</v>
      </c>
      <c r="AG259">
        <v>0</v>
      </c>
      <c r="AI259">
        <v>1</v>
      </c>
      <c r="AJ259">
        <v>1</v>
      </c>
      <c r="AK259">
        <v>0</v>
      </c>
      <c r="AL259">
        <v>-0.78161963075600704</v>
      </c>
      <c r="AM259">
        <v>0.78161963075600704</v>
      </c>
      <c r="AN259">
        <v>0.78161963075600704</v>
      </c>
      <c r="AO259">
        <v>0.21838036924399201</v>
      </c>
    </row>
    <row r="260" spans="1:41" x14ac:dyDescent="0.35">
      <c r="A260">
        <v>831</v>
      </c>
      <c r="B260">
        <v>3</v>
      </c>
      <c r="C260">
        <v>24</v>
      </c>
      <c r="D260">
        <v>3</v>
      </c>
      <c r="E260">
        <v>0</v>
      </c>
      <c r="F260">
        <v>0</v>
      </c>
      <c r="G260">
        <v>0</v>
      </c>
      <c r="H260">
        <v>0</v>
      </c>
      <c r="I260">
        <v>1</v>
      </c>
      <c r="J260">
        <v>2375</v>
      </c>
      <c r="K260">
        <v>2</v>
      </c>
      <c r="L260">
        <v>2</v>
      </c>
      <c r="M260">
        <v>4</v>
      </c>
      <c r="N260">
        <v>0</v>
      </c>
      <c r="O260">
        <v>1</v>
      </c>
      <c r="P260">
        <v>0</v>
      </c>
      <c r="Q260">
        <v>0</v>
      </c>
      <c r="R260">
        <v>2</v>
      </c>
      <c r="S260">
        <v>0</v>
      </c>
      <c r="T260">
        <v>0</v>
      </c>
      <c r="U260">
        <v>44</v>
      </c>
      <c r="V260">
        <v>0</v>
      </c>
      <c r="W260">
        <v>0</v>
      </c>
      <c r="X260">
        <v>1</v>
      </c>
      <c r="Y260">
        <v>2</v>
      </c>
      <c r="Z260">
        <v>2</v>
      </c>
      <c r="AA260">
        <v>2</v>
      </c>
      <c r="AB260">
        <v>1</v>
      </c>
      <c r="AC260">
        <v>0</v>
      </c>
      <c r="AD260">
        <v>1</v>
      </c>
      <c r="AE260">
        <v>831</v>
      </c>
      <c r="AF260">
        <v>0</v>
      </c>
      <c r="AG260">
        <v>0</v>
      </c>
      <c r="AI260">
        <v>1</v>
      </c>
      <c r="AJ260">
        <v>1</v>
      </c>
      <c r="AK260">
        <v>1</v>
      </c>
      <c r="AL260">
        <v>0.13930861737078201</v>
      </c>
      <c r="AM260">
        <v>-0.13930861737078201</v>
      </c>
      <c r="AN260">
        <v>0.86069138262921696</v>
      </c>
      <c r="AO260">
        <v>0.13930861737078201</v>
      </c>
    </row>
    <row r="261" spans="1:41" x14ac:dyDescent="0.35">
      <c r="A261">
        <v>836</v>
      </c>
      <c r="B261">
        <v>0</v>
      </c>
      <c r="C261">
        <v>12</v>
      </c>
      <c r="D261">
        <v>0</v>
      </c>
      <c r="E261">
        <v>1</v>
      </c>
      <c r="F261">
        <v>0</v>
      </c>
      <c r="G261">
        <v>0</v>
      </c>
      <c r="H261">
        <v>0</v>
      </c>
      <c r="I261">
        <v>0</v>
      </c>
      <c r="J261">
        <v>1082</v>
      </c>
      <c r="K261">
        <v>0</v>
      </c>
      <c r="L261">
        <v>2</v>
      </c>
      <c r="M261">
        <v>4</v>
      </c>
      <c r="N261">
        <v>0</v>
      </c>
      <c r="O261">
        <v>1</v>
      </c>
      <c r="P261">
        <v>0</v>
      </c>
      <c r="Q261">
        <v>0</v>
      </c>
      <c r="R261">
        <v>4</v>
      </c>
      <c r="S261">
        <v>0</v>
      </c>
      <c r="T261">
        <v>0</v>
      </c>
      <c r="U261">
        <v>48</v>
      </c>
      <c r="V261">
        <v>1</v>
      </c>
      <c r="W261">
        <v>0</v>
      </c>
      <c r="X261">
        <v>1</v>
      </c>
      <c r="Y261">
        <v>2</v>
      </c>
      <c r="Z261">
        <v>2</v>
      </c>
      <c r="AA261">
        <v>1</v>
      </c>
      <c r="AB261">
        <v>0</v>
      </c>
      <c r="AC261">
        <v>0</v>
      </c>
      <c r="AD261">
        <v>0</v>
      </c>
      <c r="AE261">
        <v>836</v>
      </c>
      <c r="AF261">
        <v>0</v>
      </c>
      <c r="AG261">
        <v>0</v>
      </c>
      <c r="AI261">
        <v>0</v>
      </c>
      <c r="AJ261">
        <v>0</v>
      </c>
      <c r="AK261">
        <v>0</v>
      </c>
      <c r="AL261">
        <v>-0.17339559852280301</v>
      </c>
      <c r="AM261">
        <v>0.17339559852280301</v>
      </c>
      <c r="AN261">
        <v>0.17339559852280301</v>
      </c>
      <c r="AO261">
        <v>0.82660440147719605</v>
      </c>
    </row>
    <row r="262" spans="1:41" x14ac:dyDescent="0.35">
      <c r="A262">
        <v>838</v>
      </c>
      <c r="B262">
        <v>3</v>
      </c>
      <c r="C262">
        <v>4</v>
      </c>
      <c r="D262">
        <v>2</v>
      </c>
      <c r="E262">
        <v>0</v>
      </c>
      <c r="F262">
        <v>0</v>
      </c>
      <c r="G262">
        <v>1</v>
      </c>
      <c r="H262">
        <v>0</v>
      </c>
      <c r="I262">
        <v>0</v>
      </c>
      <c r="J262">
        <v>601</v>
      </c>
      <c r="K262">
        <v>0</v>
      </c>
      <c r="L262">
        <v>1</v>
      </c>
      <c r="M262">
        <v>1</v>
      </c>
      <c r="N262">
        <v>0</v>
      </c>
      <c r="O262">
        <v>0</v>
      </c>
      <c r="P262">
        <v>0</v>
      </c>
      <c r="Q262">
        <v>0</v>
      </c>
      <c r="R262">
        <v>3</v>
      </c>
      <c r="S262">
        <v>1</v>
      </c>
      <c r="T262">
        <v>0</v>
      </c>
      <c r="U262">
        <v>23</v>
      </c>
      <c r="V262">
        <v>0</v>
      </c>
      <c r="W262">
        <v>1</v>
      </c>
      <c r="X262">
        <v>0</v>
      </c>
      <c r="Y262">
        <v>1</v>
      </c>
      <c r="Z262">
        <v>1</v>
      </c>
      <c r="AA262">
        <v>2</v>
      </c>
      <c r="AB262">
        <v>0</v>
      </c>
      <c r="AC262">
        <v>0</v>
      </c>
      <c r="AD262">
        <v>1</v>
      </c>
      <c r="AE262">
        <v>838</v>
      </c>
      <c r="AF262">
        <v>0</v>
      </c>
      <c r="AG262">
        <v>0</v>
      </c>
      <c r="AI262">
        <v>1</v>
      </c>
      <c r="AJ262">
        <v>1</v>
      </c>
      <c r="AK262">
        <v>1</v>
      </c>
      <c r="AL262">
        <v>6.0267307380602798E-2</v>
      </c>
      <c r="AM262">
        <v>-6.0267307380602798E-2</v>
      </c>
      <c r="AN262">
        <v>0.93973269261939696</v>
      </c>
      <c r="AO262">
        <v>6.0267307380602798E-2</v>
      </c>
    </row>
    <row r="263" spans="1:41" x14ac:dyDescent="0.35">
      <c r="A263">
        <v>846</v>
      </c>
      <c r="B263">
        <v>1</v>
      </c>
      <c r="C263">
        <v>21</v>
      </c>
      <c r="D263">
        <v>2</v>
      </c>
      <c r="E263">
        <v>0</v>
      </c>
      <c r="F263">
        <v>0</v>
      </c>
      <c r="G263">
        <v>1</v>
      </c>
      <c r="H263">
        <v>0</v>
      </c>
      <c r="I263">
        <v>0</v>
      </c>
      <c r="J263">
        <v>3976</v>
      </c>
      <c r="K263">
        <v>4</v>
      </c>
      <c r="L263">
        <v>3</v>
      </c>
      <c r="M263">
        <v>2</v>
      </c>
      <c r="N263">
        <v>0</v>
      </c>
      <c r="O263">
        <v>1</v>
      </c>
      <c r="P263">
        <v>0</v>
      </c>
      <c r="Q263">
        <v>0</v>
      </c>
      <c r="R263">
        <v>3</v>
      </c>
      <c r="S263">
        <v>0</v>
      </c>
      <c r="T263">
        <v>0</v>
      </c>
      <c r="U263">
        <v>35</v>
      </c>
      <c r="V263">
        <v>0</v>
      </c>
      <c r="W263">
        <v>0</v>
      </c>
      <c r="X263">
        <v>1</v>
      </c>
      <c r="Y263">
        <v>1</v>
      </c>
      <c r="Z263">
        <v>2</v>
      </c>
      <c r="AA263">
        <v>1</v>
      </c>
      <c r="AB263">
        <v>1</v>
      </c>
      <c r="AC263">
        <v>0</v>
      </c>
      <c r="AD263">
        <v>1</v>
      </c>
      <c r="AE263">
        <v>846</v>
      </c>
      <c r="AF263">
        <v>0</v>
      </c>
      <c r="AG263">
        <v>0</v>
      </c>
      <c r="AI263">
        <v>1</v>
      </c>
      <c r="AJ263">
        <v>1</v>
      </c>
      <c r="AK263">
        <v>1</v>
      </c>
      <c r="AL263">
        <v>7.67751845141635E-2</v>
      </c>
      <c r="AM263">
        <v>-7.67751845141635E-2</v>
      </c>
      <c r="AN263">
        <v>0.92322481548583601</v>
      </c>
      <c r="AO263">
        <v>7.67751845141635E-2</v>
      </c>
    </row>
    <row r="264" spans="1:41" x14ac:dyDescent="0.35">
      <c r="A264">
        <v>852</v>
      </c>
      <c r="B264">
        <v>3</v>
      </c>
      <c r="C264">
        <v>24</v>
      </c>
      <c r="D264">
        <v>4</v>
      </c>
      <c r="E264">
        <v>0</v>
      </c>
      <c r="F264">
        <v>1</v>
      </c>
      <c r="G264">
        <v>0</v>
      </c>
      <c r="H264">
        <v>0</v>
      </c>
      <c r="I264">
        <v>0</v>
      </c>
      <c r="J264">
        <v>4042</v>
      </c>
      <c r="K264">
        <v>4</v>
      </c>
      <c r="L264">
        <v>3</v>
      </c>
      <c r="M264">
        <v>3</v>
      </c>
      <c r="N264">
        <v>0</v>
      </c>
      <c r="O264">
        <v>1</v>
      </c>
      <c r="P264">
        <v>0</v>
      </c>
      <c r="Q264">
        <v>0</v>
      </c>
      <c r="R264">
        <v>4</v>
      </c>
      <c r="S264">
        <v>0</v>
      </c>
      <c r="T264">
        <v>0</v>
      </c>
      <c r="U264">
        <v>43</v>
      </c>
      <c r="V264">
        <v>0</v>
      </c>
      <c r="W264">
        <v>0</v>
      </c>
      <c r="X264">
        <v>1</v>
      </c>
      <c r="Y264">
        <v>2</v>
      </c>
      <c r="Z264">
        <v>2</v>
      </c>
      <c r="AA264">
        <v>1</v>
      </c>
      <c r="AB264">
        <v>1</v>
      </c>
      <c r="AC264">
        <v>0</v>
      </c>
      <c r="AD264">
        <v>1</v>
      </c>
      <c r="AE264">
        <v>852</v>
      </c>
      <c r="AF264">
        <v>0</v>
      </c>
      <c r="AG264">
        <v>0</v>
      </c>
      <c r="AI264">
        <v>1</v>
      </c>
      <c r="AJ264">
        <v>1</v>
      </c>
      <c r="AK264">
        <v>1</v>
      </c>
      <c r="AL264">
        <v>1.72178150629641E-2</v>
      </c>
      <c r="AM264">
        <v>-1.72178150629641E-2</v>
      </c>
      <c r="AN264">
        <v>0.98278218493703495</v>
      </c>
      <c r="AO264">
        <v>1.72178150629641E-2</v>
      </c>
    </row>
    <row r="265" spans="1:41" x14ac:dyDescent="0.35">
      <c r="A265">
        <v>853</v>
      </c>
      <c r="B265">
        <v>3</v>
      </c>
      <c r="C265">
        <v>15</v>
      </c>
      <c r="D265">
        <v>4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1471</v>
      </c>
      <c r="K265">
        <v>0</v>
      </c>
      <c r="L265">
        <v>2</v>
      </c>
      <c r="M265">
        <v>4</v>
      </c>
      <c r="N265">
        <v>0</v>
      </c>
      <c r="O265">
        <v>1</v>
      </c>
      <c r="P265">
        <v>0</v>
      </c>
      <c r="Q265">
        <v>0</v>
      </c>
      <c r="R265">
        <v>4</v>
      </c>
      <c r="S265">
        <v>0</v>
      </c>
      <c r="T265">
        <v>1</v>
      </c>
      <c r="U265">
        <v>35</v>
      </c>
      <c r="V265">
        <v>0</v>
      </c>
      <c r="W265">
        <v>0</v>
      </c>
      <c r="X265">
        <v>0</v>
      </c>
      <c r="Y265">
        <v>2</v>
      </c>
      <c r="Z265">
        <v>2</v>
      </c>
      <c r="AA265">
        <v>1</v>
      </c>
      <c r="AB265">
        <v>1</v>
      </c>
      <c r="AC265">
        <v>0</v>
      </c>
      <c r="AD265">
        <v>1</v>
      </c>
      <c r="AE265">
        <v>853</v>
      </c>
      <c r="AF265">
        <v>1</v>
      </c>
      <c r="AG265">
        <v>0</v>
      </c>
      <c r="AI265">
        <v>1</v>
      </c>
      <c r="AJ265">
        <v>1</v>
      </c>
      <c r="AK265">
        <v>1</v>
      </c>
      <c r="AL265">
        <v>5.0503054996386403E-2</v>
      </c>
      <c r="AM265">
        <v>-5.0503054996386403E-2</v>
      </c>
      <c r="AN265">
        <v>0.94949694500361304</v>
      </c>
      <c r="AO265">
        <v>5.0503054996386403E-2</v>
      </c>
    </row>
    <row r="266" spans="1:41" x14ac:dyDescent="0.35">
      <c r="A266">
        <v>854</v>
      </c>
      <c r="B266">
        <v>0</v>
      </c>
      <c r="C266">
        <v>18</v>
      </c>
      <c r="D266">
        <v>1</v>
      </c>
      <c r="E266">
        <v>1</v>
      </c>
      <c r="F266">
        <v>0</v>
      </c>
      <c r="G266">
        <v>0</v>
      </c>
      <c r="H266">
        <v>0</v>
      </c>
      <c r="I266">
        <v>0</v>
      </c>
      <c r="J266">
        <v>1442</v>
      </c>
      <c r="K266">
        <v>0</v>
      </c>
      <c r="L266">
        <v>3</v>
      </c>
      <c r="M266">
        <v>4</v>
      </c>
      <c r="N266">
        <v>0</v>
      </c>
      <c r="O266">
        <v>1</v>
      </c>
      <c r="P266">
        <v>0</v>
      </c>
      <c r="Q266">
        <v>0</v>
      </c>
      <c r="R266">
        <v>4</v>
      </c>
      <c r="S266">
        <v>0</v>
      </c>
      <c r="T266">
        <v>1</v>
      </c>
      <c r="U266">
        <v>32</v>
      </c>
      <c r="V266">
        <v>0</v>
      </c>
      <c r="W266">
        <v>0</v>
      </c>
      <c r="X266">
        <v>0</v>
      </c>
      <c r="Y266">
        <v>2</v>
      </c>
      <c r="Z266">
        <v>1</v>
      </c>
      <c r="AA266">
        <v>2</v>
      </c>
      <c r="AB266">
        <v>0</v>
      </c>
      <c r="AC266">
        <v>0</v>
      </c>
      <c r="AD266">
        <v>0</v>
      </c>
      <c r="AE266">
        <v>854</v>
      </c>
      <c r="AF266">
        <v>0</v>
      </c>
      <c r="AG266">
        <v>0</v>
      </c>
      <c r="AI266">
        <v>0</v>
      </c>
      <c r="AJ266">
        <v>0</v>
      </c>
      <c r="AK266">
        <v>0</v>
      </c>
      <c r="AL266">
        <v>-0.233845983295212</v>
      </c>
      <c r="AM266">
        <v>0.233845983295212</v>
      </c>
      <c r="AN266">
        <v>0.233845983295212</v>
      </c>
      <c r="AO266">
        <v>0.766154016704787</v>
      </c>
    </row>
    <row r="267" spans="1:41" x14ac:dyDescent="0.35">
      <c r="A267">
        <v>864</v>
      </c>
      <c r="B267">
        <v>3</v>
      </c>
      <c r="C267">
        <v>27</v>
      </c>
      <c r="D267">
        <v>4</v>
      </c>
      <c r="E267">
        <v>0</v>
      </c>
      <c r="F267">
        <v>0</v>
      </c>
      <c r="G267">
        <v>1</v>
      </c>
      <c r="H267">
        <v>0</v>
      </c>
      <c r="I267">
        <v>0</v>
      </c>
      <c r="J267">
        <v>4526</v>
      </c>
      <c r="K267">
        <v>3</v>
      </c>
      <c r="L267">
        <v>1</v>
      </c>
      <c r="M267">
        <v>4</v>
      </c>
      <c r="N267">
        <v>0</v>
      </c>
      <c r="O267">
        <v>1</v>
      </c>
      <c r="P267">
        <v>0</v>
      </c>
      <c r="Q267">
        <v>0</v>
      </c>
      <c r="R267">
        <v>2</v>
      </c>
      <c r="S267">
        <v>1</v>
      </c>
      <c r="T267">
        <v>0</v>
      </c>
      <c r="U267">
        <v>32</v>
      </c>
      <c r="V267">
        <v>1</v>
      </c>
      <c r="W267">
        <v>0</v>
      </c>
      <c r="X267">
        <v>1</v>
      </c>
      <c r="Y267">
        <v>2</v>
      </c>
      <c r="Z267">
        <v>1</v>
      </c>
      <c r="AA267">
        <v>2</v>
      </c>
      <c r="AB267">
        <v>1</v>
      </c>
      <c r="AC267">
        <v>0</v>
      </c>
      <c r="AD267">
        <v>1</v>
      </c>
      <c r="AE267">
        <v>864</v>
      </c>
      <c r="AF267">
        <v>0</v>
      </c>
      <c r="AG267">
        <v>0</v>
      </c>
      <c r="AI267">
        <v>1</v>
      </c>
      <c r="AJ267">
        <v>1</v>
      </c>
      <c r="AK267">
        <v>1</v>
      </c>
      <c r="AL267">
        <v>5.0445515076565098E-2</v>
      </c>
      <c r="AM267">
        <v>-5.0445515076565098E-2</v>
      </c>
      <c r="AN267">
        <v>0.94955448492343397</v>
      </c>
      <c r="AO267">
        <v>5.0445515076565098E-2</v>
      </c>
    </row>
    <row r="268" spans="1:41" x14ac:dyDescent="0.35">
      <c r="A268">
        <v>865</v>
      </c>
      <c r="B268">
        <v>3</v>
      </c>
      <c r="C268">
        <v>10</v>
      </c>
      <c r="D268">
        <v>2</v>
      </c>
      <c r="E268">
        <v>0</v>
      </c>
      <c r="F268">
        <v>0</v>
      </c>
      <c r="G268">
        <v>1</v>
      </c>
      <c r="H268">
        <v>0</v>
      </c>
      <c r="I268">
        <v>0</v>
      </c>
      <c r="J268">
        <v>2210</v>
      </c>
      <c r="K268">
        <v>0</v>
      </c>
      <c r="L268">
        <v>2</v>
      </c>
      <c r="M268">
        <v>2</v>
      </c>
      <c r="N268">
        <v>0</v>
      </c>
      <c r="O268">
        <v>1</v>
      </c>
      <c r="P268">
        <v>0</v>
      </c>
      <c r="Q268">
        <v>0</v>
      </c>
      <c r="R268">
        <v>2</v>
      </c>
      <c r="S268">
        <v>1</v>
      </c>
      <c r="T268">
        <v>0</v>
      </c>
      <c r="U268">
        <v>25</v>
      </c>
      <c r="V268">
        <v>1</v>
      </c>
      <c r="W268">
        <v>1</v>
      </c>
      <c r="X268">
        <v>0</v>
      </c>
      <c r="Y268">
        <v>1</v>
      </c>
      <c r="Z268">
        <v>1</v>
      </c>
      <c r="AA268">
        <v>1</v>
      </c>
      <c r="AB268">
        <v>0</v>
      </c>
      <c r="AC268">
        <v>0</v>
      </c>
      <c r="AD268">
        <v>0</v>
      </c>
      <c r="AE268">
        <v>865</v>
      </c>
      <c r="AF268">
        <v>0</v>
      </c>
      <c r="AG268">
        <v>0</v>
      </c>
      <c r="AI268">
        <v>1</v>
      </c>
      <c r="AJ268">
        <v>1</v>
      </c>
      <c r="AK268">
        <v>0</v>
      </c>
      <c r="AL268">
        <v>-0.88584428231078605</v>
      </c>
      <c r="AM268">
        <v>0.88584428231078605</v>
      </c>
      <c r="AN268">
        <v>0.88584428231078605</v>
      </c>
      <c r="AO268">
        <v>0.114155717689213</v>
      </c>
    </row>
    <row r="269" spans="1:41" x14ac:dyDescent="0.35">
      <c r="A269">
        <v>866</v>
      </c>
      <c r="B269">
        <v>3</v>
      </c>
      <c r="C269">
        <v>15</v>
      </c>
      <c r="D269">
        <v>2</v>
      </c>
      <c r="E269">
        <v>0</v>
      </c>
      <c r="F269">
        <v>0</v>
      </c>
      <c r="G269">
        <v>1</v>
      </c>
      <c r="H269">
        <v>0</v>
      </c>
      <c r="I269">
        <v>0</v>
      </c>
      <c r="J269">
        <v>2221</v>
      </c>
      <c r="K269">
        <v>2</v>
      </c>
      <c r="L269">
        <v>2</v>
      </c>
      <c r="M269">
        <v>2</v>
      </c>
      <c r="N269">
        <v>0</v>
      </c>
      <c r="O269">
        <v>0</v>
      </c>
      <c r="P269">
        <v>0</v>
      </c>
      <c r="Q269">
        <v>0</v>
      </c>
      <c r="R269">
        <v>4</v>
      </c>
      <c r="S269">
        <v>0</v>
      </c>
      <c r="T269">
        <v>0</v>
      </c>
      <c r="U269">
        <v>20</v>
      </c>
      <c r="V269">
        <v>0</v>
      </c>
      <c r="W269">
        <v>1</v>
      </c>
      <c r="X269">
        <v>0</v>
      </c>
      <c r="Y269">
        <v>1</v>
      </c>
      <c r="Z269">
        <v>2</v>
      </c>
      <c r="AA269">
        <v>1</v>
      </c>
      <c r="AB269">
        <v>0</v>
      </c>
      <c r="AC269">
        <v>0</v>
      </c>
      <c r="AD269">
        <v>1</v>
      </c>
      <c r="AE269">
        <v>866</v>
      </c>
      <c r="AF269">
        <v>0</v>
      </c>
      <c r="AG269">
        <v>0</v>
      </c>
      <c r="AI269">
        <v>1</v>
      </c>
      <c r="AJ269">
        <v>1</v>
      </c>
      <c r="AK269">
        <v>1</v>
      </c>
      <c r="AL269">
        <v>0.121312257750434</v>
      </c>
      <c r="AM269">
        <v>-0.121312257750434</v>
      </c>
      <c r="AN269">
        <v>0.87868774224956503</v>
      </c>
      <c r="AO269">
        <v>0.121312257750434</v>
      </c>
    </row>
    <row r="270" spans="1:41" x14ac:dyDescent="0.35">
      <c r="A270">
        <v>867</v>
      </c>
      <c r="B270">
        <v>0</v>
      </c>
      <c r="C270">
        <v>18</v>
      </c>
      <c r="D270">
        <v>2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2389</v>
      </c>
      <c r="K270">
        <v>0</v>
      </c>
      <c r="L270">
        <v>1</v>
      </c>
      <c r="M270">
        <v>4</v>
      </c>
      <c r="N270">
        <v>0</v>
      </c>
      <c r="O270">
        <v>0</v>
      </c>
      <c r="P270">
        <v>0</v>
      </c>
      <c r="Q270">
        <v>0</v>
      </c>
      <c r="R270">
        <v>1</v>
      </c>
      <c r="S270">
        <v>0</v>
      </c>
      <c r="T270">
        <v>0</v>
      </c>
      <c r="U270">
        <v>27</v>
      </c>
      <c r="V270">
        <v>1</v>
      </c>
      <c r="W270">
        <v>0</v>
      </c>
      <c r="X270">
        <v>1</v>
      </c>
      <c r="Y270">
        <v>1</v>
      </c>
      <c r="Z270">
        <v>2</v>
      </c>
      <c r="AA270">
        <v>1</v>
      </c>
      <c r="AB270">
        <v>0</v>
      </c>
      <c r="AC270">
        <v>0</v>
      </c>
      <c r="AD270">
        <v>1</v>
      </c>
      <c r="AE270">
        <v>867</v>
      </c>
      <c r="AF270">
        <v>1</v>
      </c>
      <c r="AG270">
        <v>0</v>
      </c>
      <c r="AI270">
        <v>0</v>
      </c>
      <c r="AJ270">
        <v>0</v>
      </c>
      <c r="AK270">
        <v>1</v>
      </c>
      <c r="AL270">
        <v>0.62665073003164995</v>
      </c>
      <c r="AM270">
        <v>-0.62665073003164995</v>
      </c>
      <c r="AN270">
        <v>0.373349269968349</v>
      </c>
      <c r="AO270">
        <v>0.62665073003164995</v>
      </c>
    </row>
    <row r="271" spans="1:41" x14ac:dyDescent="0.35">
      <c r="A271">
        <v>869</v>
      </c>
      <c r="B271">
        <v>3</v>
      </c>
      <c r="C271">
        <v>36</v>
      </c>
      <c r="D271">
        <v>2</v>
      </c>
      <c r="E271">
        <v>0</v>
      </c>
      <c r="F271">
        <v>0</v>
      </c>
      <c r="G271">
        <v>0</v>
      </c>
      <c r="H271">
        <v>0</v>
      </c>
      <c r="I271">
        <v>1</v>
      </c>
      <c r="J271">
        <v>7409</v>
      </c>
      <c r="K271">
        <v>4</v>
      </c>
      <c r="L271">
        <v>4</v>
      </c>
      <c r="M271">
        <v>3</v>
      </c>
      <c r="N271">
        <v>0</v>
      </c>
      <c r="O271">
        <v>1</v>
      </c>
      <c r="P271">
        <v>0</v>
      </c>
      <c r="Q271">
        <v>0</v>
      </c>
      <c r="R271">
        <v>2</v>
      </c>
      <c r="S271">
        <v>0</v>
      </c>
      <c r="T271">
        <v>0</v>
      </c>
      <c r="U271">
        <v>37</v>
      </c>
      <c r="V271">
        <v>0</v>
      </c>
      <c r="W271">
        <v>0</v>
      </c>
      <c r="X271">
        <v>1</v>
      </c>
      <c r="Y271">
        <v>2</v>
      </c>
      <c r="Z271">
        <v>2</v>
      </c>
      <c r="AA271">
        <v>1</v>
      </c>
      <c r="AB271">
        <v>0</v>
      </c>
      <c r="AC271">
        <v>0</v>
      </c>
      <c r="AD271">
        <v>1</v>
      </c>
      <c r="AE271">
        <v>869</v>
      </c>
      <c r="AF271">
        <v>0</v>
      </c>
      <c r="AG271">
        <v>0</v>
      </c>
      <c r="AI271">
        <v>1</v>
      </c>
      <c r="AJ271">
        <v>1</v>
      </c>
      <c r="AK271">
        <v>1</v>
      </c>
      <c r="AL271">
        <v>5.4301698826185497E-2</v>
      </c>
      <c r="AM271">
        <v>-5.4301698826185497E-2</v>
      </c>
      <c r="AN271">
        <v>0.94569830117381404</v>
      </c>
      <c r="AO271">
        <v>5.4301698826185497E-2</v>
      </c>
    </row>
    <row r="272" spans="1:41" x14ac:dyDescent="0.35">
      <c r="A272">
        <v>873</v>
      </c>
      <c r="B272">
        <v>0</v>
      </c>
      <c r="C272">
        <v>24</v>
      </c>
      <c r="D272">
        <v>4</v>
      </c>
      <c r="E272">
        <v>0</v>
      </c>
      <c r="F272">
        <v>0</v>
      </c>
      <c r="G272">
        <v>0</v>
      </c>
      <c r="H272">
        <v>0</v>
      </c>
      <c r="I272">
        <v>1</v>
      </c>
      <c r="J272">
        <v>1382</v>
      </c>
      <c r="K272">
        <v>1</v>
      </c>
      <c r="L272">
        <v>3</v>
      </c>
      <c r="M272">
        <v>4</v>
      </c>
      <c r="N272">
        <v>0</v>
      </c>
      <c r="O272">
        <v>1</v>
      </c>
      <c r="P272">
        <v>0</v>
      </c>
      <c r="Q272">
        <v>0</v>
      </c>
      <c r="R272">
        <v>1</v>
      </c>
      <c r="S272">
        <v>1</v>
      </c>
      <c r="T272">
        <v>0</v>
      </c>
      <c r="U272">
        <v>26</v>
      </c>
      <c r="V272">
        <v>0</v>
      </c>
      <c r="W272">
        <v>0</v>
      </c>
      <c r="X272">
        <v>1</v>
      </c>
      <c r="Y272">
        <v>2</v>
      </c>
      <c r="Z272">
        <v>2</v>
      </c>
      <c r="AA272">
        <v>1</v>
      </c>
      <c r="AB272">
        <v>1</v>
      </c>
      <c r="AC272">
        <v>0</v>
      </c>
      <c r="AD272">
        <v>1</v>
      </c>
      <c r="AE272">
        <v>873</v>
      </c>
      <c r="AF272">
        <v>0</v>
      </c>
      <c r="AG272">
        <v>0</v>
      </c>
      <c r="AI272">
        <v>1</v>
      </c>
      <c r="AJ272">
        <v>1</v>
      </c>
      <c r="AK272">
        <v>1</v>
      </c>
      <c r="AL272">
        <v>0.19064989284130099</v>
      </c>
      <c r="AM272">
        <v>-0.19064989284130099</v>
      </c>
      <c r="AN272">
        <v>0.80935010715869804</v>
      </c>
      <c r="AO272">
        <v>0.19064989284130099</v>
      </c>
    </row>
    <row r="273" spans="1:41" x14ac:dyDescent="0.35">
      <c r="A273">
        <v>875</v>
      </c>
      <c r="B273">
        <v>0</v>
      </c>
      <c r="C273">
        <v>12</v>
      </c>
      <c r="D273">
        <v>2</v>
      </c>
      <c r="E273">
        <v>0</v>
      </c>
      <c r="F273">
        <v>0</v>
      </c>
      <c r="G273">
        <v>1</v>
      </c>
      <c r="H273">
        <v>0</v>
      </c>
      <c r="I273">
        <v>0</v>
      </c>
      <c r="J273">
        <v>3590</v>
      </c>
      <c r="K273">
        <v>0</v>
      </c>
      <c r="L273">
        <v>2</v>
      </c>
      <c r="M273">
        <v>2</v>
      </c>
      <c r="N273">
        <v>0</v>
      </c>
      <c r="O273">
        <v>1</v>
      </c>
      <c r="P273">
        <v>0</v>
      </c>
      <c r="Q273">
        <v>0</v>
      </c>
      <c r="R273">
        <v>2</v>
      </c>
      <c r="S273">
        <v>0</v>
      </c>
      <c r="T273">
        <v>0</v>
      </c>
      <c r="U273">
        <v>29</v>
      </c>
      <c r="V273">
        <v>0</v>
      </c>
      <c r="W273">
        <v>0</v>
      </c>
      <c r="X273">
        <v>1</v>
      </c>
      <c r="Y273">
        <v>1</v>
      </c>
      <c r="Z273">
        <v>1</v>
      </c>
      <c r="AA273">
        <v>2</v>
      </c>
      <c r="AB273">
        <v>0</v>
      </c>
      <c r="AC273">
        <v>0</v>
      </c>
      <c r="AD273">
        <v>1</v>
      </c>
      <c r="AE273">
        <v>875</v>
      </c>
      <c r="AF273">
        <v>0</v>
      </c>
      <c r="AG273">
        <v>1</v>
      </c>
      <c r="AI273">
        <v>1</v>
      </c>
      <c r="AJ273">
        <v>1</v>
      </c>
      <c r="AK273">
        <v>1</v>
      </c>
      <c r="AL273">
        <v>0.25072264085755502</v>
      </c>
      <c r="AM273">
        <v>-0.25072264085755502</v>
      </c>
      <c r="AN273">
        <v>0.74927735914244398</v>
      </c>
      <c r="AO273">
        <v>0.25072264085755502</v>
      </c>
    </row>
    <row r="274" spans="1:41" x14ac:dyDescent="0.35">
      <c r="A274">
        <v>876</v>
      </c>
      <c r="B274">
        <v>1</v>
      </c>
      <c r="C274">
        <v>11</v>
      </c>
      <c r="D274">
        <v>4</v>
      </c>
      <c r="E274">
        <v>1</v>
      </c>
      <c r="F274">
        <v>0</v>
      </c>
      <c r="G274">
        <v>0</v>
      </c>
      <c r="H274">
        <v>0</v>
      </c>
      <c r="I274">
        <v>0</v>
      </c>
      <c r="J274">
        <v>1322</v>
      </c>
      <c r="K274">
        <v>3</v>
      </c>
      <c r="L274">
        <v>2</v>
      </c>
      <c r="M274">
        <v>4</v>
      </c>
      <c r="N274">
        <v>0</v>
      </c>
      <c r="O274">
        <v>0</v>
      </c>
      <c r="P274">
        <v>0</v>
      </c>
      <c r="Q274">
        <v>0</v>
      </c>
      <c r="R274">
        <v>4</v>
      </c>
      <c r="S274">
        <v>0</v>
      </c>
      <c r="T274">
        <v>0</v>
      </c>
      <c r="U274">
        <v>40</v>
      </c>
      <c r="V274">
        <v>0</v>
      </c>
      <c r="W274">
        <v>0</v>
      </c>
      <c r="X274">
        <v>1</v>
      </c>
      <c r="Y274">
        <v>2</v>
      </c>
      <c r="Z274">
        <v>2</v>
      </c>
      <c r="AA274">
        <v>1</v>
      </c>
      <c r="AB274">
        <v>0</v>
      </c>
      <c r="AC274">
        <v>0</v>
      </c>
      <c r="AD274">
        <v>1</v>
      </c>
      <c r="AE274">
        <v>876</v>
      </c>
      <c r="AF274">
        <v>0</v>
      </c>
      <c r="AG274">
        <v>0</v>
      </c>
      <c r="AI274">
        <v>1</v>
      </c>
      <c r="AJ274">
        <v>1</v>
      </c>
      <c r="AK274">
        <v>1</v>
      </c>
      <c r="AL274">
        <v>0.198537764060531</v>
      </c>
      <c r="AM274">
        <v>-0.198537764060531</v>
      </c>
      <c r="AN274">
        <v>0.80146223593946797</v>
      </c>
      <c r="AO274">
        <v>0.198537764060531</v>
      </c>
    </row>
    <row r="275" spans="1:41" x14ac:dyDescent="0.35">
      <c r="A275">
        <v>882</v>
      </c>
      <c r="B275">
        <v>3</v>
      </c>
      <c r="C275">
        <v>24</v>
      </c>
      <c r="D275">
        <v>2</v>
      </c>
      <c r="E275">
        <v>0</v>
      </c>
      <c r="F275">
        <v>1</v>
      </c>
      <c r="G275">
        <v>0</v>
      </c>
      <c r="H275">
        <v>0</v>
      </c>
      <c r="I275">
        <v>0</v>
      </c>
      <c r="J275">
        <v>9277</v>
      </c>
      <c r="K275">
        <v>4</v>
      </c>
      <c r="L275">
        <v>2</v>
      </c>
      <c r="M275">
        <v>2</v>
      </c>
      <c r="N275">
        <v>1</v>
      </c>
      <c r="O275">
        <v>0</v>
      </c>
      <c r="P275">
        <v>0</v>
      </c>
      <c r="Q275">
        <v>0</v>
      </c>
      <c r="R275">
        <v>4</v>
      </c>
      <c r="S275">
        <v>0</v>
      </c>
      <c r="T275">
        <v>1</v>
      </c>
      <c r="U275">
        <v>48</v>
      </c>
      <c r="V275">
        <v>0</v>
      </c>
      <c r="W275">
        <v>0</v>
      </c>
      <c r="X275">
        <v>0</v>
      </c>
      <c r="Y275">
        <v>1</v>
      </c>
      <c r="Z275">
        <v>2</v>
      </c>
      <c r="AA275">
        <v>1</v>
      </c>
      <c r="AB275">
        <v>1</v>
      </c>
      <c r="AC275">
        <v>0</v>
      </c>
      <c r="AD275">
        <v>1</v>
      </c>
      <c r="AE275">
        <v>882</v>
      </c>
      <c r="AF275">
        <v>0</v>
      </c>
      <c r="AG275">
        <v>0</v>
      </c>
      <c r="AI275">
        <v>1</v>
      </c>
      <c r="AJ275">
        <v>1</v>
      </c>
      <c r="AK275">
        <v>1</v>
      </c>
      <c r="AL275">
        <v>5.7427451954784103E-2</v>
      </c>
      <c r="AM275">
        <v>-5.7427451954784103E-2</v>
      </c>
      <c r="AN275">
        <v>0.94257254804521495</v>
      </c>
      <c r="AO275">
        <v>5.7427451954784103E-2</v>
      </c>
    </row>
    <row r="276" spans="1:41" x14ac:dyDescent="0.35">
      <c r="A276">
        <v>884</v>
      </c>
      <c r="B276">
        <v>3</v>
      </c>
      <c r="C276">
        <v>18</v>
      </c>
      <c r="D276">
        <v>4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1098</v>
      </c>
      <c r="K276">
        <v>0</v>
      </c>
      <c r="L276">
        <v>0</v>
      </c>
      <c r="M276">
        <v>4</v>
      </c>
      <c r="N276">
        <v>0</v>
      </c>
      <c r="O276">
        <v>0</v>
      </c>
      <c r="P276">
        <v>0</v>
      </c>
      <c r="Q276">
        <v>0</v>
      </c>
      <c r="R276">
        <v>4</v>
      </c>
      <c r="S276">
        <v>0</v>
      </c>
      <c r="T276">
        <v>0</v>
      </c>
      <c r="U276">
        <v>65</v>
      </c>
      <c r="V276">
        <v>0</v>
      </c>
      <c r="W276">
        <v>0</v>
      </c>
      <c r="X276">
        <v>1</v>
      </c>
      <c r="Y276">
        <v>2</v>
      </c>
      <c r="Z276">
        <v>0</v>
      </c>
      <c r="AA276">
        <v>1</v>
      </c>
      <c r="AB276">
        <v>0</v>
      </c>
      <c r="AC276">
        <v>0</v>
      </c>
      <c r="AD276">
        <v>1</v>
      </c>
      <c r="AE276">
        <v>884</v>
      </c>
      <c r="AF276">
        <v>1</v>
      </c>
      <c r="AG276">
        <v>0</v>
      </c>
      <c r="AI276">
        <v>1</v>
      </c>
      <c r="AJ276">
        <v>1</v>
      </c>
      <c r="AK276">
        <v>1</v>
      </c>
      <c r="AL276">
        <v>7.9785561145853598E-2</v>
      </c>
      <c r="AM276">
        <v>-7.9785561145853598E-2</v>
      </c>
      <c r="AN276">
        <v>0.920214438854146</v>
      </c>
      <c r="AO276">
        <v>7.9785561145853598E-2</v>
      </c>
    </row>
    <row r="277" spans="1:41" x14ac:dyDescent="0.35">
      <c r="A277">
        <v>891</v>
      </c>
      <c r="B277">
        <v>0</v>
      </c>
      <c r="C277">
        <v>27</v>
      </c>
      <c r="D277">
        <v>4</v>
      </c>
      <c r="E277">
        <v>0</v>
      </c>
      <c r="F277">
        <v>0</v>
      </c>
      <c r="G277">
        <v>0</v>
      </c>
      <c r="H277">
        <v>0</v>
      </c>
      <c r="I277">
        <v>1</v>
      </c>
      <c r="J277">
        <v>2442</v>
      </c>
      <c r="K277">
        <v>0</v>
      </c>
      <c r="L277">
        <v>4</v>
      </c>
      <c r="M277">
        <v>4</v>
      </c>
      <c r="N277">
        <v>0</v>
      </c>
      <c r="O277">
        <v>1</v>
      </c>
      <c r="P277">
        <v>0</v>
      </c>
      <c r="Q277">
        <v>0</v>
      </c>
      <c r="R277">
        <v>4</v>
      </c>
      <c r="S277">
        <v>0</v>
      </c>
      <c r="T277">
        <v>0</v>
      </c>
      <c r="U277">
        <v>43</v>
      </c>
      <c r="V277">
        <v>1</v>
      </c>
      <c r="W277">
        <v>0</v>
      </c>
      <c r="X277">
        <v>1</v>
      </c>
      <c r="Y277">
        <v>4</v>
      </c>
      <c r="Z277">
        <v>3</v>
      </c>
      <c r="AA277">
        <v>2</v>
      </c>
      <c r="AB277">
        <v>1</v>
      </c>
      <c r="AC277">
        <v>0</v>
      </c>
      <c r="AD277">
        <v>1</v>
      </c>
      <c r="AE277">
        <v>891</v>
      </c>
      <c r="AF277">
        <v>0</v>
      </c>
      <c r="AG277">
        <v>0</v>
      </c>
      <c r="AI277">
        <v>1</v>
      </c>
      <c r="AJ277">
        <v>1</v>
      </c>
      <c r="AK277">
        <v>1</v>
      </c>
      <c r="AL277">
        <v>0.44483440963613302</v>
      </c>
      <c r="AM277">
        <v>-0.44483440963613302</v>
      </c>
      <c r="AN277">
        <v>0.55516559036386603</v>
      </c>
      <c r="AO277">
        <v>0.44483440963613302</v>
      </c>
    </row>
    <row r="278" spans="1:41" x14ac:dyDescent="0.35">
      <c r="A278">
        <v>898</v>
      </c>
      <c r="B278">
        <v>3</v>
      </c>
      <c r="C278">
        <v>12</v>
      </c>
      <c r="D278">
        <v>4</v>
      </c>
      <c r="E278">
        <v>0</v>
      </c>
      <c r="F278">
        <v>0</v>
      </c>
      <c r="G278">
        <v>1</v>
      </c>
      <c r="H278">
        <v>0</v>
      </c>
      <c r="I278">
        <v>0</v>
      </c>
      <c r="J278">
        <v>1592</v>
      </c>
      <c r="K278">
        <v>3</v>
      </c>
      <c r="L278">
        <v>3</v>
      </c>
      <c r="M278">
        <v>3</v>
      </c>
      <c r="N278">
        <v>0</v>
      </c>
      <c r="O278">
        <v>0</v>
      </c>
      <c r="P278">
        <v>0</v>
      </c>
      <c r="Q278">
        <v>0</v>
      </c>
      <c r="R278">
        <v>2</v>
      </c>
      <c r="S278">
        <v>0</v>
      </c>
      <c r="T278">
        <v>0</v>
      </c>
      <c r="U278">
        <v>35</v>
      </c>
      <c r="V278">
        <v>0</v>
      </c>
      <c r="W278">
        <v>0</v>
      </c>
      <c r="X278">
        <v>1</v>
      </c>
      <c r="Y278">
        <v>1</v>
      </c>
      <c r="Z278">
        <v>2</v>
      </c>
      <c r="AA278">
        <v>1</v>
      </c>
      <c r="AB278">
        <v>0</v>
      </c>
      <c r="AC278">
        <v>1</v>
      </c>
      <c r="AD278">
        <v>1</v>
      </c>
      <c r="AE278">
        <v>898</v>
      </c>
      <c r="AF278">
        <v>0</v>
      </c>
      <c r="AG278">
        <v>0</v>
      </c>
      <c r="AI278">
        <v>1</v>
      </c>
      <c r="AJ278">
        <v>1</v>
      </c>
      <c r="AK278">
        <v>1</v>
      </c>
      <c r="AL278">
        <v>4.3633046768298796E-3</v>
      </c>
      <c r="AM278">
        <v>-4.3633046768298796E-3</v>
      </c>
      <c r="AN278">
        <v>0.99563669532317001</v>
      </c>
      <c r="AO278">
        <v>4.3633046768298796E-3</v>
      </c>
    </row>
    <row r="279" spans="1:41" x14ac:dyDescent="0.35">
      <c r="A279">
        <v>903</v>
      </c>
      <c r="B279">
        <v>3</v>
      </c>
      <c r="C279">
        <v>36</v>
      </c>
      <c r="D279">
        <v>4</v>
      </c>
      <c r="E279">
        <v>0</v>
      </c>
      <c r="F279">
        <v>1</v>
      </c>
      <c r="G279">
        <v>0</v>
      </c>
      <c r="H279">
        <v>0</v>
      </c>
      <c r="I279">
        <v>0</v>
      </c>
      <c r="J279">
        <v>10477</v>
      </c>
      <c r="K279">
        <v>4</v>
      </c>
      <c r="L279">
        <v>4</v>
      </c>
      <c r="M279">
        <v>2</v>
      </c>
      <c r="N279">
        <v>0</v>
      </c>
      <c r="O279">
        <v>1</v>
      </c>
      <c r="P279">
        <v>0</v>
      </c>
      <c r="Q279">
        <v>0</v>
      </c>
      <c r="R279">
        <v>4</v>
      </c>
      <c r="S279">
        <v>0</v>
      </c>
      <c r="T279">
        <v>1</v>
      </c>
      <c r="U279">
        <v>42</v>
      </c>
      <c r="V279">
        <v>0</v>
      </c>
      <c r="W279">
        <v>0</v>
      </c>
      <c r="X279">
        <v>0</v>
      </c>
      <c r="Y279">
        <v>2</v>
      </c>
      <c r="Z279">
        <v>2</v>
      </c>
      <c r="AA279">
        <v>1</v>
      </c>
      <c r="AB279">
        <v>0</v>
      </c>
      <c r="AC279">
        <v>0</v>
      </c>
      <c r="AD279">
        <v>1</v>
      </c>
      <c r="AE279">
        <v>903</v>
      </c>
      <c r="AF279">
        <v>0</v>
      </c>
      <c r="AG279">
        <v>0</v>
      </c>
      <c r="AI279">
        <v>1</v>
      </c>
      <c r="AJ279">
        <v>1</v>
      </c>
      <c r="AK279">
        <v>1</v>
      </c>
      <c r="AL279">
        <v>3.4480658489296698E-2</v>
      </c>
      <c r="AM279">
        <v>-3.4480658489296698E-2</v>
      </c>
      <c r="AN279">
        <v>0.96551934151070296</v>
      </c>
      <c r="AO279">
        <v>3.4480658489296698E-2</v>
      </c>
    </row>
    <row r="280" spans="1:41" x14ac:dyDescent="0.35">
      <c r="A280">
        <v>906</v>
      </c>
      <c r="B280">
        <v>0</v>
      </c>
      <c r="C280">
        <v>12</v>
      </c>
      <c r="D280">
        <v>2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1107</v>
      </c>
      <c r="K280">
        <v>0</v>
      </c>
      <c r="L280">
        <v>2</v>
      </c>
      <c r="M280">
        <v>2</v>
      </c>
      <c r="N280">
        <v>0</v>
      </c>
      <c r="O280">
        <v>1</v>
      </c>
      <c r="P280">
        <v>0</v>
      </c>
      <c r="Q280">
        <v>0</v>
      </c>
      <c r="R280">
        <v>2</v>
      </c>
      <c r="S280">
        <v>1</v>
      </c>
      <c r="T280">
        <v>0</v>
      </c>
      <c r="U280">
        <v>20</v>
      </c>
      <c r="V280">
        <v>0</v>
      </c>
      <c r="W280">
        <v>1</v>
      </c>
      <c r="X280">
        <v>0</v>
      </c>
      <c r="Y280">
        <v>1</v>
      </c>
      <c r="Z280">
        <v>3</v>
      </c>
      <c r="AA280">
        <v>2</v>
      </c>
      <c r="AB280">
        <v>1</v>
      </c>
      <c r="AC280">
        <v>0</v>
      </c>
      <c r="AD280">
        <v>1</v>
      </c>
      <c r="AE280">
        <v>906</v>
      </c>
      <c r="AF280">
        <v>1</v>
      </c>
      <c r="AG280">
        <v>0</v>
      </c>
      <c r="AI280">
        <v>1</v>
      </c>
      <c r="AJ280">
        <v>1</v>
      </c>
      <c r="AK280">
        <v>1</v>
      </c>
      <c r="AL280">
        <v>0.30460693408282602</v>
      </c>
      <c r="AM280">
        <v>-0.30460693408282602</v>
      </c>
      <c r="AN280">
        <v>0.69539306591717298</v>
      </c>
      <c r="AO280">
        <v>0.30460693408282602</v>
      </c>
    </row>
    <row r="281" spans="1:41" x14ac:dyDescent="0.35">
      <c r="A281">
        <v>914</v>
      </c>
      <c r="B281">
        <v>3</v>
      </c>
      <c r="C281">
        <v>11</v>
      </c>
      <c r="D281">
        <v>2</v>
      </c>
      <c r="E281">
        <v>0</v>
      </c>
      <c r="F281">
        <v>0</v>
      </c>
      <c r="G281">
        <v>0</v>
      </c>
      <c r="H281">
        <v>0</v>
      </c>
      <c r="I281">
        <v>1</v>
      </c>
      <c r="J281">
        <v>2142</v>
      </c>
      <c r="K281">
        <v>3</v>
      </c>
      <c r="L281">
        <v>4</v>
      </c>
      <c r="M281">
        <v>1</v>
      </c>
      <c r="N281">
        <v>1</v>
      </c>
      <c r="O281">
        <v>0</v>
      </c>
      <c r="P281">
        <v>0</v>
      </c>
      <c r="Q281">
        <v>0</v>
      </c>
      <c r="R281">
        <v>2</v>
      </c>
      <c r="S281">
        <v>1</v>
      </c>
      <c r="T281">
        <v>0</v>
      </c>
      <c r="U281">
        <v>28</v>
      </c>
      <c r="V281">
        <v>0</v>
      </c>
      <c r="W281">
        <v>0</v>
      </c>
      <c r="X281">
        <v>1</v>
      </c>
      <c r="Y281">
        <v>1</v>
      </c>
      <c r="Z281">
        <v>2</v>
      </c>
      <c r="AA281">
        <v>1</v>
      </c>
      <c r="AB281">
        <v>1</v>
      </c>
      <c r="AC281">
        <v>0</v>
      </c>
      <c r="AD281">
        <v>1</v>
      </c>
      <c r="AE281">
        <v>914</v>
      </c>
      <c r="AF281">
        <v>0</v>
      </c>
      <c r="AG281">
        <v>0</v>
      </c>
      <c r="AI281">
        <v>1</v>
      </c>
      <c r="AJ281">
        <v>1</v>
      </c>
      <c r="AK281">
        <v>1</v>
      </c>
      <c r="AL281">
        <v>1.6260885686369901E-2</v>
      </c>
      <c r="AM281">
        <v>-1.6260885686369901E-2</v>
      </c>
      <c r="AN281">
        <v>0.98373911431363004</v>
      </c>
      <c r="AO281">
        <v>1.6260885686369901E-2</v>
      </c>
    </row>
    <row r="282" spans="1:41" x14ac:dyDescent="0.35">
      <c r="A282">
        <v>919</v>
      </c>
      <c r="B282">
        <v>0</v>
      </c>
      <c r="C282">
        <v>24</v>
      </c>
      <c r="D282">
        <v>2</v>
      </c>
      <c r="E282">
        <v>0</v>
      </c>
      <c r="F282">
        <v>0</v>
      </c>
      <c r="G282">
        <v>1</v>
      </c>
      <c r="H282">
        <v>0</v>
      </c>
      <c r="I282">
        <v>0</v>
      </c>
      <c r="J282">
        <v>2359</v>
      </c>
      <c r="K282">
        <v>1</v>
      </c>
      <c r="L282">
        <v>0</v>
      </c>
      <c r="M282">
        <v>1</v>
      </c>
      <c r="N282">
        <v>1</v>
      </c>
      <c r="O282">
        <v>0</v>
      </c>
      <c r="P282">
        <v>0</v>
      </c>
      <c r="Q282">
        <v>0</v>
      </c>
      <c r="R282">
        <v>1</v>
      </c>
      <c r="S282">
        <v>0</v>
      </c>
      <c r="T282">
        <v>0</v>
      </c>
      <c r="U282">
        <v>33</v>
      </c>
      <c r="V282">
        <v>0</v>
      </c>
      <c r="W282">
        <v>0</v>
      </c>
      <c r="X282">
        <v>1</v>
      </c>
      <c r="Y282">
        <v>1</v>
      </c>
      <c r="Z282">
        <v>2</v>
      </c>
      <c r="AA282">
        <v>1</v>
      </c>
      <c r="AB282">
        <v>0</v>
      </c>
      <c r="AC282">
        <v>0</v>
      </c>
      <c r="AD282">
        <v>0</v>
      </c>
      <c r="AE282">
        <v>919</v>
      </c>
      <c r="AF282">
        <v>0</v>
      </c>
      <c r="AG282">
        <v>0</v>
      </c>
      <c r="AI282">
        <v>1</v>
      </c>
      <c r="AJ282">
        <v>1</v>
      </c>
      <c r="AK282">
        <v>0</v>
      </c>
      <c r="AL282">
        <v>-0.79132895111873502</v>
      </c>
      <c r="AM282">
        <v>0.79132895111873502</v>
      </c>
      <c r="AN282">
        <v>0.79132895111873502</v>
      </c>
      <c r="AO282">
        <v>0.208671048881264</v>
      </c>
    </row>
    <row r="283" spans="1:41" x14ac:dyDescent="0.35">
      <c r="A283">
        <v>922</v>
      </c>
      <c r="B283">
        <v>3</v>
      </c>
      <c r="C283">
        <v>48</v>
      </c>
      <c r="D283">
        <v>3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12749</v>
      </c>
      <c r="K283">
        <v>2</v>
      </c>
      <c r="L283">
        <v>3</v>
      </c>
      <c r="M283">
        <v>4</v>
      </c>
      <c r="N283">
        <v>0</v>
      </c>
      <c r="O283">
        <v>1</v>
      </c>
      <c r="P283">
        <v>0</v>
      </c>
      <c r="Q283">
        <v>0</v>
      </c>
      <c r="R283">
        <v>1</v>
      </c>
      <c r="S283">
        <v>0</v>
      </c>
      <c r="T283">
        <v>0</v>
      </c>
      <c r="U283">
        <v>37</v>
      </c>
      <c r="V283">
        <v>0</v>
      </c>
      <c r="W283">
        <v>0</v>
      </c>
      <c r="X283">
        <v>1</v>
      </c>
      <c r="Y283">
        <v>1</v>
      </c>
      <c r="Z283">
        <v>3</v>
      </c>
      <c r="AA283">
        <v>1</v>
      </c>
      <c r="AB283">
        <v>1</v>
      </c>
      <c r="AC283">
        <v>0</v>
      </c>
      <c r="AD283">
        <v>1</v>
      </c>
      <c r="AE283">
        <v>922</v>
      </c>
      <c r="AF283">
        <v>1</v>
      </c>
      <c r="AG283">
        <v>0</v>
      </c>
      <c r="AI283">
        <v>1</v>
      </c>
      <c r="AJ283">
        <v>1</v>
      </c>
      <c r="AK283">
        <v>1</v>
      </c>
      <c r="AL283">
        <v>0.48975568146130699</v>
      </c>
      <c r="AM283">
        <v>-0.48975568146130699</v>
      </c>
      <c r="AN283">
        <v>0.51024431853869201</v>
      </c>
      <c r="AO283">
        <v>0.48975568146130699</v>
      </c>
    </row>
    <row r="284" spans="1:41" x14ac:dyDescent="0.35">
      <c r="A284">
        <v>923</v>
      </c>
      <c r="B284">
        <v>0</v>
      </c>
      <c r="C284">
        <v>9</v>
      </c>
      <c r="D284">
        <v>2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1366</v>
      </c>
      <c r="K284">
        <v>0</v>
      </c>
      <c r="L284">
        <v>1</v>
      </c>
      <c r="M284">
        <v>3</v>
      </c>
      <c r="N284">
        <v>0</v>
      </c>
      <c r="O284">
        <v>0</v>
      </c>
      <c r="P284">
        <v>0</v>
      </c>
      <c r="Q284">
        <v>0</v>
      </c>
      <c r="R284">
        <v>4</v>
      </c>
      <c r="S284">
        <v>0</v>
      </c>
      <c r="T284">
        <v>0</v>
      </c>
      <c r="U284">
        <v>22</v>
      </c>
      <c r="V284">
        <v>0</v>
      </c>
      <c r="W284">
        <v>1</v>
      </c>
      <c r="X284">
        <v>0</v>
      </c>
      <c r="Y284">
        <v>1</v>
      </c>
      <c r="Z284">
        <v>2</v>
      </c>
      <c r="AA284">
        <v>1</v>
      </c>
      <c r="AB284">
        <v>0</v>
      </c>
      <c r="AC284">
        <v>0</v>
      </c>
      <c r="AD284">
        <v>0</v>
      </c>
      <c r="AE284">
        <v>923</v>
      </c>
      <c r="AF284">
        <v>1</v>
      </c>
      <c r="AG284">
        <v>0</v>
      </c>
      <c r="AI284">
        <v>1</v>
      </c>
      <c r="AJ284">
        <v>1</v>
      </c>
      <c r="AK284">
        <v>0</v>
      </c>
      <c r="AL284">
        <v>-0.52218638857308097</v>
      </c>
      <c r="AM284">
        <v>0.52218638857308097</v>
      </c>
      <c r="AN284">
        <v>0.52218638857308097</v>
      </c>
      <c r="AO284">
        <v>0.47781361142691903</v>
      </c>
    </row>
    <row r="285" spans="1:41" x14ac:dyDescent="0.35">
      <c r="A285">
        <v>924</v>
      </c>
      <c r="B285">
        <v>1</v>
      </c>
      <c r="C285">
        <v>12</v>
      </c>
      <c r="D285">
        <v>2</v>
      </c>
      <c r="E285">
        <v>1</v>
      </c>
      <c r="F285">
        <v>0</v>
      </c>
      <c r="G285">
        <v>0</v>
      </c>
      <c r="H285">
        <v>0</v>
      </c>
      <c r="I285">
        <v>0</v>
      </c>
      <c r="J285">
        <v>2002</v>
      </c>
      <c r="K285">
        <v>0</v>
      </c>
      <c r="L285">
        <v>3</v>
      </c>
      <c r="M285">
        <v>3</v>
      </c>
      <c r="N285">
        <v>0</v>
      </c>
      <c r="O285">
        <v>1</v>
      </c>
      <c r="P285">
        <v>0</v>
      </c>
      <c r="Q285">
        <v>0</v>
      </c>
      <c r="R285">
        <v>4</v>
      </c>
      <c r="S285">
        <v>0</v>
      </c>
      <c r="T285">
        <v>0</v>
      </c>
      <c r="U285">
        <v>30</v>
      </c>
      <c r="V285">
        <v>0</v>
      </c>
      <c r="W285">
        <v>1</v>
      </c>
      <c r="X285">
        <v>0</v>
      </c>
      <c r="Y285">
        <v>1</v>
      </c>
      <c r="Z285">
        <v>2</v>
      </c>
      <c r="AA285">
        <v>2</v>
      </c>
      <c r="AB285">
        <v>1</v>
      </c>
      <c r="AC285">
        <v>0</v>
      </c>
      <c r="AD285">
        <v>1</v>
      </c>
      <c r="AE285">
        <v>924</v>
      </c>
      <c r="AF285">
        <v>0</v>
      </c>
      <c r="AG285">
        <v>0</v>
      </c>
      <c r="AI285">
        <v>0</v>
      </c>
      <c r="AJ285">
        <v>0</v>
      </c>
      <c r="AK285">
        <v>1</v>
      </c>
      <c r="AL285">
        <v>0.534414411092338</v>
      </c>
      <c r="AM285">
        <v>-0.534414411092338</v>
      </c>
      <c r="AN285">
        <v>0.465585588907661</v>
      </c>
      <c r="AO285">
        <v>0.534414411092338</v>
      </c>
    </row>
    <row r="286" spans="1:41" x14ac:dyDescent="0.35">
      <c r="A286">
        <v>926</v>
      </c>
      <c r="B286">
        <v>0</v>
      </c>
      <c r="C286">
        <v>12</v>
      </c>
      <c r="D286">
        <v>1</v>
      </c>
      <c r="E286">
        <v>1</v>
      </c>
      <c r="F286">
        <v>0</v>
      </c>
      <c r="G286">
        <v>0</v>
      </c>
      <c r="H286">
        <v>0</v>
      </c>
      <c r="I286">
        <v>0</v>
      </c>
      <c r="J286">
        <v>697</v>
      </c>
      <c r="K286">
        <v>0</v>
      </c>
      <c r="L286">
        <v>1</v>
      </c>
      <c r="M286">
        <v>4</v>
      </c>
      <c r="N286">
        <v>0</v>
      </c>
      <c r="O286">
        <v>1</v>
      </c>
      <c r="P286">
        <v>0</v>
      </c>
      <c r="Q286">
        <v>0</v>
      </c>
      <c r="R286">
        <v>2</v>
      </c>
      <c r="S286">
        <v>0</v>
      </c>
      <c r="T286">
        <v>0</v>
      </c>
      <c r="U286">
        <v>46</v>
      </c>
      <c r="V286">
        <v>1</v>
      </c>
      <c r="W286">
        <v>0</v>
      </c>
      <c r="X286">
        <v>1</v>
      </c>
      <c r="Y286">
        <v>2</v>
      </c>
      <c r="Z286">
        <v>2</v>
      </c>
      <c r="AA286">
        <v>1</v>
      </c>
      <c r="AB286">
        <v>1</v>
      </c>
      <c r="AC286">
        <v>0</v>
      </c>
      <c r="AD286">
        <v>0</v>
      </c>
      <c r="AE286">
        <v>926</v>
      </c>
      <c r="AF286">
        <v>0</v>
      </c>
      <c r="AG286">
        <v>0</v>
      </c>
      <c r="AI286">
        <v>0</v>
      </c>
      <c r="AJ286">
        <v>0</v>
      </c>
      <c r="AK286">
        <v>0</v>
      </c>
      <c r="AL286">
        <v>-0.18883276580306399</v>
      </c>
      <c r="AM286">
        <v>0.18883276580306399</v>
      </c>
      <c r="AN286">
        <v>0.18883276580306399</v>
      </c>
      <c r="AO286">
        <v>0.81116723419693504</v>
      </c>
    </row>
    <row r="287" spans="1:41" x14ac:dyDescent="0.35">
      <c r="A287">
        <v>933</v>
      </c>
      <c r="B287">
        <v>3</v>
      </c>
      <c r="C287">
        <v>9</v>
      </c>
      <c r="D287">
        <v>4</v>
      </c>
      <c r="E287">
        <v>1</v>
      </c>
      <c r="F287">
        <v>0</v>
      </c>
      <c r="G287">
        <v>0</v>
      </c>
      <c r="H287">
        <v>0</v>
      </c>
      <c r="I287">
        <v>0</v>
      </c>
      <c r="J287">
        <v>1224</v>
      </c>
      <c r="K287">
        <v>0</v>
      </c>
      <c r="L287">
        <v>2</v>
      </c>
      <c r="M287">
        <v>3</v>
      </c>
      <c r="N287">
        <v>0</v>
      </c>
      <c r="O287">
        <v>1</v>
      </c>
      <c r="P287">
        <v>0</v>
      </c>
      <c r="Q287">
        <v>0</v>
      </c>
      <c r="R287">
        <v>1</v>
      </c>
      <c r="S287">
        <v>1</v>
      </c>
      <c r="T287">
        <v>0</v>
      </c>
      <c r="U287">
        <v>30</v>
      </c>
      <c r="V287">
        <v>0</v>
      </c>
      <c r="W287">
        <v>0</v>
      </c>
      <c r="X287">
        <v>1</v>
      </c>
      <c r="Y287">
        <v>2</v>
      </c>
      <c r="Z287">
        <v>2</v>
      </c>
      <c r="AA287">
        <v>1</v>
      </c>
      <c r="AB287">
        <v>0</v>
      </c>
      <c r="AC287">
        <v>0</v>
      </c>
      <c r="AD287">
        <v>1</v>
      </c>
      <c r="AE287">
        <v>933</v>
      </c>
      <c r="AF287">
        <v>0</v>
      </c>
      <c r="AG287">
        <v>0</v>
      </c>
      <c r="AI287">
        <v>1</v>
      </c>
      <c r="AJ287">
        <v>1</v>
      </c>
      <c r="AK287">
        <v>1</v>
      </c>
      <c r="AL287">
        <v>7.31047782667643E-2</v>
      </c>
      <c r="AM287">
        <v>-7.31047782667643E-2</v>
      </c>
      <c r="AN287">
        <v>0.92689522173323502</v>
      </c>
      <c r="AO287">
        <v>7.31047782667643E-2</v>
      </c>
    </row>
    <row r="288" spans="1:41" x14ac:dyDescent="0.35">
      <c r="A288">
        <v>940</v>
      </c>
      <c r="B288">
        <v>3</v>
      </c>
      <c r="C288">
        <v>24</v>
      </c>
      <c r="D288">
        <v>4</v>
      </c>
      <c r="E288">
        <v>0</v>
      </c>
      <c r="F288">
        <v>1</v>
      </c>
      <c r="G288">
        <v>0</v>
      </c>
      <c r="H288">
        <v>0</v>
      </c>
      <c r="I288">
        <v>0</v>
      </c>
      <c r="J288">
        <v>6842</v>
      </c>
      <c r="K288">
        <v>4</v>
      </c>
      <c r="L288">
        <v>2</v>
      </c>
      <c r="M288">
        <v>2</v>
      </c>
      <c r="N288">
        <v>0</v>
      </c>
      <c r="O288">
        <v>1</v>
      </c>
      <c r="P288">
        <v>0</v>
      </c>
      <c r="Q288">
        <v>0</v>
      </c>
      <c r="R288">
        <v>4</v>
      </c>
      <c r="S288">
        <v>0</v>
      </c>
      <c r="T288">
        <v>0</v>
      </c>
      <c r="U288">
        <v>46</v>
      </c>
      <c r="V288">
        <v>0</v>
      </c>
      <c r="W288">
        <v>0</v>
      </c>
      <c r="X288">
        <v>1</v>
      </c>
      <c r="Y288">
        <v>2</v>
      </c>
      <c r="Z288">
        <v>3</v>
      </c>
      <c r="AA288">
        <v>2</v>
      </c>
      <c r="AB288">
        <v>1</v>
      </c>
      <c r="AC288">
        <v>0</v>
      </c>
      <c r="AD288">
        <v>1</v>
      </c>
      <c r="AE288">
        <v>940</v>
      </c>
      <c r="AF288">
        <v>0</v>
      </c>
      <c r="AG288">
        <v>0</v>
      </c>
      <c r="AI288">
        <v>1</v>
      </c>
      <c r="AJ288">
        <v>1</v>
      </c>
      <c r="AK288">
        <v>1</v>
      </c>
      <c r="AL288">
        <v>1.72326444308941E-2</v>
      </c>
      <c r="AM288">
        <v>-1.72326444308941E-2</v>
      </c>
      <c r="AN288">
        <v>0.98276735556910499</v>
      </c>
      <c r="AO288">
        <v>1.72326444308941E-2</v>
      </c>
    </row>
    <row r="289" spans="1:41" x14ac:dyDescent="0.35">
      <c r="A289">
        <v>941</v>
      </c>
      <c r="B289">
        <v>3</v>
      </c>
      <c r="C289">
        <v>12</v>
      </c>
      <c r="D289">
        <v>2</v>
      </c>
      <c r="E289">
        <v>1</v>
      </c>
      <c r="F289">
        <v>0</v>
      </c>
      <c r="G289">
        <v>0</v>
      </c>
      <c r="H289">
        <v>0</v>
      </c>
      <c r="I289">
        <v>0</v>
      </c>
      <c r="J289">
        <v>3527</v>
      </c>
      <c r="K289">
        <v>4</v>
      </c>
      <c r="L289">
        <v>1</v>
      </c>
      <c r="M289">
        <v>2</v>
      </c>
      <c r="N289">
        <v>0</v>
      </c>
      <c r="O289">
        <v>1</v>
      </c>
      <c r="P289">
        <v>0</v>
      </c>
      <c r="Q289">
        <v>0</v>
      </c>
      <c r="R289">
        <v>3</v>
      </c>
      <c r="S289">
        <v>0</v>
      </c>
      <c r="T289">
        <v>0</v>
      </c>
      <c r="U289">
        <v>45</v>
      </c>
      <c r="V289">
        <v>0</v>
      </c>
      <c r="W289">
        <v>0</v>
      </c>
      <c r="X289">
        <v>1</v>
      </c>
      <c r="Y289">
        <v>1</v>
      </c>
      <c r="Z289">
        <v>3</v>
      </c>
      <c r="AA289">
        <v>2</v>
      </c>
      <c r="AB289">
        <v>1</v>
      </c>
      <c r="AC289">
        <v>0</v>
      </c>
      <c r="AD289">
        <v>1</v>
      </c>
      <c r="AE289">
        <v>941</v>
      </c>
      <c r="AF289">
        <v>0</v>
      </c>
      <c r="AG289">
        <v>0</v>
      </c>
      <c r="AI289">
        <v>1</v>
      </c>
      <c r="AJ289">
        <v>1</v>
      </c>
      <c r="AK289">
        <v>1</v>
      </c>
      <c r="AL289">
        <v>3.485577959438E-2</v>
      </c>
      <c r="AM289">
        <v>-3.485577959438E-2</v>
      </c>
      <c r="AN289">
        <v>0.96514422040561998</v>
      </c>
      <c r="AO289">
        <v>3.485577959438E-2</v>
      </c>
    </row>
    <row r="290" spans="1:41" x14ac:dyDescent="0.35">
      <c r="A290">
        <v>945</v>
      </c>
      <c r="B290">
        <v>0</v>
      </c>
      <c r="C290">
        <v>15</v>
      </c>
      <c r="D290">
        <v>2</v>
      </c>
      <c r="E290">
        <v>0</v>
      </c>
      <c r="F290">
        <v>0</v>
      </c>
      <c r="G290">
        <v>1</v>
      </c>
      <c r="H290">
        <v>0</v>
      </c>
      <c r="I290">
        <v>0</v>
      </c>
      <c r="J290">
        <v>1845</v>
      </c>
      <c r="K290">
        <v>0</v>
      </c>
      <c r="L290">
        <v>1</v>
      </c>
      <c r="M290">
        <v>4</v>
      </c>
      <c r="N290">
        <v>0</v>
      </c>
      <c r="O290">
        <v>0</v>
      </c>
      <c r="P290">
        <v>0</v>
      </c>
      <c r="Q290">
        <v>1</v>
      </c>
      <c r="R290">
        <v>1</v>
      </c>
      <c r="S290">
        <v>0</v>
      </c>
      <c r="T290">
        <v>0</v>
      </c>
      <c r="U290">
        <v>46</v>
      </c>
      <c r="V290">
        <v>0</v>
      </c>
      <c r="W290">
        <v>1</v>
      </c>
      <c r="X290">
        <v>0</v>
      </c>
      <c r="Y290">
        <v>1</v>
      </c>
      <c r="Z290">
        <v>2</v>
      </c>
      <c r="AA290">
        <v>1</v>
      </c>
      <c r="AB290">
        <v>0</v>
      </c>
      <c r="AC290">
        <v>0</v>
      </c>
      <c r="AD290">
        <v>1</v>
      </c>
      <c r="AE290">
        <v>945</v>
      </c>
      <c r="AF290">
        <v>0</v>
      </c>
      <c r="AG290">
        <v>0</v>
      </c>
      <c r="AI290">
        <v>0</v>
      </c>
      <c r="AJ290">
        <v>0</v>
      </c>
      <c r="AK290">
        <v>1</v>
      </c>
      <c r="AL290">
        <v>0.60689497673686199</v>
      </c>
      <c r="AM290">
        <v>-0.60689497673686199</v>
      </c>
      <c r="AN290">
        <v>0.39310502326313701</v>
      </c>
      <c r="AO290">
        <v>0.60689497673686199</v>
      </c>
    </row>
    <row r="291" spans="1:41" x14ac:dyDescent="0.35">
      <c r="A291">
        <v>951</v>
      </c>
      <c r="B291">
        <v>1</v>
      </c>
      <c r="C291">
        <v>18</v>
      </c>
      <c r="D291">
        <v>4</v>
      </c>
      <c r="E291">
        <v>0</v>
      </c>
      <c r="F291">
        <v>0</v>
      </c>
      <c r="G291">
        <v>0</v>
      </c>
      <c r="H291">
        <v>0</v>
      </c>
      <c r="I291">
        <v>1</v>
      </c>
      <c r="J291">
        <v>3590</v>
      </c>
      <c r="K291">
        <v>0</v>
      </c>
      <c r="L291">
        <v>0</v>
      </c>
      <c r="M291">
        <v>3</v>
      </c>
      <c r="N291">
        <v>0</v>
      </c>
      <c r="O291">
        <v>0</v>
      </c>
      <c r="P291">
        <v>1</v>
      </c>
      <c r="Q291">
        <v>0</v>
      </c>
      <c r="R291">
        <v>3</v>
      </c>
      <c r="S291">
        <v>0</v>
      </c>
      <c r="T291">
        <v>0</v>
      </c>
      <c r="U291">
        <v>40</v>
      </c>
      <c r="V291">
        <v>0</v>
      </c>
      <c r="W291">
        <v>0</v>
      </c>
      <c r="X291">
        <v>1</v>
      </c>
      <c r="Y291">
        <v>3</v>
      </c>
      <c r="Z291">
        <v>0</v>
      </c>
      <c r="AA291">
        <v>2</v>
      </c>
      <c r="AB291">
        <v>1</v>
      </c>
      <c r="AC291">
        <v>0</v>
      </c>
      <c r="AD291">
        <v>1</v>
      </c>
      <c r="AE291">
        <v>951</v>
      </c>
      <c r="AF291">
        <v>0</v>
      </c>
      <c r="AG291">
        <v>0</v>
      </c>
      <c r="AI291">
        <v>1</v>
      </c>
      <c r="AJ291">
        <v>1</v>
      </c>
      <c r="AK291">
        <v>1</v>
      </c>
      <c r="AL291">
        <v>0.26372518499678599</v>
      </c>
      <c r="AM291">
        <v>-0.26372518499678599</v>
      </c>
      <c r="AN291">
        <v>0.73627481500321301</v>
      </c>
      <c r="AO291">
        <v>0.26372518499678599</v>
      </c>
    </row>
    <row r="292" spans="1:41" x14ac:dyDescent="0.35">
      <c r="A292">
        <v>964</v>
      </c>
      <c r="B292">
        <v>3</v>
      </c>
      <c r="C292">
        <v>24</v>
      </c>
      <c r="D292">
        <v>2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2397</v>
      </c>
      <c r="K292">
        <v>2</v>
      </c>
      <c r="L292">
        <v>4</v>
      </c>
      <c r="M292">
        <v>3</v>
      </c>
      <c r="N292">
        <v>0</v>
      </c>
      <c r="O292">
        <v>1</v>
      </c>
      <c r="P292">
        <v>0</v>
      </c>
      <c r="Q292">
        <v>0</v>
      </c>
      <c r="R292">
        <v>2</v>
      </c>
      <c r="S292">
        <v>0</v>
      </c>
      <c r="T292">
        <v>0</v>
      </c>
      <c r="U292">
        <v>35</v>
      </c>
      <c r="V292">
        <v>1</v>
      </c>
      <c r="W292">
        <v>0</v>
      </c>
      <c r="X292">
        <v>1</v>
      </c>
      <c r="Y292">
        <v>2</v>
      </c>
      <c r="Z292">
        <v>2</v>
      </c>
      <c r="AA292">
        <v>1</v>
      </c>
      <c r="AB292">
        <v>1</v>
      </c>
      <c r="AC292">
        <v>0</v>
      </c>
      <c r="AD292">
        <v>0</v>
      </c>
      <c r="AE292">
        <v>964</v>
      </c>
      <c r="AF292">
        <v>1</v>
      </c>
      <c r="AG292">
        <v>0</v>
      </c>
      <c r="AI292">
        <v>1</v>
      </c>
      <c r="AJ292">
        <v>1</v>
      </c>
      <c r="AK292">
        <v>0</v>
      </c>
      <c r="AL292">
        <v>-0.87317671651721596</v>
      </c>
      <c r="AM292">
        <v>0.87317671651721596</v>
      </c>
      <c r="AN292">
        <v>0.87317671651721596</v>
      </c>
      <c r="AO292">
        <v>0.12682328348278299</v>
      </c>
    </row>
    <row r="293" spans="1:41" x14ac:dyDescent="0.35">
      <c r="A293">
        <v>966</v>
      </c>
      <c r="B293">
        <v>1</v>
      </c>
      <c r="C293">
        <v>30</v>
      </c>
      <c r="D293">
        <v>2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1715</v>
      </c>
      <c r="K293">
        <v>4</v>
      </c>
      <c r="L293">
        <v>2</v>
      </c>
      <c r="M293">
        <v>4</v>
      </c>
      <c r="N293">
        <v>0</v>
      </c>
      <c r="O293">
        <v>0</v>
      </c>
      <c r="P293">
        <v>0</v>
      </c>
      <c r="Q293">
        <v>0</v>
      </c>
      <c r="R293">
        <v>1</v>
      </c>
      <c r="S293">
        <v>0</v>
      </c>
      <c r="T293">
        <v>0</v>
      </c>
      <c r="U293">
        <v>26</v>
      </c>
      <c r="V293">
        <v>0</v>
      </c>
      <c r="W293">
        <v>0</v>
      </c>
      <c r="X293">
        <v>1</v>
      </c>
      <c r="Y293">
        <v>1</v>
      </c>
      <c r="Z293">
        <v>2</v>
      </c>
      <c r="AA293">
        <v>1</v>
      </c>
      <c r="AB293">
        <v>0</v>
      </c>
      <c r="AC293">
        <v>0</v>
      </c>
      <c r="AD293">
        <v>1</v>
      </c>
      <c r="AE293">
        <v>966</v>
      </c>
      <c r="AF293">
        <v>1</v>
      </c>
      <c r="AG293">
        <v>0</v>
      </c>
      <c r="AI293">
        <v>1</v>
      </c>
      <c r="AJ293">
        <v>1</v>
      </c>
      <c r="AK293">
        <v>1</v>
      </c>
      <c r="AL293">
        <v>0.19367817290226899</v>
      </c>
      <c r="AM293">
        <v>-0.19367817290226899</v>
      </c>
      <c r="AN293">
        <v>0.80632182709773004</v>
      </c>
      <c r="AO293">
        <v>0.19367817290226899</v>
      </c>
    </row>
    <row r="294" spans="1:41" x14ac:dyDescent="0.35">
      <c r="A294">
        <v>971</v>
      </c>
      <c r="B294">
        <v>1</v>
      </c>
      <c r="C294">
        <v>15</v>
      </c>
      <c r="D294">
        <v>2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1514</v>
      </c>
      <c r="K294">
        <v>1</v>
      </c>
      <c r="L294">
        <v>2</v>
      </c>
      <c r="M294">
        <v>4</v>
      </c>
      <c r="N294">
        <v>0</v>
      </c>
      <c r="O294">
        <v>1</v>
      </c>
      <c r="P294">
        <v>0</v>
      </c>
      <c r="Q294">
        <v>1</v>
      </c>
      <c r="R294">
        <v>2</v>
      </c>
      <c r="S294">
        <v>1</v>
      </c>
      <c r="T294">
        <v>0</v>
      </c>
      <c r="U294">
        <v>22</v>
      </c>
      <c r="V294">
        <v>0</v>
      </c>
      <c r="W294">
        <v>0</v>
      </c>
      <c r="X294">
        <v>1</v>
      </c>
      <c r="Y294">
        <v>1</v>
      </c>
      <c r="Z294">
        <v>2</v>
      </c>
      <c r="AA294">
        <v>1</v>
      </c>
      <c r="AB294">
        <v>0</v>
      </c>
      <c r="AC294">
        <v>0</v>
      </c>
      <c r="AD294">
        <v>1</v>
      </c>
      <c r="AE294">
        <v>971</v>
      </c>
      <c r="AF294">
        <v>0</v>
      </c>
      <c r="AG294">
        <v>0</v>
      </c>
      <c r="AI294">
        <v>1</v>
      </c>
      <c r="AJ294">
        <v>1</v>
      </c>
      <c r="AK294">
        <v>1</v>
      </c>
      <c r="AL294">
        <v>0.18315741373460101</v>
      </c>
      <c r="AM294">
        <v>-0.18315741373460101</v>
      </c>
      <c r="AN294">
        <v>0.81684258626539796</v>
      </c>
      <c r="AO294">
        <v>0.18315741373460101</v>
      </c>
    </row>
    <row r="295" spans="1:41" x14ac:dyDescent="0.35">
      <c r="A295">
        <v>973</v>
      </c>
      <c r="B295">
        <v>0</v>
      </c>
      <c r="C295">
        <v>24</v>
      </c>
      <c r="D295">
        <v>1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1193</v>
      </c>
      <c r="K295">
        <v>0</v>
      </c>
      <c r="L295">
        <v>0</v>
      </c>
      <c r="M295">
        <v>1</v>
      </c>
      <c r="N295">
        <v>0</v>
      </c>
      <c r="O295">
        <v>0</v>
      </c>
      <c r="P295">
        <v>0</v>
      </c>
      <c r="Q295">
        <v>0</v>
      </c>
      <c r="R295">
        <v>4</v>
      </c>
      <c r="S295">
        <v>0</v>
      </c>
      <c r="T295">
        <v>1</v>
      </c>
      <c r="U295">
        <v>29</v>
      </c>
      <c r="V295">
        <v>0</v>
      </c>
      <c r="W295">
        <v>1</v>
      </c>
      <c r="X295">
        <v>0</v>
      </c>
      <c r="Y295">
        <v>2</v>
      </c>
      <c r="Z295">
        <v>0</v>
      </c>
      <c r="AA295">
        <v>1</v>
      </c>
      <c r="AB295">
        <v>0</v>
      </c>
      <c r="AC295">
        <v>0</v>
      </c>
      <c r="AD295">
        <v>0</v>
      </c>
      <c r="AE295">
        <v>973</v>
      </c>
      <c r="AF295">
        <v>0</v>
      </c>
      <c r="AG295">
        <v>1</v>
      </c>
      <c r="AI295">
        <v>0</v>
      </c>
      <c r="AJ295">
        <v>0</v>
      </c>
      <c r="AK295">
        <v>0</v>
      </c>
      <c r="AL295">
        <v>-0.20532680548385401</v>
      </c>
      <c r="AM295">
        <v>0.20532680548385401</v>
      </c>
      <c r="AN295">
        <v>0.20532680548385401</v>
      </c>
      <c r="AO295">
        <v>0.79467319451614504</v>
      </c>
    </row>
    <row r="296" spans="1:41" x14ac:dyDescent="0.35">
      <c r="A296">
        <v>975</v>
      </c>
      <c r="B296">
        <v>3</v>
      </c>
      <c r="C296">
        <v>30</v>
      </c>
      <c r="D296">
        <v>4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2831</v>
      </c>
      <c r="K296">
        <v>0</v>
      </c>
      <c r="L296">
        <v>2</v>
      </c>
      <c r="M296">
        <v>4</v>
      </c>
      <c r="N296">
        <v>0</v>
      </c>
      <c r="O296">
        <v>0</v>
      </c>
      <c r="P296">
        <v>0</v>
      </c>
      <c r="Q296">
        <v>0</v>
      </c>
      <c r="R296">
        <v>2</v>
      </c>
      <c r="S296">
        <v>0</v>
      </c>
      <c r="T296">
        <v>0</v>
      </c>
      <c r="U296">
        <v>33</v>
      </c>
      <c r="V296">
        <v>0</v>
      </c>
      <c r="W296">
        <v>0</v>
      </c>
      <c r="X296">
        <v>1</v>
      </c>
      <c r="Y296">
        <v>1</v>
      </c>
      <c r="Z296">
        <v>2</v>
      </c>
      <c r="AA296">
        <v>1</v>
      </c>
      <c r="AB296">
        <v>1</v>
      </c>
      <c r="AC296">
        <v>0</v>
      </c>
      <c r="AD296">
        <v>1</v>
      </c>
      <c r="AE296">
        <v>975</v>
      </c>
      <c r="AF296">
        <v>1</v>
      </c>
      <c r="AG296">
        <v>0</v>
      </c>
      <c r="AI296">
        <v>1</v>
      </c>
      <c r="AJ296">
        <v>1</v>
      </c>
      <c r="AK296">
        <v>1</v>
      </c>
      <c r="AL296">
        <v>0.12422629755268901</v>
      </c>
      <c r="AM296">
        <v>-0.12422629755268901</v>
      </c>
      <c r="AN296">
        <v>0.87577370244731001</v>
      </c>
      <c r="AO296">
        <v>0.12422629755268901</v>
      </c>
    </row>
    <row r="297" spans="1:41" x14ac:dyDescent="0.35">
      <c r="A297">
        <v>976</v>
      </c>
      <c r="B297">
        <v>2</v>
      </c>
      <c r="C297">
        <v>24</v>
      </c>
      <c r="D297">
        <v>2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1258</v>
      </c>
      <c r="K297">
        <v>2</v>
      </c>
      <c r="L297">
        <v>2</v>
      </c>
      <c r="M297">
        <v>3</v>
      </c>
      <c r="N297">
        <v>0</v>
      </c>
      <c r="O297">
        <v>0</v>
      </c>
      <c r="P297">
        <v>0</v>
      </c>
      <c r="Q297">
        <v>0</v>
      </c>
      <c r="R297">
        <v>3</v>
      </c>
      <c r="S297">
        <v>0</v>
      </c>
      <c r="T297">
        <v>0</v>
      </c>
      <c r="U297">
        <v>57</v>
      </c>
      <c r="V297">
        <v>0</v>
      </c>
      <c r="W297">
        <v>0</v>
      </c>
      <c r="X297">
        <v>1</v>
      </c>
      <c r="Y297">
        <v>1</v>
      </c>
      <c r="Z297">
        <v>1</v>
      </c>
      <c r="AA297">
        <v>1</v>
      </c>
      <c r="AB297">
        <v>0</v>
      </c>
      <c r="AC297">
        <v>0</v>
      </c>
      <c r="AD297">
        <v>1</v>
      </c>
      <c r="AE297">
        <v>976</v>
      </c>
      <c r="AF297">
        <v>1</v>
      </c>
      <c r="AG297">
        <v>0</v>
      </c>
      <c r="AI297">
        <v>1</v>
      </c>
      <c r="AJ297">
        <v>1</v>
      </c>
      <c r="AK297">
        <v>1</v>
      </c>
      <c r="AL297">
        <v>0.25723909552770202</v>
      </c>
      <c r="AM297">
        <v>-0.25723909552770202</v>
      </c>
      <c r="AN297">
        <v>0.74276090447229703</v>
      </c>
      <c r="AO297">
        <v>0.25723909552770202</v>
      </c>
    </row>
    <row r="298" spans="1:41" x14ac:dyDescent="0.35">
      <c r="A298">
        <v>977</v>
      </c>
      <c r="B298">
        <v>1</v>
      </c>
      <c r="C298">
        <v>6</v>
      </c>
      <c r="D298">
        <v>2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753</v>
      </c>
      <c r="K298">
        <v>0</v>
      </c>
      <c r="L298">
        <v>2</v>
      </c>
      <c r="M298">
        <v>2</v>
      </c>
      <c r="N298">
        <v>0</v>
      </c>
      <c r="O298">
        <v>0</v>
      </c>
      <c r="P298">
        <v>0</v>
      </c>
      <c r="Q298">
        <v>1</v>
      </c>
      <c r="R298">
        <v>3</v>
      </c>
      <c r="S298">
        <v>1</v>
      </c>
      <c r="T298">
        <v>0</v>
      </c>
      <c r="U298">
        <v>64</v>
      </c>
      <c r="V298">
        <v>0</v>
      </c>
      <c r="W298">
        <v>0</v>
      </c>
      <c r="X298">
        <v>1</v>
      </c>
      <c r="Y298">
        <v>1</v>
      </c>
      <c r="Z298">
        <v>2</v>
      </c>
      <c r="AA298">
        <v>1</v>
      </c>
      <c r="AB298">
        <v>0</v>
      </c>
      <c r="AC298">
        <v>0</v>
      </c>
      <c r="AD298">
        <v>1</v>
      </c>
      <c r="AE298">
        <v>977</v>
      </c>
      <c r="AF298">
        <v>1</v>
      </c>
      <c r="AG298">
        <v>0</v>
      </c>
      <c r="AI298">
        <v>1</v>
      </c>
      <c r="AJ298">
        <v>1</v>
      </c>
      <c r="AK298">
        <v>1</v>
      </c>
      <c r="AL298">
        <v>0.18830916203793399</v>
      </c>
      <c r="AM298">
        <v>-0.18830916203793399</v>
      </c>
      <c r="AN298">
        <v>0.81169083796206498</v>
      </c>
      <c r="AO298">
        <v>0.18830916203793399</v>
      </c>
    </row>
    <row r="299" spans="1:41" x14ac:dyDescent="0.35">
      <c r="A299">
        <v>981</v>
      </c>
      <c r="B299">
        <v>1</v>
      </c>
      <c r="C299">
        <v>30</v>
      </c>
      <c r="D299">
        <v>4</v>
      </c>
      <c r="E299">
        <v>0</v>
      </c>
      <c r="F299">
        <v>0</v>
      </c>
      <c r="G299">
        <v>1</v>
      </c>
      <c r="H299">
        <v>0</v>
      </c>
      <c r="I299">
        <v>0</v>
      </c>
      <c r="J299">
        <v>8386</v>
      </c>
      <c r="K299">
        <v>0</v>
      </c>
      <c r="L299">
        <v>3</v>
      </c>
      <c r="M299">
        <v>2</v>
      </c>
      <c r="N299">
        <v>0</v>
      </c>
      <c r="O299">
        <v>1</v>
      </c>
      <c r="P299">
        <v>0</v>
      </c>
      <c r="Q299">
        <v>0</v>
      </c>
      <c r="R299">
        <v>2</v>
      </c>
      <c r="S299">
        <v>0</v>
      </c>
      <c r="T299">
        <v>0</v>
      </c>
      <c r="U299">
        <v>49</v>
      </c>
      <c r="V299">
        <v>0</v>
      </c>
      <c r="W299">
        <v>0</v>
      </c>
      <c r="X299">
        <v>1</v>
      </c>
      <c r="Y299">
        <v>1</v>
      </c>
      <c r="Z299">
        <v>2</v>
      </c>
      <c r="AA299">
        <v>1</v>
      </c>
      <c r="AB299">
        <v>0</v>
      </c>
      <c r="AC299">
        <v>0</v>
      </c>
      <c r="AD299">
        <v>0</v>
      </c>
      <c r="AE299">
        <v>981</v>
      </c>
      <c r="AF299">
        <v>0</v>
      </c>
      <c r="AG299">
        <v>0</v>
      </c>
      <c r="AI299">
        <v>1</v>
      </c>
      <c r="AJ299">
        <v>1</v>
      </c>
      <c r="AK299">
        <v>0</v>
      </c>
      <c r="AL299">
        <v>-0.72345988321058596</v>
      </c>
      <c r="AM299">
        <v>0.72345988321058596</v>
      </c>
      <c r="AN299">
        <v>0.72345988321058596</v>
      </c>
      <c r="AO299">
        <v>0.27654011678941298</v>
      </c>
    </row>
    <row r="300" spans="1:41" x14ac:dyDescent="0.35">
      <c r="A300">
        <v>985</v>
      </c>
      <c r="B300">
        <v>3</v>
      </c>
      <c r="C300">
        <v>24</v>
      </c>
      <c r="D300">
        <v>4</v>
      </c>
      <c r="E300">
        <v>0</v>
      </c>
      <c r="F300">
        <v>0</v>
      </c>
      <c r="G300">
        <v>1</v>
      </c>
      <c r="H300">
        <v>0</v>
      </c>
      <c r="I300">
        <v>0</v>
      </c>
      <c r="J300">
        <v>2028</v>
      </c>
      <c r="K300">
        <v>0</v>
      </c>
      <c r="L300">
        <v>3</v>
      </c>
      <c r="M300">
        <v>2</v>
      </c>
      <c r="N300">
        <v>0</v>
      </c>
      <c r="O300">
        <v>1</v>
      </c>
      <c r="P300">
        <v>0</v>
      </c>
      <c r="Q300">
        <v>0</v>
      </c>
      <c r="R300">
        <v>2</v>
      </c>
      <c r="S300">
        <v>0</v>
      </c>
      <c r="T300">
        <v>0</v>
      </c>
      <c r="U300">
        <v>30</v>
      </c>
      <c r="V300">
        <v>0</v>
      </c>
      <c r="W300">
        <v>0</v>
      </c>
      <c r="X300">
        <v>1</v>
      </c>
      <c r="Y300">
        <v>2</v>
      </c>
      <c r="Z300">
        <v>1</v>
      </c>
      <c r="AA300">
        <v>1</v>
      </c>
      <c r="AB300">
        <v>0</v>
      </c>
      <c r="AC300">
        <v>0</v>
      </c>
      <c r="AD300">
        <v>1</v>
      </c>
      <c r="AE300">
        <v>985</v>
      </c>
      <c r="AF300">
        <v>0</v>
      </c>
      <c r="AG300">
        <v>0</v>
      </c>
      <c r="AI300">
        <v>1</v>
      </c>
      <c r="AJ300">
        <v>1</v>
      </c>
      <c r="AK300">
        <v>1</v>
      </c>
      <c r="AL300">
        <v>3.5798517856387498E-2</v>
      </c>
      <c r="AM300">
        <v>-3.5798517856387498E-2</v>
      </c>
      <c r="AN300">
        <v>0.96420148214361201</v>
      </c>
      <c r="AO300">
        <v>3.5798517856387498E-2</v>
      </c>
    </row>
    <row r="301" spans="1:41" x14ac:dyDescent="0.35">
      <c r="A301">
        <v>997</v>
      </c>
      <c r="B301">
        <v>0</v>
      </c>
      <c r="C301">
        <v>30</v>
      </c>
      <c r="D301">
        <v>2</v>
      </c>
      <c r="E301">
        <v>0</v>
      </c>
      <c r="F301">
        <v>1</v>
      </c>
      <c r="G301">
        <v>0</v>
      </c>
      <c r="H301">
        <v>0</v>
      </c>
      <c r="I301">
        <v>0</v>
      </c>
      <c r="J301">
        <v>3857</v>
      </c>
      <c r="K301">
        <v>0</v>
      </c>
      <c r="L301">
        <v>2</v>
      </c>
      <c r="M301">
        <v>4</v>
      </c>
      <c r="N301">
        <v>1</v>
      </c>
      <c r="O301">
        <v>0</v>
      </c>
      <c r="P301">
        <v>0</v>
      </c>
      <c r="Q301">
        <v>0</v>
      </c>
      <c r="R301">
        <v>4</v>
      </c>
      <c r="S301">
        <v>0</v>
      </c>
      <c r="T301">
        <v>0</v>
      </c>
      <c r="U301">
        <v>40</v>
      </c>
      <c r="V301">
        <v>0</v>
      </c>
      <c r="W301">
        <v>0</v>
      </c>
      <c r="X301">
        <v>1</v>
      </c>
      <c r="Y301">
        <v>1</v>
      </c>
      <c r="Z301">
        <v>3</v>
      </c>
      <c r="AA301">
        <v>1</v>
      </c>
      <c r="AB301">
        <v>1</v>
      </c>
      <c r="AC301">
        <v>0</v>
      </c>
      <c r="AD301">
        <v>1</v>
      </c>
      <c r="AE301">
        <v>997</v>
      </c>
      <c r="AF301">
        <v>0</v>
      </c>
      <c r="AG301">
        <v>0</v>
      </c>
      <c r="AI301">
        <v>0</v>
      </c>
      <c r="AJ301">
        <v>0</v>
      </c>
      <c r="AK301">
        <v>1</v>
      </c>
      <c r="AL301">
        <v>0.61694184789438999</v>
      </c>
      <c r="AM301">
        <v>-0.61694184789438999</v>
      </c>
      <c r="AN301">
        <v>0.38305815210560901</v>
      </c>
      <c r="AO301">
        <v>0.61694184789438999</v>
      </c>
    </row>
    <row r="302" spans="1:41" x14ac:dyDescent="0.35">
      <c r="A302">
        <v>999</v>
      </c>
      <c r="B302">
        <v>0</v>
      </c>
      <c r="C302">
        <v>45</v>
      </c>
      <c r="D302">
        <v>2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1845</v>
      </c>
      <c r="K302">
        <v>0</v>
      </c>
      <c r="L302">
        <v>2</v>
      </c>
      <c r="M302">
        <v>4</v>
      </c>
      <c r="N302">
        <v>0</v>
      </c>
      <c r="O302">
        <v>1</v>
      </c>
      <c r="P302">
        <v>0</v>
      </c>
      <c r="Q302">
        <v>0</v>
      </c>
      <c r="R302">
        <v>4</v>
      </c>
      <c r="S302">
        <v>0</v>
      </c>
      <c r="T302">
        <v>1</v>
      </c>
      <c r="U302">
        <v>23</v>
      </c>
      <c r="V302">
        <v>0</v>
      </c>
      <c r="W302">
        <v>0</v>
      </c>
      <c r="X302">
        <v>0</v>
      </c>
      <c r="Y302">
        <v>1</v>
      </c>
      <c r="Z302">
        <v>2</v>
      </c>
      <c r="AA302">
        <v>1</v>
      </c>
      <c r="AB302">
        <v>1</v>
      </c>
      <c r="AC302">
        <v>0</v>
      </c>
      <c r="AD302">
        <v>0</v>
      </c>
      <c r="AE302">
        <v>999</v>
      </c>
      <c r="AF302">
        <v>1</v>
      </c>
      <c r="AG302">
        <v>0</v>
      </c>
      <c r="AI302">
        <v>0</v>
      </c>
      <c r="AJ302">
        <v>0</v>
      </c>
      <c r="AK302">
        <v>0</v>
      </c>
      <c r="AL302">
        <v>-0.46199319733752298</v>
      </c>
      <c r="AM302">
        <v>0.46199319733752298</v>
      </c>
      <c r="AN302">
        <v>0.46199319733752298</v>
      </c>
      <c r="AO302">
        <v>0.53800680266247602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tabSelected="1" workbookViewId="0">
      <selection activeCell="F14" sqref="F14"/>
    </sheetView>
  </sheetViews>
  <sheetFormatPr defaultRowHeight="14.5" x14ac:dyDescent="0.35"/>
  <cols>
    <col min="1" max="1" width="47.26953125" customWidth="1"/>
    <col min="4" max="4" width="41.90625" bestFit="1" customWidth="1"/>
    <col min="9" max="9" width="27.6328125" bestFit="1" customWidth="1"/>
    <col min="10" max="10" width="12.08984375" bestFit="1" customWidth="1"/>
    <col min="11" max="11" width="15.08984375" bestFit="1" customWidth="1"/>
    <col min="14" max="14" width="10.1796875" bestFit="1" customWidth="1"/>
    <col min="15" max="15" width="21.36328125" bestFit="1" customWidth="1"/>
    <col min="16" max="16" width="15.36328125" customWidth="1"/>
  </cols>
  <sheetData>
    <row r="1" spans="1:16" x14ac:dyDescent="0.35">
      <c r="A1" t="s">
        <v>41</v>
      </c>
      <c r="D1" t="s">
        <v>46</v>
      </c>
      <c r="O1" t="s">
        <v>47</v>
      </c>
      <c r="P1" t="s">
        <v>48</v>
      </c>
    </row>
    <row r="2" spans="1:16" x14ac:dyDescent="0.35">
      <c r="A2" t="s">
        <v>42</v>
      </c>
      <c r="D2" s="1"/>
      <c r="E2" s="2" t="s">
        <v>49</v>
      </c>
      <c r="I2" t="s">
        <v>50</v>
      </c>
      <c r="N2" t="s">
        <v>47</v>
      </c>
      <c r="O2" s="3" t="s">
        <v>51</v>
      </c>
      <c r="P2" s="3" t="s">
        <v>52</v>
      </c>
    </row>
    <row r="3" spans="1:16" ht="15.5" x14ac:dyDescent="0.35">
      <c r="A3" t="s">
        <v>43</v>
      </c>
      <c r="D3" s="4" t="s">
        <v>53</v>
      </c>
      <c r="E3" s="2">
        <f>(J6+K5)/(J5+K5+J6+K6)</f>
        <v>0.2292358803986711</v>
      </c>
      <c r="I3" s="5"/>
      <c r="J3" s="6" t="s">
        <v>54</v>
      </c>
      <c r="K3" s="6"/>
      <c r="N3" t="s">
        <v>48</v>
      </c>
      <c r="O3" s="3" t="s">
        <v>55</v>
      </c>
      <c r="P3" s="3" t="s">
        <v>56</v>
      </c>
    </row>
    <row r="4" spans="1:16" ht="16" thickBot="1" x14ac:dyDescent="0.4">
      <c r="A4" t="s">
        <v>44</v>
      </c>
      <c r="D4" s="4" t="s">
        <v>57</v>
      </c>
      <c r="E4" s="2">
        <f>(J5)/(J7)</f>
        <v>0.78775510204081634</v>
      </c>
      <c r="I4" s="7" t="s">
        <v>58</v>
      </c>
      <c r="J4" s="8" t="s">
        <v>59</v>
      </c>
      <c r="K4" s="8" t="s">
        <v>60</v>
      </c>
      <c r="L4" t="s">
        <v>61</v>
      </c>
    </row>
    <row r="5" spans="1:16" ht="16" thickBot="1" x14ac:dyDescent="0.4">
      <c r="A5" t="s">
        <v>42</v>
      </c>
      <c r="D5" s="4" t="s">
        <v>62</v>
      </c>
      <c r="E5" s="2">
        <f>J6/L6</f>
        <v>0.5714285714285714</v>
      </c>
      <c r="I5" s="8" t="s">
        <v>63</v>
      </c>
      <c r="J5" s="9">
        <f>O6</f>
        <v>193</v>
      </c>
      <c r="K5" s="9">
        <f>P6</f>
        <v>17</v>
      </c>
      <c r="L5" s="10">
        <f>SUM(J5:K5)</f>
        <v>210</v>
      </c>
      <c r="O5" t="s">
        <v>47</v>
      </c>
      <c r="P5" t="s">
        <v>48</v>
      </c>
    </row>
    <row r="6" spans="1:16" ht="16" thickBot="1" x14ac:dyDescent="0.4">
      <c r="A6" t="s">
        <v>45</v>
      </c>
      <c r="D6" s="4" t="s">
        <v>64</v>
      </c>
      <c r="E6" s="2">
        <f>K5/L5</f>
        <v>8.0952380952380956E-2</v>
      </c>
      <c r="I6" s="8" t="s">
        <v>60</v>
      </c>
      <c r="J6" s="9">
        <f>O7</f>
        <v>52</v>
      </c>
      <c r="K6" s="9">
        <f>P7</f>
        <v>39</v>
      </c>
      <c r="L6" s="10">
        <f>SUM(J6:K6)</f>
        <v>91</v>
      </c>
      <c r="N6" t="s">
        <v>47</v>
      </c>
      <c r="O6" s="3">
        <v>193</v>
      </c>
      <c r="P6" s="3">
        <v>17</v>
      </c>
    </row>
    <row r="7" spans="1:16" ht="15.5" x14ac:dyDescent="0.35">
      <c r="D7" s="4" t="s">
        <v>65</v>
      </c>
      <c r="E7" s="11">
        <f>K6/L6</f>
        <v>0.42857142857142855</v>
      </c>
      <c r="I7" t="s">
        <v>61</v>
      </c>
      <c r="J7" s="10">
        <f>SUM(J5:J6)</f>
        <v>245</v>
      </c>
      <c r="K7" s="10">
        <f>SUM(K5:K6)</f>
        <v>56</v>
      </c>
      <c r="L7" s="12">
        <f>SUM(L5:L6)</f>
        <v>301</v>
      </c>
      <c r="N7" t="s">
        <v>48</v>
      </c>
      <c r="O7" s="3">
        <v>52</v>
      </c>
      <c r="P7" s="3">
        <v>39</v>
      </c>
    </row>
    <row r="8" spans="1:16" ht="15.5" x14ac:dyDescent="0.35">
      <c r="A8" s="13" t="s">
        <v>82</v>
      </c>
      <c r="D8" s="4" t="s">
        <v>66</v>
      </c>
      <c r="E8" s="2">
        <f>P10</f>
        <v>0.919047619047619</v>
      </c>
      <c r="L8" s="12">
        <f>SUM(J7:K7)</f>
        <v>301</v>
      </c>
    </row>
    <row r="9" spans="1:16" ht="29" x14ac:dyDescent="0.35">
      <c r="A9" s="15" t="s">
        <v>83</v>
      </c>
      <c r="D9" s="4" t="s">
        <v>67</v>
      </c>
      <c r="E9" s="2">
        <f>P11</f>
        <v>0.42857142857142855</v>
      </c>
    </row>
    <row r="10" spans="1:16" ht="15.5" x14ac:dyDescent="0.35">
      <c r="D10" s="4" t="s">
        <v>68</v>
      </c>
      <c r="E10" s="2">
        <f>J5/J7</f>
        <v>0.78775510204081634</v>
      </c>
      <c r="I10" t="s">
        <v>69</v>
      </c>
      <c r="N10" t="s">
        <v>66</v>
      </c>
      <c r="O10" t="s">
        <v>70</v>
      </c>
      <c r="P10">
        <f>J5/(J5+K5)</f>
        <v>0.919047619047619</v>
      </c>
    </row>
    <row r="11" spans="1:16" ht="15.5" x14ac:dyDescent="0.35">
      <c r="D11" s="4" t="s">
        <v>71</v>
      </c>
      <c r="E11" s="2">
        <f>1-E9</f>
        <v>0.5714285714285714</v>
      </c>
      <c r="I11" s="13" t="s">
        <v>81</v>
      </c>
      <c r="J11" s="13"/>
      <c r="K11" s="13">
        <v>301</v>
      </c>
      <c r="N11" t="s">
        <v>67</v>
      </c>
      <c r="O11" t="s">
        <v>72</v>
      </c>
      <c r="P11">
        <f>K6/(J6+K6)</f>
        <v>0.42857142857142855</v>
      </c>
    </row>
    <row r="12" spans="1:16" ht="15.5" x14ac:dyDescent="0.35">
      <c r="D12" s="4" t="s">
        <v>73</v>
      </c>
      <c r="E12" s="2">
        <f>E8</f>
        <v>0.919047619047619</v>
      </c>
      <c r="N12" t="s">
        <v>74</v>
      </c>
      <c r="O12" t="s">
        <v>75</v>
      </c>
      <c r="P12">
        <f>(J5+K6)/(J5+K5+J6+K6)</f>
        <v>0.77076411960132896</v>
      </c>
    </row>
    <row r="13" spans="1:16" ht="15.5" x14ac:dyDescent="0.35">
      <c r="D13" s="4" t="s">
        <v>76</v>
      </c>
      <c r="E13" s="2">
        <f xml:space="preserve"> E8/((J5+K5)/K11)</f>
        <v>1.3173015873015872</v>
      </c>
      <c r="F13" t="s">
        <v>77</v>
      </c>
      <c r="N13" t="s">
        <v>78</v>
      </c>
      <c r="O13" t="s">
        <v>79</v>
      </c>
      <c r="P13">
        <f>J5/(J5+J6)</f>
        <v>0.78775510204081634</v>
      </c>
    </row>
    <row r="14" spans="1:16" ht="15.5" x14ac:dyDescent="0.35">
      <c r="D14" s="4" t="s">
        <v>80</v>
      </c>
      <c r="E14" s="2">
        <v>32.299999999999997</v>
      </c>
      <c r="G14" s="14"/>
    </row>
  </sheetData>
  <mergeCells count="1">
    <mergeCell ref="J3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log_fwd_val_exp.data</vt:lpstr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Todi</dc:creator>
  <cp:lastModifiedBy>Shubham Todi</cp:lastModifiedBy>
  <dcterms:created xsi:type="dcterms:W3CDTF">2024-03-06T00:50:32Z</dcterms:created>
  <dcterms:modified xsi:type="dcterms:W3CDTF">2024-03-06T01:09:08Z</dcterms:modified>
</cp:coreProperties>
</file>